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628"/>
  <workbookPr autoCompressPictures="0" defaultThemeVersion="166925"/>
  <mc:AlternateContent xmlns:mc="http://schemas.openxmlformats.org/markup-compatibility/2006">
    <mc:Choice Requires="x15">
      <x15ac:absPath xmlns:x15ac="http://schemas.microsoft.com/office/spreadsheetml/2010/11/ac" url="C:\Users\jared\source\repos\avtopia\data_sync_desktop\assets\"/>
    </mc:Choice>
  </mc:AlternateContent>
  <xr:revisionPtr revIDLastSave="0" documentId="13_ncr:1_{C18A9753-1244-4D6B-8ACD-2375FBA0B16E}" xr6:coauthVersionLast="46" xr6:coauthVersionMax="46" xr10:uidLastSave="{00000000-0000-0000-0000-000000000000}"/>
  <bookViews>
    <workbookView xWindow="-120" yWindow="-120" windowWidth="29040" windowHeight="15840" xr2:uid="{00000000-000D-0000-FFFF-FFFF00000000}"/>
  </bookViews>
  <sheets>
    <sheet name="BetaDataResults" sheetId="6" r:id="rId1"/>
  </sheets>
  <definedNames>
    <definedName name="_xlnm._FilterDatabase" localSheetId="0" hidden="1">BetaDataResults!$B$1:$BU$113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AY113" i="6" l="1"/>
  <c r="AR112" i="6"/>
  <c r="BD112" i="6"/>
  <c r="BE112" i="6"/>
  <c r="BF112" i="6"/>
  <c r="BC112" i="6"/>
  <c r="AU112" i="6"/>
  <c r="AV112" i="6"/>
  <c r="AT112" i="6"/>
  <c r="AS112" i="6"/>
  <c r="AY112" i="6" l="1"/>
  <c r="BF113" i="6" s="1"/>
  <c r="BC113" i="6" l="1"/>
  <c r="BD113" i="6"/>
  <c r="BE113" i="6"/>
</calcChain>
</file>

<file path=xl/sharedStrings.xml><?xml version="1.0" encoding="utf-8"?>
<sst xmlns="http://schemas.openxmlformats.org/spreadsheetml/2006/main" count="2938" uniqueCount="1303">
  <si>
    <t>ID</t>
  </si>
  <si>
    <t>Account: Account Name</t>
  </si>
  <si>
    <t>Account: DBA 1</t>
  </si>
  <si>
    <t>Account: DBA 2</t>
  </si>
  <si>
    <t>Account: DBA 3</t>
  </si>
  <si>
    <t>Account: Shipping Street 1</t>
  </si>
  <si>
    <t>Account: Shipping Street 2</t>
  </si>
  <si>
    <t>Account: Shipping City</t>
  </si>
  <si>
    <t>Account:ShippingState/Province</t>
  </si>
  <si>
    <t>Account: Shipping Zip/Postal Code</t>
  </si>
  <si>
    <t>Account: Shipping Country</t>
  </si>
  <si>
    <t>Account: Phone</t>
  </si>
  <si>
    <t>Account: Website</t>
  </si>
  <si>
    <t>SyncStatus</t>
  </si>
  <si>
    <t>Google:SyncByPhone</t>
  </si>
  <si>
    <t>Google:SyncByNameAndAddress</t>
  </si>
  <si>
    <t>Google:SyncByWebsite</t>
  </si>
  <si>
    <t>Google:SyncByName</t>
  </si>
  <si>
    <t>Google:URL</t>
  </si>
  <si>
    <t>Google:JSON</t>
  </si>
  <si>
    <t>Google:CompanyName</t>
  </si>
  <si>
    <t>Google:BusinessStatus</t>
  </si>
  <si>
    <t>Google:PlaceID</t>
  </si>
  <si>
    <t>Google:FormattedAddress</t>
  </si>
  <si>
    <t>MatchStreet</t>
  </si>
  <si>
    <t>MatchCity</t>
  </si>
  <si>
    <t>MatchState</t>
  </si>
  <si>
    <t>MatchZip</t>
  </si>
  <si>
    <t>Google:Latitude</t>
  </si>
  <si>
    <t>Google:Longitude</t>
  </si>
  <si>
    <t>Google:PlacesDetailsJSON</t>
  </si>
  <si>
    <t>Google:AdrAddress</t>
  </si>
  <si>
    <t>Google:FormattedPhone</t>
  </si>
  <si>
    <t>Google:Icon</t>
  </si>
  <si>
    <t>Google:ID</t>
  </si>
  <si>
    <t>Google:InternationalPhone</t>
  </si>
  <si>
    <t>Google:ListingTypes</t>
  </si>
  <si>
    <t>Google:UTCOffset</t>
  </si>
  <si>
    <t>Google:Vicinity</t>
  </si>
  <si>
    <t>Google:BusinessURL</t>
  </si>
  <si>
    <t>Google:Rating</t>
  </si>
  <si>
    <t>Google:NumReviews</t>
  </si>
  <si>
    <t>Burbank</t>
  </si>
  <si>
    <t>CA</t>
  </si>
  <si>
    <t>United States</t>
  </si>
  <si>
    <t>Jet Aviation West - Burbank (Formerly AvJet)</t>
  </si>
  <si>
    <t>4301 W Empire Ave</t>
  </si>
  <si>
    <t>91505-1109</t>
  </si>
  <si>
    <t>(818) 841-6190</t>
  </si>
  <si>
    <t>http://www.jetaviation.com</t>
  </si>
  <si>
    <t>Million Air - Burbank</t>
  </si>
  <si>
    <t>2800 N Clybourn Ave</t>
  </si>
  <si>
    <t>91505-1010</t>
  </si>
  <si>
    <t>(818) 843-8311</t>
  </si>
  <si>
    <t>http://www.millionair.com</t>
  </si>
  <si>
    <t>VELOCITY AEROSPACE - BURBANK INC</t>
  </si>
  <si>
    <t>2840 N. ONTARIO STREET</t>
  </si>
  <si>
    <t>7415 HAYVENHURST PLACE</t>
  </si>
  <si>
    <t>BURBANK</t>
  </si>
  <si>
    <t>AMERIFLIGHT LLC</t>
  </si>
  <si>
    <t>4700 EMPIRE AVE HGR 1</t>
  </si>
  <si>
    <t/>
  </si>
  <si>
    <t>JET CORPORATION</t>
  </si>
  <si>
    <t>4301 EMPIRE AVENUE</t>
  </si>
  <si>
    <t>HUTCHINSON AEROSPACE AND INDUSTRY INC</t>
  </si>
  <si>
    <t>4510 VANOWEN ST</t>
  </si>
  <si>
    <t>CIVIC HELICOPTERS INC</t>
  </si>
  <si>
    <t>2206-H PALOMAR AIRPORT ROAD</t>
  </si>
  <si>
    <t>CARLSBAD</t>
  </si>
  <si>
    <t>(760)438-8424 </t>
  </si>
  <si>
    <t>PINNACLE AVIATION ACADEMY INC</t>
  </si>
  <si>
    <t>2210 PALOMAR AIRPORT ROAD</t>
  </si>
  <si>
    <t>(760)929-1009 </t>
  </si>
  <si>
    <t>Diamond Aviation</t>
  </si>
  <si>
    <t>2100 Palomar Airport Rd</t>
  </si>
  <si>
    <t>Suite B200</t>
  </si>
  <si>
    <t>Carlsbad</t>
  </si>
  <si>
    <t>92011</t>
  </si>
  <si>
    <t>619-980-2116</t>
  </si>
  <si>
    <t>Global Aviation Consulting, LLC</t>
  </si>
  <si>
    <t>2198 Palomar Airport Road</t>
  </si>
  <si>
    <t>Jet Methods</t>
  </si>
  <si>
    <t>2006 Palomar Airport Road</t>
  </si>
  <si>
    <t>Suite 101</t>
  </si>
  <si>
    <t>760-930-9315</t>
  </si>
  <si>
    <t>Latitude 33 Aviation, LLC</t>
  </si>
  <si>
    <t>2100 Palomar Airport Road</t>
  </si>
  <si>
    <t>Suite 211</t>
  </si>
  <si>
    <t>760-385-3610</t>
  </si>
  <si>
    <t>Premier Air Charter, LLC</t>
  </si>
  <si>
    <t>Suite 210</t>
  </si>
  <si>
    <t>858-381-3435</t>
  </si>
  <si>
    <t>Tango Air, Inc.</t>
  </si>
  <si>
    <t>2026 Palomar Airport Road</t>
  </si>
  <si>
    <t>760-929-0307</t>
  </si>
  <si>
    <t>Jet AMG Services LLC</t>
  </si>
  <si>
    <t>2006 Palomar Airport Rd Suite 201</t>
  </si>
  <si>
    <t>Schubach Aviation</t>
  </si>
  <si>
    <t>2026 Palomar Airport Rd</t>
  </si>
  <si>
    <t>92011-4412</t>
  </si>
  <si>
    <t>(760) 929-0307</t>
  </si>
  <si>
    <t>https://schubachaviation.com</t>
  </si>
  <si>
    <t>Flight Crew Systems, Inc</t>
  </si>
  <si>
    <t>LOFT</t>
  </si>
  <si>
    <t>Flight Crew Systems, Inc. d/b/a LOFT</t>
  </si>
  <si>
    <t>6150 Corte Del Cedro</t>
  </si>
  <si>
    <t>TRU Simulation + Training LLC</t>
  </si>
  <si>
    <t>6144 Innovation Way</t>
  </si>
  <si>
    <t>92009</t>
  </si>
  <si>
    <t>3513 SOMERSET WAY</t>
  </si>
  <si>
    <t>HANGAR ONE AVIONICS INC</t>
  </si>
  <si>
    <t>2026 PALOMAR AIRPORT ROAD</t>
  </si>
  <si>
    <t>HANGAR ONE OF CALIFORNIA INC</t>
  </si>
  <si>
    <t>2026 PALOMAR AIRPORT RD.</t>
  </si>
  <si>
    <t>2186 PALOMAR AIRPORT ROAD</t>
  </si>
  <si>
    <t>CLAY LACY AVIATION INC</t>
  </si>
  <si>
    <t>2100 Palomar Airport Rd.</t>
  </si>
  <si>
    <t>Suite 230</t>
  </si>
  <si>
    <t>2206 PALOMAR AIRPORT ROAD</t>
  </si>
  <si>
    <t>ANTHELION HELICOPTERS</t>
  </si>
  <si>
    <t>3200 AIRFLITE WAY</t>
  </si>
  <si>
    <t>LONG BEACH</t>
  </si>
  <si>
    <t>(562)424-2684 </t>
  </si>
  <si>
    <t>CANDACE A LARNED ENTERPRISES INC</t>
  </si>
  <si>
    <t>LONG BEACH FLIGHT ACADEMY</t>
  </si>
  <si>
    <t>2631 E. SPRING STREET</t>
  </si>
  <si>
    <t>90806</t>
  </si>
  <si>
    <t>(562)290-0321 </t>
  </si>
  <si>
    <t>SKY CREATION INC</t>
  </si>
  <si>
    <t>2801 E. SPRING STREET</t>
  </si>
  <si>
    <t>SUITE 150</t>
  </si>
  <si>
    <t>(562)490-0077 </t>
  </si>
  <si>
    <t>Air Rutter International, LLC</t>
  </si>
  <si>
    <t>3501 North Lakewood Boulevard</t>
  </si>
  <si>
    <t>Long Beach</t>
  </si>
  <si>
    <t>90808</t>
  </si>
  <si>
    <t>562-425-8880</t>
  </si>
  <si>
    <t>Alerion Aviation, LLC</t>
  </si>
  <si>
    <t>Anthelion Helicopters</t>
  </si>
  <si>
    <t>3200 Airflite Way</t>
  </si>
  <si>
    <t>90807</t>
  </si>
  <si>
    <t>562-424-2684</t>
  </si>
  <si>
    <t>Island Express Helicopters, Inc.</t>
  </si>
  <si>
    <t>1175 Queens Highway</t>
  </si>
  <si>
    <t>90802</t>
  </si>
  <si>
    <t>310-510-2525</t>
  </si>
  <si>
    <t>Rainbow Air Charter, Inc.</t>
  </si>
  <si>
    <t>2601 East Spring Street</t>
  </si>
  <si>
    <t>562-424-0119</t>
  </si>
  <si>
    <t>Aerolease / Aeroplex Group</t>
  </si>
  <si>
    <t>3333 E Spring St Ste 204</t>
  </si>
  <si>
    <t>90806-2446</t>
  </si>
  <si>
    <t>(562) 981-2659</t>
  </si>
  <si>
    <t>http://www.aeroplex.net</t>
  </si>
  <si>
    <t>ZEPHYR SERVICES LLC</t>
  </si>
  <si>
    <t>2735 E Spring Street</t>
  </si>
  <si>
    <t>WEST COAST AIRCRAFT MAINTENANCE LLC</t>
  </si>
  <si>
    <t>2881 E. SPRING STREET</t>
  </si>
  <si>
    <t>OCR AVIATION</t>
  </si>
  <si>
    <t>2721 East Spring Street</t>
  </si>
  <si>
    <t>SOCAL JET SERVICES INC</t>
  </si>
  <si>
    <t>3355 EAST SPRING STREET, SUITE 100</t>
  </si>
  <si>
    <t>ATLAS INSTRUMENTS LLC</t>
  </si>
  <si>
    <t>4150 DONALD DOUGLAS DRIVE</t>
  </si>
  <si>
    <t>Clay Lacy Aviation, Inc.</t>
  </si>
  <si>
    <t>Oakland</t>
  </si>
  <si>
    <t>94621</t>
  </si>
  <si>
    <t>KaiserAir, Inc.</t>
  </si>
  <si>
    <t>P.O. Box 2626</t>
  </si>
  <si>
    <t>Airport Station</t>
  </si>
  <si>
    <t>94614</t>
  </si>
  <si>
    <t>510-569-9622</t>
  </si>
  <si>
    <t>Pacific Coast Jet, LLC</t>
  </si>
  <si>
    <t>8517 Earhart Road</t>
  </si>
  <si>
    <t>#170</t>
  </si>
  <si>
    <t>SP Aviation, Inc.</t>
  </si>
  <si>
    <t>9351 Earhart Road</t>
  </si>
  <si>
    <t>510-783-3584</t>
  </si>
  <si>
    <t>COLLEGE OF ALAMEDA</t>
  </si>
  <si>
    <t>970 HARBOR BAY PARKWAY</t>
  </si>
  <si>
    <t>OAKLAND</t>
  </si>
  <si>
    <t>(510)748-2318 </t>
  </si>
  <si>
    <t>Aviation Marine Insurance Services</t>
  </si>
  <si>
    <t>5707 Redwood Rd Ste 1</t>
  </si>
  <si>
    <t>94619-2400</t>
  </si>
  <si>
    <t>(510) 530-4415</t>
  </si>
  <si>
    <t>http://www.aviation-marine.com</t>
  </si>
  <si>
    <t>KaiserAir Inc.</t>
  </si>
  <si>
    <t>PO Box 2626Oakland International Airport</t>
  </si>
  <si>
    <t>94614-0626</t>
  </si>
  <si>
    <t>(510) 569-9622</t>
  </si>
  <si>
    <t>http://www.kaiserair.com</t>
  </si>
  <si>
    <t>CALIFORNIA IN NICE INC</t>
  </si>
  <si>
    <t>NICE AIR</t>
  </si>
  <si>
    <t>2575 ROBERT FOWLER WAY</t>
  </si>
  <si>
    <t>SAN JOSE</t>
  </si>
  <si>
    <t>95148</t>
  </si>
  <si>
    <t>(408)729-3383 </t>
  </si>
  <si>
    <t>SKYWORKS AVIATION INC</t>
  </si>
  <si>
    <t>TRADE WINDS AVIATION</t>
  </si>
  <si>
    <t>2505 CUNNINGHAM AVENUE</t>
  </si>
  <si>
    <t>(408)729-5100 </t>
  </si>
  <si>
    <t>SQUADRON ACQUISITION CORPORATION</t>
  </si>
  <si>
    <t>SQUADRON 2</t>
  </si>
  <si>
    <t>2655 ROBERT FOWLER WAY</t>
  </si>
  <si>
    <t>(408)648-6961 </t>
  </si>
  <si>
    <t>WAKITA, YUZO</t>
  </si>
  <si>
    <t>AIR ACCORD</t>
  </si>
  <si>
    <t>(408)258-6321 </t>
  </si>
  <si>
    <t>AvBase San Jose, LLC</t>
  </si>
  <si>
    <t>1144 Coleman Ave Ste 90</t>
  </si>
  <si>
    <t>San Jose</t>
  </si>
  <si>
    <t>95110-1129</t>
  </si>
  <si>
    <t>(408) 998-2177</t>
  </si>
  <si>
    <t>CORPORATE AVIATION ASSOC INC</t>
  </si>
  <si>
    <t>1250 AVIATION AVENUE</t>
  </si>
  <si>
    <t>SUITE 125</t>
  </si>
  <si>
    <t>L A C AVIONICS INC</t>
  </si>
  <si>
    <t>SUITE 110</t>
  </si>
  <si>
    <t>ORANGE COUNTY FLIGHT CENTER INC</t>
  </si>
  <si>
    <t>19531 CAMPUS DRIVE SUITE 4</t>
  </si>
  <si>
    <t>SANTA ANA</t>
  </si>
  <si>
    <t>(949)756-1300 </t>
  </si>
  <si>
    <t>SUNRISE AVIATION COMPANY INC</t>
  </si>
  <si>
    <t>19531 CAMPUS DRIVE</t>
  </si>
  <si>
    <t>SUITE 7</t>
  </si>
  <si>
    <t>(949)852-8850 </t>
  </si>
  <si>
    <t>C.C. Calzone, LLC</t>
  </si>
  <si>
    <t>19301 Campus Drive</t>
  </si>
  <si>
    <t>Suite 250</t>
  </si>
  <si>
    <t>Santa Ana</t>
  </si>
  <si>
    <t>92707</t>
  </si>
  <si>
    <t>949-474-2900</t>
  </si>
  <si>
    <t>19711 Campus Drive</t>
  </si>
  <si>
    <t>Suite 150</t>
  </si>
  <si>
    <t>Macair, Inc.</t>
  </si>
  <si>
    <t>Suite 202</t>
  </si>
  <si>
    <t>949-250-1359</t>
  </si>
  <si>
    <t>Regency Air, LLC</t>
  </si>
  <si>
    <t>949-851-0966</t>
  </si>
  <si>
    <t>West Coast Charters, Inc.</t>
  </si>
  <si>
    <t>949-852-8340</t>
  </si>
  <si>
    <t>Freespeed Aviation, LLC</t>
  </si>
  <si>
    <t>19301 Campus Drive Suite 267</t>
  </si>
  <si>
    <t>(310) 362-6909</t>
  </si>
  <si>
    <t>http://www.freespeedaviation.com</t>
  </si>
  <si>
    <t>(949) 250-1359</t>
  </si>
  <si>
    <t>macairinc.com</t>
  </si>
  <si>
    <t>19301 Campus Dr Ste 150</t>
  </si>
  <si>
    <t>92707-5235</t>
  </si>
  <si>
    <t>(949) 851-0966</t>
  </si>
  <si>
    <t>http://regencyair.com</t>
  </si>
  <si>
    <t>West Coast Aviation Services</t>
  </si>
  <si>
    <t>92707-5203</t>
  </si>
  <si>
    <t>(949) 852-8340</t>
  </si>
  <si>
    <t>http://www.westcoastcharters.com</t>
  </si>
  <si>
    <t>MARTIN AVIATION L P</t>
  </si>
  <si>
    <t>19300 IKE JONES ROAD</t>
  </si>
  <si>
    <t>AMERICAN AIRCRAFT MAINTENANCE INC</t>
  </si>
  <si>
    <t>19711-B CAMPUS DRIVE</t>
  </si>
  <si>
    <t>LEADING EDGE AVIONICS INC</t>
  </si>
  <si>
    <t>19300 Ike Jones Road</t>
  </si>
  <si>
    <t>KIM DAVIDSON AVIATION INC</t>
  </si>
  <si>
    <t>2701 AIRPORT AVE.</t>
  </si>
  <si>
    <t>SANTA MONICA</t>
  </si>
  <si>
    <t>MACH 141 INC</t>
  </si>
  <si>
    <t>7240 HAYVENHURST AVE.</t>
  </si>
  <si>
    <t>VAN NUYS</t>
  </si>
  <si>
    <t>(818)787-8500 </t>
  </si>
  <si>
    <t>Chrysler Aviation, Inc.</t>
  </si>
  <si>
    <t>7120 Hayvenhurst Avenue</t>
  </si>
  <si>
    <t>Suite 309</t>
  </si>
  <si>
    <t>Van Nuys</t>
  </si>
  <si>
    <t>91406</t>
  </si>
  <si>
    <t>818-989-7900</t>
  </si>
  <si>
    <t>7435 Valjean Avenue</t>
  </si>
  <si>
    <t>818-989-2900</t>
  </si>
  <si>
    <t>Dreamline Aviation, LLC</t>
  </si>
  <si>
    <t>16461 Sherman Way</t>
  </si>
  <si>
    <t>818-988-0029</t>
  </si>
  <si>
    <t>Golden State Jet, LLC</t>
  </si>
  <si>
    <t>7240 Hayvenhurst Place</t>
  </si>
  <si>
    <t>Suite 146</t>
  </si>
  <si>
    <t>Helinet Aviation Services, LLC</t>
  </si>
  <si>
    <t>16303 Waterman Drive</t>
  </si>
  <si>
    <t>818-902-0229</t>
  </si>
  <si>
    <t>Jet Aviation Flight Services, Inc.</t>
  </si>
  <si>
    <t>7415 Hayvenhurst Place</t>
  </si>
  <si>
    <t>818-909-3100</t>
  </si>
  <si>
    <t>Jet Edge International</t>
  </si>
  <si>
    <t>16700C Roscoe Boulevard</t>
  </si>
  <si>
    <t>818-442-0096</t>
  </si>
  <si>
    <t>MB Airways</t>
  </si>
  <si>
    <t>Suite 254</t>
  </si>
  <si>
    <t>818-787-2205</t>
  </si>
  <si>
    <t>Pegasus Elite Aviation, Inc.</t>
  </si>
  <si>
    <t>7943 Woodley Avenue</t>
  </si>
  <si>
    <t>818-742-6666</t>
  </si>
  <si>
    <t>Planet Nine Private Air, LLC</t>
  </si>
  <si>
    <t>Suite 255</t>
  </si>
  <si>
    <t>818-724-5999</t>
  </si>
  <si>
    <t>Style Aviation Services, Inc.</t>
  </si>
  <si>
    <t>818-988-2931</t>
  </si>
  <si>
    <t>Trans-Exec Air Service, Inc.</t>
  </si>
  <si>
    <t>Suite 262</t>
  </si>
  <si>
    <t>818-904-6900</t>
  </si>
  <si>
    <t>Western Air Charter, Inc.</t>
  </si>
  <si>
    <t>24/7 JET, Inc</t>
  </si>
  <si>
    <t>7426 Hayvernhurst Ave.</t>
  </si>
  <si>
    <t>(877) 247-5387</t>
  </si>
  <si>
    <t>www.247jet.com</t>
  </si>
  <si>
    <t>Castle &amp; Cooke Aviation</t>
  </si>
  <si>
    <t>7415 Hayvenhurst Pl</t>
  </si>
  <si>
    <t>91406-2822</t>
  </si>
  <si>
    <t>(818) 988-8385</t>
  </si>
  <si>
    <t>http://www.castlecookeaviation.com/</t>
  </si>
  <si>
    <t>Chrysler Aviation Inc.</t>
  </si>
  <si>
    <t>7120 Hayvenhurst Ave Ste 309</t>
  </si>
  <si>
    <t>91406-3813</t>
  </si>
  <si>
    <t>(818) 989-7900</t>
  </si>
  <si>
    <t>http://www.chrysleraviation.com</t>
  </si>
  <si>
    <t>Clay Lacy Aviation</t>
  </si>
  <si>
    <t>7435 Valjean Ave</t>
  </si>
  <si>
    <t>91406-2901</t>
  </si>
  <si>
    <t>(818) 989-2900</t>
  </si>
  <si>
    <t>http://www.claylacy.com</t>
  </si>
  <si>
    <t>16461 Sherman WaySuite 210</t>
  </si>
  <si>
    <t>(818) 988-0029</t>
  </si>
  <si>
    <t>http://www.dreamlineaviation.com/</t>
  </si>
  <si>
    <t>Extraord-N-Air, Inc.</t>
  </si>
  <si>
    <t>16122 Saticoy Street</t>
  </si>
  <si>
    <t>(818) 785-2577</t>
  </si>
  <si>
    <t>JetWorx</t>
  </si>
  <si>
    <t>16700C Roscoe Blvd</t>
  </si>
  <si>
    <t>(818) 933-6509</t>
  </si>
  <si>
    <t>www.jetworx.com</t>
  </si>
  <si>
    <t>Mike Boal Designs</t>
  </si>
  <si>
    <t>16101 Saticoy St</t>
  </si>
  <si>
    <t>91406-2915</t>
  </si>
  <si>
    <t>(818) 376-1606</t>
  </si>
  <si>
    <t>http://www.mikeboaldesigns.com</t>
  </si>
  <si>
    <t>Style Aviation Services Inc.</t>
  </si>
  <si>
    <t>(818) 988-2931</t>
  </si>
  <si>
    <t>http://www.styleair.com</t>
  </si>
  <si>
    <t>Van Nuys Airport</t>
  </si>
  <si>
    <t>16461 Sherman Way, Suite 300</t>
  </si>
  <si>
    <t>(818) 442-6500</t>
  </si>
  <si>
    <t>www.lawa.org</t>
  </si>
  <si>
    <t>THORNTON AIRCRAFT COMPANY LLC</t>
  </si>
  <si>
    <t>7520 HAYVENHURST AVENUE</t>
  </si>
  <si>
    <t>7701 WOODLEY AVENUE</t>
  </si>
  <si>
    <t>JET TECH LTD</t>
  </si>
  <si>
    <t>16233 VANOWEN ST.</t>
  </si>
  <si>
    <t>HANGAR #1</t>
  </si>
  <si>
    <t>MATHER AVIATION VAN NUYS LLC</t>
  </si>
  <si>
    <t>7240 HAVENHURST PLACE</t>
  </si>
  <si>
    <t>MP AERO, LLC</t>
  </si>
  <si>
    <t>EXTRAORD-N-AIR, INC.</t>
  </si>
  <si>
    <t>A PLUS AVIONICS CORP</t>
  </si>
  <si>
    <t>7240 HAYVENHURST AVENUE</t>
  </si>
  <si>
    <t>RTS AIRCRAFT SERVICES LLC</t>
  </si>
  <si>
    <t>7155 Valjean Avenue</t>
  </si>
  <si>
    <t>Hangar 4</t>
  </si>
  <si>
    <t>NATIONAL HELICOPTER SERVICE AND ENGINEERING CO INC</t>
  </si>
  <si>
    <t>HELINET AVIATION SERVICES LLC</t>
  </si>
  <si>
    <t>16303 WATERMAN DR.</t>
  </si>
  <si>
    <t>L G ELECTRICAL INC</t>
  </si>
  <si>
    <t>16124 LEADWELL STREET</t>
  </si>
  <si>
    <t>AERO NASCH AVIATION INC</t>
  </si>
  <si>
    <t>6849 HAYVENHURST AVE</t>
  </si>
  <si>
    <t>SOCAL JETS INC</t>
  </si>
  <si>
    <t>7035 SOPHIA AVENUE</t>
  </si>
  <si>
    <t>WESTERN JET AVIATION INC</t>
  </si>
  <si>
    <t>16101 SATICOY STREET</t>
  </si>
  <si>
    <t>901 HANGAR, VAN NUYS AIRPORT</t>
  </si>
  <si>
    <t>REPAIRTECH INTERNATIONAL INC</t>
  </si>
  <si>
    <t>16134 SATICOY STREET</t>
  </si>
  <si>
    <t>DUNCAN AVIATION INC</t>
  </si>
  <si>
    <t>7943 WOODLEY AVE.</t>
  </si>
  <si>
    <t>YES</t>
  </si>
  <si>
    <t>X</t>
  </si>
  <si>
    <t>https://maps.googleapis.com/maps/api/place/findplacefromtext/json?input=%2B18188416190&amp;inputtype=phonenumber&amp;fields=business_status,formatted_address,geometry,icon,name,permanently_closed,place_id,plus_code,types&amp;key=AIzaSyAUoR1hu32epmid_r-h7_AiXQWhNu3zr3U</t>
  </si>
  <si>
    <t>{"business_status":"OPERATIONAL","formatted_address":"4301 Empire Ave, Burbank, CA 91505, USA","geometry":{"location":{"lat":34.194657,"lng":-118.358899},"viewport":{"northeast":{"lat":34.1959114302915,"lng":-118.3577521197085},"southwest":{"lat":34.1932134697085,"lng":-118.3604500802915}}},"icon":"https://maps.gstatic.com/mapfiles/place_api/icons/v1/png_71/generic_business-71.png","name":"Avjet Corporation","place_id":"ChIJD92c5a-VwoARqVWJKutdPoE","plus_code":{"compound_code":"5JVR+VC Burbank, CA, USA","global_code":"85635JVR+VC"},"types":["point_of_interest","establishment"]}</t>
  </si>
  <si>
    <t>Avjet Corporation</t>
  </si>
  <si>
    <t>OPERATIONAL</t>
  </si>
  <si>
    <t>ChIJD92c5a-VwoARqVWJKutdPoE</t>
  </si>
  <si>
    <t>4301 Empire Ave, Burbank, CA 91505, USA</t>
  </si>
  <si>
    <t>{"html_attributions":[],"result":{"address_components":[{"long_name":"4301","short_name":"4301","types":["street_number"]},{"long_name":"Empire Avenue","short_name":"Empire Ave","types":["route"]},{"long_name":"North Hollywood","short_name":"NoHo","types":["neighborhood","political"]},{"long_name":"Burbank","short_name":"Burbank","types":["locality","political"]},{"long_name":"Los Angeles County","short_name":"Los Angeles County","types":["administrative_area_level_2","political"]},{"long_name":"California","short_name":"CA","types":["administrative_area_level_1","political"]},{"long_name":"United States","short_name":"US","types":["country","political"]},{"long_name":"91505","short_name":"91505","types":["postal_code"]}],"adr_address":"&lt;span class=\"street-address\"&gt;4301 Empire Ave&lt;/span&gt;, &lt;span class=\"locality\"&gt;Burbank&lt;/span&gt;, &lt;span class=\"region\"&gt;CA&lt;/span&gt; &lt;span class=\"postal-code\"&gt;91505&lt;/span&gt;, &lt;span class=\"country-name\"&gt;USA&lt;/span&gt;","formatted_address":"4301 Empire Ave, Burbank, CA 91505, USA","formatted_phone_number":"(818) 841-6190","geometry":{"location":{"lat":34.194657,"lng":-118.358899},"viewport":{"northeast":{"lat":34.1959114302915,"lng":-118.3577521197085},"southwest":{"lat":34.1932134697085,"lng":-118.3604500802915}}},"icon":"https://maps.gstatic.com/mapfiles/place_api/icons/v1/png_71/generic_business-71.png","id":null,"international_phone_number":"+1 818-841-6190","name":"Avjet Corporation","place_id":"ChIJD92c5a-VwoARqVWJKutdPoE","rating":4.2,"reference":null,"reviews":[{"author_name":"Luca Brazi","author_url":"https://www.google.com/maps/contrib/102765977740541799345/reviews","language":"en","profile_photo_url":"https://lh3.googleusercontent.com/a-/AOh14GijTUXbI0kOKmY2BcD-MBFiqyCuIYQBuqtd6E7bcA=s128-c0x00000000-cc-rp-mo","rating":5,"relative_time_description":"a year ago","text":"Best pilots ever","time":1562130030},{"author_name":"Silva Keshishian","author_url":"https://www.google.com/maps/contrib/114939575839005800839/reviews","language":"en","profile_photo_url":"https://lh3.googleusercontent.com/-E_J784nGeyM/AAAAAAAAAAI/AAAAAAAAABg/AMZuuckCvzGJZnOepx9vTYLGWWaoieB3ZQ/s128-c0x00000000-cc-rp-mo/photo.jpg","rating":1,"relative_time_description":"3 years ago","text":"Extremely overworked and underpaid.","time":1503541789},{"author_name":"Michael Solarez","author_url":"https://www.google.com/maps/contrib/108441143376615097619/reviews","language":"en","profile_photo_url":"https://lh3.googleusercontent.com/a-/AOh14Ggw7fqhEXgJqj9VUzLrdny5gck1FgPLjyGgb70nmnQ=s128-c0x00000000-cc-rp-mo","rating":5,"relative_time_description":"5 years ago","text":"VeryNice...wheels-up","time":1438125822},{"author_name":"Julio Parocua","author_url":"https://www.google.com/maps/contrib/111631021521338201984/reviews","language":"en-US","profile_photo_url":"https://lh3.googleusercontent.com/a-/AOh14GjP3Dd_Koe67DEAP92WfnFqbEJiQd971RU4EmLJng=s128-c0x00000000-cc-rp-mo","rating":5,"relative_time_description":"2 years ago","text":"What can I say wonderful","time":1536394797},{"author_name":"Patrick Ford","author_url":"https://www.google.com/maps/contrib/113139865600619118893/reviews","language":null,"profile_photo_url":"https://lh3.googleusercontent.com/a-/AOh14GgjwEmeftmgoZH8iYQ6wfCdUjxZoW1CjLeM7N7PKtY=s128-c0x00000000-cc-rp-mo-ba3","rating":5,"relative_time_description":"4 years ago","text":"","time":1464709887}],"types":["point_of_interest","establishment"],"url":"https://maps.google.com/?cid=9312984344061105577","utc_offset":-480,"vicinity":"4301 Empire Avenue, Burbank","website":"http://www.avjet.com/"},"status":"OK"}</t>
  </si>
  <si>
    <t>&lt;span class="street-address"&gt;4301 Empire Ave&lt;/span&gt;, &lt;span class="locality"&gt;Burbank&lt;/span&gt;, &lt;span class="region"&gt;CA&lt;/span&gt; &lt;span class="postal-code"&gt;91505&lt;/span&gt;, &lt;span class="country-name"&gt;USA&lt;/span&gt;</t>
  </si>
  <si>
    <t>https://maps.gstatic.com/mapfiles/place_api/icons/v1/png_71/generic_business-71.png</t>
  </si>
  <si>
    <t>+1 818-841-6190</t>
  </si>
  <si>
    <t>point_of_interest,establishment</t>
  </si>
  <si>
    <t>4301 Empire Avenue, Burbank</t>
  </si>
  <si>
    <t>http://www.avjet.com/</t>
  </si>
  <si>
    <t>https://maps.googleapis.com/maps/api/place/findplacefromtext/json?input=%2B18188438311&amp;inputtype=phonenumber&amp;fields=business_status,formatted_address,geometry,icon,name,permanently_closed,place_id,plus_code,types&amp;key=AIzaSyAUoR1hu32epmid_r-h7_AiXQWhNu3zr3U</t>
  </si>
  <si>
    <t>{"business_status":"OPERATIONAL","formatted_address":"2800 N Clybourn Ave, Burbank, CA 91505, USA","geometry":{"location":{"lat":34.2001231,"lng":-118.3598214},"viewport":{"northeast":{"lat":34.20155193029149,"lng":-118.3585755697085},"southwest":{"lat":34.19885396970849,"lng":-118.3612735302915}}},"icon":"https://maps.gstatic.com/mapfiles/place_api/icons/v1/png_71/generic_business-71.png","name":"Million Air Burbank","place_id":"ChIJK_SWG7OVwoARv8EO8Eug_PE","plus_code":{"compound_code":"6J2R+23 Burbank, CA, USA","global_code":"85636J2R+23"},"types":["point_of_interest","establishment"]}</t>
  </si>
  <si>
    <t>Million Air Burbank</t>
  </si>
  <si>
    <t>ChIJK_SWG7OVwoARv8EO8Eug_PE</t>
  </si>
  <si>
    <t>2800 N Clybourn Ave, Burbank, CA 91505, USA</t>
  </si>
  <si>
    <t>{"html_attributions":[],"result":{"address_components":[{"long_name":"2800","short_name":"2800","types":["street_number"]},{"long_name":"North Clybourn Avenue","short_name":"N Clybourn Ave","types":["route"]},{"long_name":"North Hollywood","short_name":"NoHo","types":["neighborhood","political"]},{"long_name":"Burbank","short_name":"Burbank","types":["locality","political"]},{"long_name":"Los Angeles County","short_name":"Los Angeles County","types":["administrative_area_level_2","political"]},{"long_name":"California","short_name":"CA","types":["administrative_area_level_1","political"]},{"long_name":"United States","short_name":"US","types":["country","political"]},{"long_name":"91505","short_name":"91505","types":["postal_code"]},{"long_name":"1010","short_name":"1010","types":["postal_code_suffix"]}],"adr_address":"&lt;span class=\"street-address\"&gt;2800 N Clybourn Ave&lt;/span&gt;, &lt;span class=\"locality\"&gt;Burbank&lt;/span&gt;, &lt;span class=\"region\"&gt;CA&lt;/span&gt; &lt;span class=\"postal-code\"&gt;91505-1010&lt;/span&gt;, &lt;span class=\"country-name\"&gt;USA&lt;/span&gt;","formatted_address":"2800 N Clybourn Ave, Burbank, CA 91505, USA","formatted_phone_number":"(818) 843-8311","geometry":{"location":{"lat":34.2001231,"lng":-118.3598214},"viewport":{"northeast":{"lat":34.20155193029149,"lng":-118.3585755697085},"southwest":{"lat":34.19885396970849,"lng":-118.3612735302915}}},"icon":"https://maps.gstatic.com/mapfiles/place_api/icons/v1/png_71/generic_business-71.png","id":null,"international_phone_number":"+1 818-843-8311","name":"Million Air Burbank","place_id":"ChIJK_SWG7OVwoARv8EO8Eug_PE","rating":4.7,"reference":null,"reviews":[{"author_name":"jimmy colestock","author_url":"https://www.google.com/maps/contrib/101369716870885940270/reviews","language":"en","profile_photo_url":"https://lh5.googleusercontent.com/-GLQ5Xb3FC1U/AAAAAAAAAAI/AAAAAAAAAAA/AMZuucn5URIvFZak_o51FD4sQ85Ykk4M3A/s128-c0x00000000-cc-rp-mo-ba4/photo.jpg","rating":5,"relative_time_description":"2 months ago","text":"Always a great place to spend the night with if you are parking your aircraft in Burbank","time":1608344273},{"author_name":"Magan Stephen","author_url":"https://www.google.com/maps/contrib/108167437130222958869/reviews","language":"en","profile_photo_url":"https://lh3.googleusercontent.com/a-/AOh14GgJ98KVCzaGN_wO-bqWjis_lPw4a_xp70OevHE=s128-c0x00000000-cc-rp-mo","rating":5,"relative_time_description":"5 months ago","text":"They give you Hollywood star treatment. Very friendly staff, amazing furnishings and a great little convenience center with complimentary drinks and cookies.","time":1600560158},{"author_name":"CALIFORNIA CUSTOM STEREO","author_url":"https://www.google.com/maps/contrib/108564862833059470800/reviews","language":"en","profile_photo_url":"https://lh4.googleusercontent.com/-AWuH1yF27x0/AAAAAAAAAAI/AAAAAAAAAAA/AMZuucm_kxKobt8PSxg81JESG6-F19y3CA/s128-c0x00000000-cc-rp-mo/photo.jpg","rating":5,"relative_time_description":"4 months ago","text":"Great service .. fuel charged was cheaper than listed on foreflight ..\nThx a million...","time":1602618064},{"author_name":"W. Ryan Reed","author_url":"https://www.google.com/maps/contrib/110740377042249198125/reviews","language":"en","profile_photo_url":"https://lh3.googleusercontent.com/a-/AOh14Gi5Ri1Xmqv40_je-IX3Tf52Hy55k9vTijsGK2EQHA=s128-c0x00000000-cc-rp-mo","rating":5,"relative_time_description":"a year ago","text":"Always do great when I take the Lear 60 in there.\nAnd thanks for the random holiday party!\n(Don't worry, I was off duty)","time":1575521361},{"author_name":"m de","author_url":"https://www.google.com/maps/contrib/113830860949397164990/reviews","language":"en","profile_photo_url":"https://lh3.googleusercontent.com/-FEkar481jHA/AAAAAAAAAAI/AAAAAAAAAAA/AMZuucnDBTa5dt0ZfBD-iU115nIopOHU5g/s128-c0x00000000-cc-rp-mo-ba6/photo.jpg","rating":5,"relative_time_description":"11 months ago","text":"Very nice airport and private jet very good service and nice people here they have coffee and water and restroom.","time":1582681475}],"types":["point_of_interest","establishment"],"url":"https://maps.google.com/?cid=17436988105282208191","utc_offset":-480,"vicinity":"2800 North Clybourn Avenue, Burbank","website":"http://www.millionair.com/FBO/bur.aspx#4"},"status":"OK"}</t>
  </si>
  <si>
    <t>&lt;span class="street-address"&gt;2800 N Clybourn Ave&lt;/span&gt;, &lt;span class="locality"&gt;Burbank&lt;/span&gt;, &lt;span class="region"&gt;CA&lt;/span&gt; &lt;span class="postal-code"&gt;91505-1010&lt;/span&gt;, &lt;span class="country-name"&gt;USA&lt;/span&gt;</t>
  </si>
  <si>
    <t>+1 818-843-8311</t>
  </si>
  <si>
    <t>2800 North Clybourn Avenue, Burbank</t>
  </si>
  <si>
    <t>http://www.millionair.com/FBO/bur.aspx#4</t>
  </si>
  <si>
    <t>https://maps.googleapis.com/maps/api/place/findplacefromtext/json?input=VELOCITY%20AEROSPACE%20-%20BURBANK%20INC%20%20%20%20%20%20%20%20%20%20%20%20%20%20%20%20%20%20%202840%20N.%20ONTARIO%20STREET%20%20%20%20%20%20%20%20%20%20%20%20%20%207415%20HAYVENHURST%20PLACE%20%20%20%20%20%20%20%20%20%20%20%20%20%20BURBANK%20%20%20%20%20%20%20%20%20%20%20%20%20%20%20%20CA%2091504&amp;key=AIzaSyAUoR1hu32epmid_r-h7_AiXQWhNu3zr3U&amp;inputtype=textquery&amp;fields=business_status,formatted_address,geometry,icon,name,permanently_closed,place_id,plus_code,types</t>
  </si>
  <si>
    <t>{"business_status":"OPERATIONAL","formatted_address":"2840 N Ontario St, Burbank, CA 91504, United States","geometry":{"location":{"lat":34.2032419,"lng":-118.342911},"viewport":{"northeast":{"lat":34.20459162989273,"lng":-118.3416375201073},"southwest":{"lat":34.20189197010728,"lng":-118.3443371798927}}},"icon":"https://maps.gstatic.com/mapfiles/place_api/icons/v1/png_71/shopping-71.png","name":"Velocity Aerospace-Burbank","place_id":"ChIJc8Q8GAGVwoAR1leTyle9OI8","plus_code":{"compound_code":"6M34+7R Burbank, California","global_code":"85636M34+7R"},"types":["point_of_interest","store","establishment"]}</t>
  </si>
  <si>
    <t>Velocity Aerospace-Burbank</t>
  </si>
  <si>
    <t>ChIJc8Q8GAGVwoAR1leTyle9OI8</t>
  </si>
  <si>
    <t>2840 N Ontario St, Burbank, CA 91504, United States</t>
  </si>
  <si>
    <t>{"html_attributions":[],"result":{"address_components":[{"long_name":"2840","short_name":"2840","types":["street_number"]},{"long_name":"North Ontario Street","short_name":"N Ontario St","types":["route"]},{"long_name":"Burbank","short_name":"Burbank","types":["locality","political"]},{"long_name":"Los Angeles County","short_name":"Los Angeles County","types":["administrative_area_level_2","political"]},{"long_name":"California","short_name":"CA","types":["administrative_area_level_1","political"]},{"long_name":"United States","short_name":"US","types":["country","political"]},{"long_name":"91504","short_name":"91504","types":["postal_code"]},{"long_name":"2015","short_name":"2015","types":["postal_code_suffix"]}],"adr_address":"&lt;span class=\"street-address\"&gt;2840 N Ontario St&lt;/span&gt;, &lt;span class=\"locality\"&gt;Burbank&lt;/span&gt;, &lt;span class=\"region\"&gt;CA&lt;/span&gt; &lt;span class=\"postal-code\"&gt;91504-2015&lt;/span&gt;, &lt;span class=\"country-name\"&gt;USA&lt;/span&gt;","formatted_address":"2840 N Ontario St, Burbank, CA 91504, USA","formatted_phone_number":"(818) 246-8431","geometry":{"location":{"lat":34.2032419,"lng":-118.342911},"viewport":{"northeast":{"lat":34.2045907802915,"lng":-118.3416383697085},"southwest":{"lat":34.2018928197085,"lng":-118.3443363302915}}},"icon":"https://maps.gstatic.com/mapfiles/place_api/icons/v1/png_71/shopping-71.png","id":null,"international_phone_number":"+1 818-246-8431","name":"Velocity Aerospace-Burbank","place_id":"ChIJc8Q8GAGVwoAR1leTyle9OI8","rating":4.3,"reference":null,"reviews":[{"author_name":"Jon Sanders","author_url":"https://www.google.com/maps/contrib/109341689925691058198/reviews","language":null,"profile_photo_url":"https://lh3.googleusercontent.com/a-/AOh14Gi8_59EgGUfxAtfAYVVkg8_UomPhmuAuVvF4cpkMA=s128-c0x00000000-cc-rp-mo","rating":5,"relative_time_description":"2 years ago","text":"","time":1521817156},{"author_name":"moe addasi","author_url":"https://www.google.com/maps/contrib/114717115448875522638/reviews","language":null,"profile_photo_url":"https://lh3.googleusercontent.com/a-/AOh14GjHB3LYXS4l2aQKhvsHRBTkMq46FJ8EYlsYAFbGREk=s128-c0x00000000-cc-rp-mo-ba4","rating":2,"relative_time_description":"a year ago","text":"","time":1556066650},{"author_name":"Deron Rackie","author_url":"https://www.google.com/maps/contrib/101269644421810680383/reviews","language":null,"profile_photo_url":"https://lh6.googleusercontent.com/-n-1IfsgD7WM/AAAAAAAAAAI/AAAAAAAAAAA/AMZuucnK43KzUrDonQ3yoxCSovfL7rmtBQ/s128-c0x00000000-cc-rp-mo/photo.jpg","rating":5,"relative_time_description":"2 years ago","text":"","time":1546652469},{"author_name":"Jeff Stookey","author_url":"https://www.google.com/maps/contrib/106269155861333481943/reviews","language":null,"profile_photo_url":"https://lh6.googleusercontent.com/-mjSiUjj163M/AAAAAAAAAAI/AAAAAAAAAfA/AMZuucmljrC414S20uBIa8AHGVuTqH17AQ/s128-c0x00000000-cc-rp-mo/photo.jpg","rating":5,"relative_time_description":"3 years ago","text":"","time":1507864456}],"types":["point_of_interest","store","establishment"],"url":"https://maps.google.com/?cid=10320206730877949910","utc_offset":-480,"vicinity":"2840 North Ontario Street, Burbank","website":"http://www.velocityaerospace.com/"},"status":"OK"}</t>
  </si>
  <si>
    <t>&lt;span class="street-address"&gt;2840 N Ontario St&lt;/span&gt;, &lt;span class="locality"&gt;Burbank&lt;/span&gt;, &lt;span class="region"&gt;CA&lt;/span&gt; &lt;span class="postal-code"&gt;91504-2015&lt;/span&gt;, &lt;span class="country-name"&gt;USA&lt;/span&gt;</t>
  </si>
  <si>
    <t>(818) 246-8431</t>
  </si>
  <si>
    <t>https://maps.gstatic.com/mapfiles/place_api/icons/v1/png_71/shopping-71.png</t>
  </si>
  <si>
    <t>+1 818-246-8431</t>
  </si>
  <si>
    <t>point_of_interest,store,establishment</t>
  </si>
  <si>
    <t>2840 North Ontario Street, Burbank</t>
  </si>
  <si>
    <t>http://www.velocityaerospace.com/</t>
  </si>
  <si>
    <t>https://maps.googleapis.com/maps/api/place/findplacefromtext/json?input=AMERIFLIGHT%20LLC%20%20%20%20%20%20%20%20%20%20%20%20%20%20%20%20%20%20%20%20%20%20%20%20%20%20%20%20%20%20%20%20%20%20%20%204700%20EMPIRE%20AVE%20HGR%201%20%20%20%20%20%20%20%20%20%20%20%20%20%20%20%20%20%20%20%20%20%20%20%20%20%20%20%20%20%20%20%20%20%20%20%20%20%20%20%20%20%20%20%20%20%20%20%20%20%20%20BURBANK%20%20%20%20%20%20%20%20%20%20%20%20%20%20%20%20CA%2091505&amp;key=AIzaSyAUoR1hu32epmid_r-h7_AiXQWhNu3zr3U&amp;inputtype=textquery&amp;fields=business_status,formatted_address,geometry,icon,name,permanently_closed,place_id,plus_code,types</t>
  </si>
  <si>
    <t>{"business_status":"OPERATIONAL","formatted_address":"4700 Empire Ave, Burbank, CA 91505, United States","geometry":{"location":{"lat":34.1958231,"lng":-118.3648019},"viewport":{"northeast":{"lat":34.19701512989271,"lng":-118.3634707201073},"southwest":{"lat":34.19431547010727,"lng":-118.3661703798927}}},"icon":"https://maps.gstatic.com/mapfiles/place_api/icons/v1/png_71/generic_business-71.png","name":"Ameriflight LLC","place_id":"ChIJq00v_rCVwoARXxh2bh4Vs2U","plus_code":{"compound_code":"5JWP+83 Burbank, California","global_code":"85635JWP+83"},"types":["point_of_interest","establishment"]}</t>
  </si>
  <si>
    <t>Ameriflight LLC</t>
  </si>
  <si>
    <t>ChIJq00v_rCVwoARXxh2bh4Vs2U</t>
  </si>
  <si>
    <t>4700 Empire Ave, Burbank, CA 91505, United States</t>
  </si>
  <si>
    <t>{"html_attributions":[],"result":{"address_components":[{"long_name":"4700","short_name":"4700","types":["street_number"]},{"long_name":"Empire Avenue","short_name":"Empire Ave","types":["route"]},{"long_name":"North Hollywood","short_name":"NoHo","types":["neighborhood","political"]},{"long_name":"Burbank","short_name":"Burbank","types":["locality","political"]},{"long_name":"Los Angeles County","short_name":"Los Angeles County","types":["administrative_area_level_2","political"]},{"long_name":"California","short_name":"CA","types":["administrative_area_level_1","political"]},{"long_name":"United States","short_name":"US","types":["country","political"]},{"long_name":"91505","short_name":"91505","types":["postal_code"]},{"long_name":"1098","short_name":"1098","types":["postal_code_suffix"]}],"adr_address":"&lt;span class=\"street-address\"&gt;4700 Empire Ave&lt;/span&gt;, &lt;span class=\"locality\"&gt;Burbank&lt;/span&gt;, &lt;span class=\"region\"&gt;CA&lt;/span&gt; &lt;span class=\"postal-code\"&gt;91505-1098&lt;/span&gt;, &lt;span class=\"country-name\"&gt;USA&lt;/span&gt;","formatted_address":"4700 Empire Ave, Burbank, CA 91505, USA","formatted_phone_number":"(818) 847-0000","geometry":{"location":{"lat":34.1958231,"lng":-118.3648019},"viewport":{"northeast":{"lat":34.1970142802915,"lng":-118.3634715697085},"southwest":{"lat":34.1943163197085,"lng":-118.3661695302915}}},"icon":"https://maps.gstatic.com/mapfiles/place_api/icons/v1/png_71/generic_business-71.png","id":null,"international_phone_number":"+1 818-847-0000","name":"Ameriflight LLC","place_id":"ChIJq00v_rCVwoARXxh2bh4Vs2U","rating":4.0,"reference":null,"reviews":[{"author_name":"Tal Erickson","author_url":"https://www.google.com/maps/contrib/110486732527578132707/reviews","language":"en","profile_photo_url":"https://lh3.googleusercontent.com/a-/AOh14GjhgoezitB3Ifx6cpM8OP17PWeAmeRbta2_asdq=s128-c0x00000000-cc-rp-mo","rating":1,"relative_time_description":"a month ago","text":"Fly by nite. Company","time":1609940908},{"author_name":"blanco c","author_url":"https://www.google.com/maps/contrib/106057973739065312196/reviews","language":"en","profile_photo_url":"https://lh3.googleusercontent.com/a-/AOh14GiMSbStwsP_2G_pt3Fv6n7lq4qa2lXlDg5eQrJR=s128-c0x00000000-cc-rp-mo","rating":5,"relative_time_description":"2 years ago","text":"Great company.","time":1524983652},{"author_name":"Adel Basilioss","author_url":"https://www.google.com/maps/contrib/117938327483468939885/reviews","language":"en","profile_photo_url":"https://lh3.googleusercontent.com/a-/AOh14Gg2ImHE8OIx_Y2G_e9trkErJVaL-mW-_WIp9u9EMVY=s128-c0x00000000-cc-rp-mo-ba2","rating":4,"relative_time_description":"3 years ago","text":"Lousy company","time":1517430158},{"author_name":"Jonathan Kamber","author_url":"https://www.google.com/maps/contrib/108316805845912692615/reviews","language":null,"profile_photo_url":"https://lh5.googleusercontent.com/-Jl4mxnCUbFU/AAAAAAAAAAI/AAAAAAAAAAA/AMZuucmT1a8Hmm70Q9D9xRgT4PIHegKP9A/s128-c0x00000000-cc-rp-mo/photo.jpg","rating":5,"relative_time_description":"2 years ago","text":"","time":1547248510},{"author_name":"Restless 3","author_url":"https://www.google.com/maps/contrib/102711433085076893716/reviews","language":null,"profile_photo_url":"https://lh3.googleusercontent.com/a-/AOh14Ghoo2uAKJ_WhFHOy2Z1neXIXdJCIRXZ39RuVo20VA=s128-c0x00000000-cc-rp-mo-ba2","rating":5,"relative_time_description":"3 months ago","text":"","time":1603739854}],"types":["point_of_interest","establishment"],"url":"https://maps.google.com/?cid=7328224239108364383","utc_offset":-480,"vicinity":"4700 Empire Avenue, Burbank","website":"http://w3.ameriflight.com/"},"status":"OK"}</t>
  </si>
  <si>
    <t>&lt;span class="street-address"&gt;4700 Empire Ave&lt;/span&gt;, &lt;span class="locality"&gt;Burbank&lt;/span&gt;, &lt;span class="region"&gt;CA&lt;/span&gt; &lt;span class="postal-code"&gt;91505-1098&lt;/span&gt;, &lt;span class="country-name"&gt;USA&lt;/span&gt;</t>
  </si>
  <si>
    <t>(818) 847-0000</t>
  </si>
  <si>
    <t>+1 818-847-0000</t>
  </si>
  <si>
    <t>4700 Empire Avenue, Burbank</t>
  </si>
  <si>
    <t>http://w3.ameriflight.com/</t>
  </si>
  <si>
    <t>https://maps.googleapis.com/maps/api/place/findplacefromtext/json?input=JET%20CORPORATION%20%20%20%20%20%20%20%20%20%20%20%20%20%20%20%20%20%20%20%20%20%20%20%20%20%20%20%20%20%20%20%20%20%20%20%204301%20EMPIRE%20AVENUE%20%20%20%20%20%20%20%20%20%20%20%20%20%20%20%20%20%20%20%20%20%20%20%20%20%20%20%20%20%20%20%20%20%20%20%20%20%20%20%20%20%20%20%20%20%20%20%20%20%20%20%20%20%20BURBANK%20%20%20%20%20%20%20%20%20%20%20%20%20%20%20%20CA%2091505&amp;key=AIzaSyAUoR1hu32epmid_r-h7_AiXQWhNu3zr3U&amp;inputtype=textquery&amp;fields=business_status,formatted_address,geometry,icon,name,permanently_closed,place_id,plus_code,types</t>
  </si>
  <si>
    <t>{"business_status":"OPERATIONAL","formatted_address":"4301 Empire Ave, Burbank, CA 91505, United States","geometry":{"location":{"lat":34.194657,"lng":-118.358899},"viewport":{"northeast":{"lat":34.19591227989272,"lng":-118.3577512701073},"southwest":{"lat":34.19321262010727,"lng":-118.3604509298927}}},"icon":"https://maps.gstatic.com/mapfiles/place_api/icons/v1/png_71/generic_business-71.png","name":"Avjet Corporation","place_id":"ChIJD92c5a-VwoARqVWJKutdPoE","plus_code":{"compound_code":"5JVR+VC Burbank, California","global_code":"85635JVR+VC"},"types":["point_of_interest","establishment"]}</t>
  </si>
  <si>
    <t>4301 Empire Ave, Burbank, CA 91505, United States</t>
  </si>
  <si>
    <t>https://maps.googleapis.com/maps/api/place/findplacefromtext/json?input=HUTCHINSON%20AEROSPACE%20AND%20INDUSTRY%20INC%20%20%20%20%20%20%20%20%20%20%20%20%20%204510%20VANOWEN%20ST%20%20%20%20%20%20%20%20%20%20%20%20%20%20%20%20%20%20%20%20%20%20%20%20%20%20%20%20%20%20%20%20%20%20%20%20%20%20%20%20%20%20%20%20%20%20%20%20%20%20%20%20%20%20%20%20%20BURBANK%20%20%20%20%20%20%20%20%20%20%20%20%20%20%20%20CA%2091505&amp;key=AIzaSyAUoR1hu32epmid_r-h7_AiXQWhNu3zr3U&amp;inputtype=textquery&amp;fields=business_status,formatted_address,geometry,icon,name,permanently_closed,place_id,plus_code,types</t>
  </si>
  <si>
    <t>{"business_status":"OPERATIONAL","formatted_address":"4510 Vanowen St, Burbank, CA 91505, United States","geometry":{"location":{"lat":34.193016,"lng":-118.359848},"viewport":{"northeast":{"lat":34.19469377989272,"lng":-118.3586338201073},"southwest":{"lat":34.19199412010728,"lng":-118.3613334798927}}},"icon":"https://maps.gstatic.com/mapfiles/place_api/icons/v1/png_71/shopping-71.png","name":"Hutchinson","place_id":"ChIJQ2TQXLCVwoART__WWxeLUcI","plus_code":{"compound_code":"5JVR+63 Burbank, California","global_code":"85635JVR+63"},"types":["point_of_interest","store","establishment"]}</t>
  </si>
  <si>
    <t>Hutchinson</t>
  </si>
  <si>
    <t>ChIJQ2TQXLCVwoART__WWxeLUcI</t>
  </si>
  <si>
    <t>4510 Vanowen St, Burbank, CA 91505, United States</t>
  </si>
  <si>
    <t>{"html_attributions":[],"result":{"address_components":[{"long_name":"4510","short_name":"4510","types":["street_number"]},{"long_name":"Vanowen Street","short_name":"Vanowen St","types":["route"]},{"long_name":"Burbank","short_name":"Burbank","types":["locality","political"]},{"long_name":"Los Angeles County","short_name":"Los Angeles County","types":["administrative_area_level_2","political"]},{"long_name":"California","short_name":"CA","types":["administrative_area_level_1","political"]},{"long_name":"United States","short_name":"US","types":["country","political"]},{"long_name":"91505","short_name":"91505","types":["postal_code"]}],"adr_address":"&lt;span class=\"street-address\"&gt;4510 Vanowen St&lt;/span&gt;, &lt;span class=\"locality\"&gt;Burbank&lt;/span&gt;, &lt;span class=\"region\"&gt;CA&lt;/span&gt; &lt;span class=\"postal-code\"&gt;91505&lt;/span&gt;, &lt;span class=\"country-name\"&gt;USA&lt;/span&gt;","formatted_address":"4510 Vanowen St, Burbank, CA 91505, USA","formatted_phone_number":"(818) 843-1000","geometry":{"location":{"lat":34.193016,"lng":-118.359848},"viewport":{"northeast":{"lat":34.1946929302915,"lng":-118.3586346697085},"southwest":{"lat":34.1919949697085,"lng":-118.3613326302915}}},"icon":"https://maps.gstatic.com/mapfiles/place_api/icons/v1/png_71/shopping-71.png","id":null,"international_phone_number":"+1 818-843-1000","name":"Hutchinson","place_id":"ChIJQ2TQXLCVwoART__WWxeLUcI","rating":4.0,"reference":null,"reviews":[{"author_name":"Llanuel Orta","author_url":"https://www.google.com/maps/contrib/100238249129403657431/reviews","language":"en-US","profile_photo_url":"https://lh6.googleusercontent.com/-HD1GtGSZzdM/AAAAAAAAAAI/AAAAAAAAAAA/AMZuucnP08c1G6qyeO1WCFL6tRJ8J-Lhrw/s128-c0x00000000-cc-rp-mo/photo.jpg","rating":5,"relative_time_description":"2 years ago","text":"No, well, mela paso atodamadre ayi :)","time":1537563521},{"author_name":"Alvaro Vizuet","author_url":"https://www.google.com/maps/contrib/117162918091629208314/reviews","language":"en-US","profile_photo_url":"https://lh6.googleusercontent.com/-TnTCBY9riDw/AAAAAAAAAAI/AAAAAAAAAAA/AMZuucmBTW3J4hYRG62a-Dqeq01_nu65hA/s128-c0x00000000-cc-rp-mo-ba2/photo.jpg","rating":5,"relative_time_description":"2 years ago","text":"Excellent company","time":1535410469},{"author_name":"Joshua Marin","author_url":"https://www.google.com/maps/contrib/111281937022036110714/reviews","language":null,"profile_photo_url":"https://lh3.googleusercontent.com/a-/AOh14Gj_7V1YMCs1K35wJpXilU2Jgp38H7y9HbxEnGzvwA=s128-c0x00000000-cc-rp-mo","rating":1,"relative_time_description":"8 months ago","text":"","time":1591661075},{"author_name":"Pablo Garcia","author_url":"https://www.google.com/maps/contrib/114100026164576222485/reviews","language":null,"profile_photo_url":"https://lh5.googleusercontent.com/-ovIsYezw-nM/AAAAAAAAAAI/AAAAAAAAAAA/AMZuucmSWTWJ_TY0BlkJRfRFYvvRb-Y_Hg/s128-c0x00000000-cc-rp-mo-ba2/photo.jpg","rating":5,"relative_time_description":"8 months ago","text":"","time":1591634246}],"types":["point_of_interest","store","establishment"],"url":"https://maps.google.com/?cid=14002125648912908111","utc_offset":-480,"vicinity":"4510 Vanowen Street, Burbank","website":"http://www.hutchinson.com/"},"status":"OK"}</t>
  </si>
  <si>
    <t>&lt;span class="street-address"&gt;4510 Vanowen St&lt;/span&gt;, &lt;span class="locality"&gt;Burbank&lt;/span&gt;, &lt;span class="region"&gt;CA&lt;/span&gt; &lt;span class="postal-code"&gt;91505&lt;/span&gt;, &lt;span class="country-name"&gt;USA&lt;/span&gt;</t>
  </si>
  <si>
    <t>(818) 843-1000</t>
  </si>
  <si>
    <t>+1 818-843-1000</t>
  </si>
  <si>
    <t>4510 Vanowen Street, Burbank</t>
  </si>
  <si>
    <t>http://www.hutchinson.com/</t>
  </si>
  <si>
    <t>https://maps.googleapis.com/maps/api/place/findplacefromtext/json?input=%2B17604388424 &amp;inputtype=phonenumber&amp;fields=business_status,formatted_address,geometry,icon,name,permanently_closed,place_id,plus_code,types&amp;key=AIzaSyAUoR1hu32epmid_r-h7_AiXQWhNu3zr3U</t>
  </si>
  <si>
    <t>{"business_status":"OPERATIONAL","formatted_address":"2206 Palomar Airport Rd Suite H, Carlsbad, CA 92011, USA","geometry":{"location":{"lat":33.1257805,"lng":-117.2754738},"viewport":{"northeast":{"lat":33.12705888029149,"lng":-117.2742051697085},"southwest":{"lat":33.12436091970849,"lng":-117.2769031302915}}},"icon":"https://maps.gstatic.com/mapfiles/place_api/icons/v1/png_71/school-71.png","name":"Civic Helicopters, Inc.","place_id":"ChIJB9XriF1z3IARLzGn-IRtC2E","plus_code":{"compound_code":"4PGF+8R Carlsbad, CA, USA","global_code":"85544PGF+8R"},"types":["university","point_of_interest","establishment"]}</t>
  </si>
  <si>
    <t>Civic Helicopters, Inc.</t>
  </si>
  <si>
    <t>ChIJB9XriF1z3IARLzGn-IRtC2E</t>
  </si>
  <si>
    <t>2206 Palomar Airport Rd Suite H, Carlsbad, CA 92011, USA</t>
  </si>
  <si>
    <t>{"html_attributions":[],"result":{"address_components":[{"long_name":"Suite H","short_name":"Suite H","types":["subpremise"]},{"long_name":"2206","short_name":"2206","types":["street_number"]},{"long_name":"Palomar Airport Road","short_name":"Palomar Airport Rd","types":["route"]},{"long_name":"Carlsbad","short_name":"Carlsbad","types":["locality","political"]},{"long_name":"San Diego County","short_name":"San Diego County","types":["administrative_area_level_2","political"]},{"long_name":"California","short_name":"CA","types":["administrative_area_level_1","political"]},{"long_name":"United States","short_name":"US","types":["country","political"]},{"long_name":"92011","short_name":"92011","types":["postal_code"]}],"adr_address":"&lt;span class=\"street-address\"&gt;2206 Palomar Airport Rd Suite H&lt;/span&gt;, &lt;span class=\"locality\"&gt;Carlsbad&lt;/span&gt;, &lt;span class=\"region\"&gt;CA&lt;/span&gt; &lt;span class=\"postal-code\"&gt;92011&lt;/span&gt;, &lt;span class=\"country-name\"&gt;USA&lt;/span&gt;","formatted_address":"2206 Palomar Airport Rd Suite H, Carlsbad, CA 92011, USA","formatted_phone_number":"(760) 438-8424","geometry":{"location":{"lat":33.1257805,"lng":-117.2754738},"viewport":{"northeast":{"lat":33.12705888029149,"lng":-117.2742051697085},"southwest":{"lat":33.12436091970849,"lng":-117.2769031302915}}},"icon":"https://maps.gstatic.com/mapfiles/place_api/icons/v1/png_71/school-71.png","id":null,"international_phone_number":"+1 760-438-8424","name":"Civic Helicopters, Inc.","place_id":"ChIJB9XriF1z3IARLzGn-IRtC2E","rating":3.8,"reference":null,"reviews":[{"author_name":"gen saw","author_url":"https://www.google.com/maps/contrib/104483762454983731394/reviews","language":"en","profile_photo_url":"https://lh3.googleusercontent.com/a-/AOh14Ggh8NyhQOdg_WSvt8w5-FC7bF6i0iE5ZK1q90ptPZI=s128-c0x00000000-cc-rp-mo-ba5","rating":5,"relative_time_description":"3 weeks ago","text":"I came to this location to take my Part 107 Knowledge test since they are a PSI testing site. They were very professional and made it very easy for me to understand the procedures despite it being my first time there. There is public parking nearby across the street, just not directly by the building.","time":1611360076},{"author_name":"Steven Porter","author_url":"https://www.google.com/maps/contrib/109507220006946236867/reviews","language":"en","profile_photo_url":"https://lh3.googleusercontent.com/a-/AOh14GhlkTwojEDVsSacwGZqjiilAHjKBdNTOJ-agbtMQg=s128-c0x00000000-cc-rp-mo-ba3","rating":4,"relative_time_description":"4 months ago","text":"I recently took my drone pilot test here, and it was great! Friendly staff and a good, quiet testing environment.","time":1601081046},{"author_name":"Leslie Lutz","author_url":"https://www.google.com/maps/contrib/108507893186883345661/reviews","language":"en","profile_photo_url":"https://lh3.googleusercontent.com/-lSLolz8gvFw/AAAAAAAAAAI/AAAAAAAAAAA/AMZuucnLKpAKWhYepAXoTbHA1f0rk6HrWQ/s128-c0x00000000-cc-rp-mo/photo.jpg","rating":5,"relative_time_description":"7 months ago","text":"Love Love the helicopter ride. Candace and Chin flew me down to San Diego and back. Great views.","time":1593804415},{"author_name":"Noa “DaPinkCat” Kaloa","author_url":"https://www.google.com/maps/contrib/114269586339880132096/reviews","language":"en","profile_photo_url":"https://lh3.googleusercontent.com/a-/AOh14GifVjQOcIOvr2-ZlxFXu8Qepvkza5B-_UYSI2gt3g=s128-c0x00000000-cc-rp-mo-ba5","rating":5,"relative_time_description":"a year ago","text":"107 Drone Testing Site.  Great girls that work there, in and out.  If you need a place in North County San Diego to test for the 107, it's here.","time":1565811419},{"author_name":"Nolan Thomas77","author_url":"https://www.google.com/maps/contrib/114925246696370766295/reviews","language":"en","profile_photo_url":"https://lh3.googleusercontent.com/a-/AOh14Gh-h40UkpzmxZeLYJ_CvwyjPhsqwwBdQU_9NpSYvA=s128-c0x00000000-cc-rp-mo-ba3","rating":1,"relative_time_description":"a year ago","text":"Candice (chief flight instructor) was the rudest person I have ever met at any flight school. I had called in and made an appointment to take a tour of the school, i was looking for a flight school to finish up my training. And was met with nothing but hostility and rudeness. She didnt even show me around the school, talk about prices or anything. This would be the last flight school on earth i would ever go to","time":1552500807}],"types":["university","point_of_interest","establishment"],"url":"https://maps.google.com/?cid=6992803264297644335","utc_offset":-480,"vicinity":"2206 Palomar Airport Road Suite H, Carlsbad","website":"http://dev.civichelicopters.com/"},"status":"OK"}</t>
  </si>
  <si>
    <t>&lt;span class="street-address"&gt;2206 Palomar Airport Rd Suite H&lt;/span&gt;, &lt;span class="locality"&gt;Carlsbad&lt;/span&gt;, &lt;span class="region"&gt;CA&lt;/span&gt; &lt;span class="postal-code"&gt;92011&lt;/span&gt;, &lt;span class="country-name"&gt;USA&lt;/span&gt;</t>
  </si>
  <si>
    <t>(760) 438-8424</t>
  </si>
  <si>
    <t>https://maps.gstatic.com/mapfiles/place_api/icons/v1/png_71/school-71.png</t>
  </si>
  <si>
    <t>+1 760-438-8424</t>
  </si>
  <si>
    <t>university,point_of_interest,establishment</t>
  </si>
  <si>
    <t>2206 Palomar Airport Road Suite H, Carlsbad</t>
  </si>
  <si>
    <t>http://dev.civichelicopters.com/</t>
  </si>
  <si>
    <t>https://maps.googleapis.com/maps/api/place/findplacefromtext/json?input=%2B17609291009 &amp;inputtype=phonenumber&amp;fields=business_status,formatted_address,geometry,icon,name,permanently_closed,place_id,plus_code,types&amp;key=AIzaSyAUoR1hu32epmid_r-h7_AiXQWhNu3zr3U</t>
  </si>
  <si>
    <t>{"business_status":"OPERATIONAL","formatted_address":"2210 Palomar Airport Rd, Carlsbad, CA 92011, USA","geometry":{"location":{"lat":33.1269518,"lng":-117.2758425},"viewport":{"northeast":{"lat":33.1276866302915,"lng":-117.2744846197085},"southwest":{"lat":33.1249886697085,"lng":-117.2771825802915}}},"icon":"https://maps.gstatic.com/mapfiles/place_api/icons/v1/png_71/school-71.png","name":"Pinnacle Aviation Academy","place_id":"ChIJqUU7cmdz3IARBq56gS7m7bE","plus_code":{"compound_code":"4PGF+QM Carlsbad, CA, USA","global_code":"85544PGF+QM"},"types":["university","point_of_interest","establishment"]}</t>
  </si>
  <si>
    <t>Pinnacle Aviation Academy</t>
  </si>
  <si>
    <t>ChIJqUU7cmdz3IARBq56gS7m7bE</t>
  </si>
  <si>
    <t>2210 Palomar Airport Rd, Carlsbad, CA 92011, USA</t>
  </si>
  <si>
    <t>{"html_attributions":[],"result":{"address_components":[{"long_name":"2210","short_name":"2210","types":["street_number"]},{"long_name":"Palomar Airport Road","short_name":"Palomar Airport Rd","types":["route"]},{"long_name":"Carlsbad","short_name":"Carlsbad","types":["locality","political"]},{"long_name":"San Diego County","short_name":"San Diego County","types":["administrative_area_level_2","political"]},{"long_name":"California","short_name":"CA","types":["administrative_area_level_1","political"]},{"long_name":"United States","short_name":"US","types":["country","political"]},{"long_name":"92011","short_name":"92011","types":["postal_code"]},{"long_name":"4416","short_name":"4416","types":["postal_code_suffix"]}],"adr_address":"&lt;span class=\"street-address\"&gt;2210 Palomar Airport Rd&lt;/span&gt;, &lt;span class=\"locality\"&gt;Carlsbad&lt;/span&gt;, &lt;span class=\"region\"&gt;CA&lt;/span&gt; &lt;span class=\"postal-code\"&gt;92011-4416&lt;/span&gt;, &lt;span class=\"country-name\"&gt;USA&lt;/span&gt;","formatted_address":"2210 Palomar Airport Rd, Carlsbad, CA 92011, USA","formatted_phone_number":"(760) 929-1009","geometry":{"location":{"lat":33.1269518,"lng":-117.2758425},"viewport":{"northeast":{"lat":33.1276866302915,"lng":-117.2744846197085},"southwest":{"lat":33.1249886697085,"lng":-117.2771825802915}}},"icon":"https://maps.gstatic.com/mapfiles/place_api/icons/v1/png_71/school-71.png","id":null,"international_phone_number":"+1 760-929-1009","name":"Pinnacle Aviation Academy","place_id":"ChIJqUU7cmdz3IARBq56gS7m7bE","rating":4.6,"reference":null,"reviews":[{"author_name":"Victor Burns","author_url":"https://www.google.com/maps/contrib/115196875472986817674/reviews","language":"en","profile_photo_url":"https://lh3.googleusercontent.com/a-/AOh14GgyADphiGOwqmbY6vrVruxamVeDyqKAy6ohAwXu=s128-c0x00000000-cc-rp-mo","rating":5,"relative_time_description":"3 months ago","text":"Visited their little pilot shop which carrries the basics you might need, books mostly, some manual flight computers, a couple basic headsets etc.  Nice staff.","time":1603761417},{"author_name":"Dan B","author_url":"https://www.google.com/maps/contrib/116703388826174588775/reviews","language":"en","profile_photo_url":"https://lh4.googleusercontent.com/-tPzUmzQgds0/AAAAAAAAAAI/AAAAAAAAAAA/AMZuucm9xmJUiPO6tLb_4Dp-FvT2EKbXUg/s128-c0x00000000-cc-rp-mo-ba4/photo.jpg","rating":5,"relative_time_description":"4 months ago","text":"I took an introductory flight with Pinnacle Aviation Academy earlier this week. It was a great experience! My pilot instructor was Franzi Hammer. She was friendly and upbeat. Franzi answered all my questions and I was very comfortable flying with her. The entire process was about an hour with about 35 minutes in the air in our Cessna 172! I didn’t really plan on getting my pilots license but since the introductory flight i now think I’m going to pursue it in 2021. I highly recommend Pinnacle if you’re interested in flying and reach out to Franzi if you don’t already have a pilot instructor.","time":1602268400},{"author_name":"Peter Friese","author_url":"https://www.google.com/maps/contrib/105687425377019994584/reviews","language":"en","profile_photo_url":"https://lh3.googleusercontent.com/a-/AOh14Gjz-lUMZzRVu3d-uOvJZ6Ez15OHw4wnNWtSZ-utzQ=s128-c0x00000000-cc-rp-mo-ba3","rating":5,"relative_time_description":"6 months ago","text":"The best flight instructors I've ever had combined with exceptional staff make Pinnacle Aviation Academy my go-to when looking for flying lessons.","time":1596164407},{"author_name":"Samuel Munday","author_url":"https://www.google.com/maps/contrib/114032058202266033740/reviews","language":"en","profile_photo_url":"https://lh3.googleusercontent.com/-CoDT-k0Fkrg/AAAAAAAAAAI/AAAAAAAAAKw/AMZuucmps6hRU19KBGKzPlPW__aCvVBYoA/s128-c0x00000000-cc-rp-mo/photo.jpg","rating":5,"relative_time_description":"9 months ago","text":"Amazing, great instructor and the most modern aircraft available.  I used a Cessna 172 with g1000.","time":1588288042},{"author_name":"LAEL LEONE","author_url":"https://www.google.com/maps/contrib/116112328632547826949/reviews","language":"en","profile_photo_url":"https://lh3.googleusercontent.com/a-/AOh14Gj6GYM-H9QivTlVZJJkjA4LSEB7f6n3TZx8iNCt19U=s128-c0x00000000-cc-rp-mo-ba2","rating":5,"relative_time_description":"a year ago","text":"Everyone there has a positive attitude, very helpful. Steadfast determination for excellence. Well kept equipment. I’ve had very good experiences every time at instructional flight school.","time":1561465099}],"types":["university","point_of_interest","establishment"],"url":"https://maps.google.com/?cid=12821156801608855046","utc_offset":-480,"vicinity":"2210 Palomar Airport Road, Carlsbad","website":"http://www.pinnacleacademy.com/"},"status":"OK"}</t>
  </si>
  <si>
    <t>&lt;span class="street-address"&gt;2210 Palomar Airport Rd&lt;/span&gt;, &lt;span class="locality"&gt;Carlsbad&lt;/span&gt;, &lt;span class="region"&gt;CA&lt;/span&gt; &lt;span class="postal-code"&gt;92011-4416&lt;/span&gt;, &lt;span class="country-name"&gt;USA&lt;/span&gt;</t>
  </si>
  <si>
    <t>(760) 929-1009</t>
  </si>
  <si>
    <t>+1 760-929-1009</t>
  </si>
  <si>
    <t>2210 Palomar Airport Road, Carlsbad</t>
  </si>
  <si>
    <t>http://www.pinnacleacademy.com/</t>
  </si>
  <si>
    <t>https://maps.googleapis.com/maps/api/place/findplacefromtext/json?input=%2B16199802116&amp;inputtype=phonenumber&amp;fields=business_status,formatted_address,geometry,icon,name,permanently_closed,place_id,plus_code,types&amp;key=AIzaSyAUoR1hu32epmid_r-h7_AiXQWhNu3zr3U</t>
  </si>
  <si>
    <t>{"business_status":"OPERATIONAL","formatted_address":"565 Hygeia Ave, Encinitas, CA 92024, USA","geometry":{"location":{"lat":33.060731,"lng":-117.2960612},"viewport":{"northeast":{"lat":33.0618514802915,"lng":-117.2949771197085},"southwest":{"lat":33.0591535197085,"lng":-117.2976750802915}}},"icon":"https://maps.gstatic.com/mapfiles/place_api/icons/v1/png_71/generic_business-71.png","name":"Diamond Aviation","place_id":"ChIJMeA31_UM3IAROFLGmKJHT6g","plus_code":{"compound_code":"3P63+7H Encinitas, CA, USA","global_code":"85543P63+7H"},"types":["point_of_interest","establishment"]}</t>
  </si>
  <si>
    <t>ChIJMeA31_UM3IAROFLGmKJHT6g</t>
  </si>
  <si>
    <t>565 Hygeia Ave, Encinitas, CA 92024, USA</t>
  </si>
  <si>
    <t>{"html_attributions":[],"result":{"address_components":[{"long_name":"565","short_name":"565","types":["street_number"]},{"long_name":"Hygeia Avenue","short_name":"Hygeia Ave","types":["route"]},{"long_name":"Leucadia","short_name":"Leucadia","types":["neighborhood","political"]},{"long_name":"Encinitas","short_name":"Encinitas","types":["locality","political"]},{"long_name":"San Diego County","short_name":"San Diego County","types":["administrative_area_level_2","political"]},{"long_name":"California","short_name":"CA","types":["administrative_area_level_1","political"]},{"long_name":"United States","short_name":"US","types":["country","political"]},{"long_name":"92024","short_name":"92024","types":["postal_code"]},{"long_name":"2676","short_name":"2676","types":["postal_code_suffix"]}],"adr_address":"&lt;span class=\"street-address\"&gt;565 Hygeia Ave&lt;/span&gt;, &lt;span class=\"locality\"&gt;Encinitas&lt;/span&gt;, &lt;span class=\"region\"&gt;CA&lt;/span&gt; &lt;span class=\"postal-code\"&gt;92024-2676&lt;/span&gt;, &lt;span class=\"country-name\"&gt;USA&lt;/span&gt;","formatted_address":"565 Hygeia Ave, Encinitas, CA 92024, USA","formatted_phone_number":"(619) 980-2116","geometry":{"location":{"lat":33.060731,"lng":-117.2960612},"viewport":{"northeast":{"lat":33.0618514802915,"lng":-117.2949771197085},"southwest":{"lat":33.0591535197085,"lng":-117.2976750802915}}},"icon":"https://maps.gstatic.com/mapfiles/place_api/icons/v1/png_71/generic_business-71.png","id":null,"international_phone_number":"+1 619-980-2116","name":"Diamond Aviation","place_id":"ChIJMeA31_UM3IAROFLGmKJHT6g","rating":null,"reference":null,"reviews":null,"types":["point_of_interest","establishment"],"url":"https://maps.google.com/?cid=12127991085205443128","utc_offset":-480,"vicinity":"565 Hygeia Avenue, Encinitas","website":"http://www.diamondaviation.biz/"},"status":"OK"}</t>
  </si>
  <si>
    <t>&lt;span class="street-address"&gt;565 Hygeia Ave&lt;/span&gt;, &lt;span class="locality"&gt;Encinitas&lt;/span&gt;, &lt;span class="region"&gt;CA&lt;/span&gt; &lt;span class="postal-code"&gt;92024-2676&lt;/span&gt;, &lt;span class="country-name"&gt;USA&lt;/span&gt;</t>
  </si>
  <si>
    <t>(619) 980-2116</t>
  </si>
  <si>
    <t>+1 619-980-2116</t>
  </si>
  <si>
    <t>565 Hygeia Avenue, Encinitas</t>
  </si>
  <si>
    <t>http://www.diamondaviation.biz/</t>
  </si>
  <si>
    <t>https://maps.googleapis.com/maps/api/place/findplacefromtext/json?input=Global%20Aviation%20Consulting%2C%20LLC%202198%20Palomar%20Airport%20Road%20%20Carlsbad%20CA%2092011&amp;key=AIzaSyAUoR1hu32epmid_r-h7_AiXQWhNu3zr3U&amp;inputtype=textquery&amp;fields=business_status,formatted_address,geometry,icon,name,permanently_closed,place_id,plus_code,types</t>
  </si>
  <si>
    <t>{"business_status":"OPERATIONAL","formatted_address":"2198 Palomar Airport Rd, Carlsbad, CA 92011, United States","geometry":{"location":{"lat":33.1253933,"lng":-117.2761997},"viewport":{"northeast":{"lat":33.12680822989272,"lng":-117.2749192701072},"southwest":{"lat":33.12410857010728,"lng":-117.2776189298927}}},"icon":"https://maps.gstatic.com/mapfiles/place_api/icons/v1/png_71/generic_business-71.png","name":"Global Aviation Consulting","place_id":"ChIJq6qag2dz3IARCqDeus-qTNg","plus_code":{"compound_code":"4PGF+5G Carlsbad, California","global_code":"85544PGF+5G"},"types":["point_of_interest","establishment"]}</t>
  </si>
  <si>
    <t>Global Aviation Consulting</t>
  </si>
  <si>
    <t>ChIJq6qag2dz3IARCqDeus-qTNg</t>
  </si>
  <si>
    <t>2198 Palomar Airport Rd, Carlsbad, CA 92011, United States</t>
  </si>
  <si>
    <t>{"html_attributions":[],"result":{"address_components":[{"long_name":"2198","short_name":"2198","types":["street_number"]},{"long_name":"Palomar Airport Road","short_name":"Palomar Airport Rd","types":["route"]},{"long_name":"Carlsbad","short_name":"Carlsbad","types":["locality","political"]},{"long_name":"San Diego County","short_name":"San Diego County","types":["administrative_area_level_2","political"]},{"long_name":"California","short_name":"CA","types":["administrative_area_level_1","political"]},{"long_name":"United States","short_name":"US","types":["country","political"]},{"long_name":"92011","short_name":"92011","types":["postal_code"]}],"adr_address":"&lt;span class=\"street-address\"&gt;2198 Palomar Airport Rd&lt;/span&gt;, &lt;span class=\"locality\"&gt;Carlsbad&lt;/span&gt;, &lt;span class=\"region\"&gt;CA&lt;/span&gt; &lt;span class=\"postal-code\"&gt;92011&lt;/span&gt;, &lt;span class=\"country-name\"&gt;USA&lt;/span&gt;","formatted_address":"2198 Palomar Airport Rd, Carlsbad, CA 92011, USA","formatted_phone_number":"(858) 227-9593","geometry":{"location":{"lat":33.1253933,"lng":-117.2761997},"viewport":{"northeast":{"lat":33.1268073802915,"lng":-117.2749201197085},"southwest":{"lat":33.1241094197085,"lng":-117.2776180802915}}},"icon":"https://maps.gstatic.com/mapfiles/place_api/icons/v1/png_71/generic_business-71.png","id":null,"international_phone_number":"+1 858-227-9593","name":"Global Aviation Consulting","place_id":"ChIJq6qag2dz3IARCqDeus-qTNg","rating":null,"reference":null,"reviews":null,"types":["point_of_interest","establishment"],"url":"https://maps.google.com/?cid=15586020219592548362","utc_offset":-480,"vicinity":"2198 Palomar Airport Road, Carlsbad","website":"http://globalavicon.com/?page_id=662"},"status":"OK"}</t>
  </si>
  <si>
    <t>&lt;span class="street-address"&gt;2198 Palomar Airport Rd&lt;/span&gt;, &lt;span class="locality"&gt;Carlsbad&lt;/span&gt;, &lt;span class="region"&gt;CA&lt;/span&gt; &lt;span class="postal-code"&gt;92011&lt;/span&gt;, &lt;span class="country-name"&gt;USA&lt;/span&gt;</t>
  </si>
  <si>
    <t>(858) 227-9593</t>
  </si>
  <si>
    <t>+1 858-227-9593</t>
  </si>
  <si>
    <t>2198 Palomar Airport Road, Carlsbad</t>
  </si>
  <si>
    <t>http://globalavicon.com/?page_id=662</t>
  </si>
  <si>
    <t>https://maps.googleapis.com/maps/api/place/findplacefromtext/json?input=%2B17609309315&amp;inputtype=phonenumber&amp;fields=business_status,formatted_address,geometry,icon,name,permanently_closed,place_id,plus_code,types&amp;key=AIzaSyAUoR1hu32epmid_r-h7_AiXQWhNu3zr3U</t>
  </si>
  <si>
    <t>{"business_status":"OPERATIONAL","formatted_address":"2006 Palomar Airport Rd #101, Carlsbad, CA 92011, USA","geometry":{"location":{"lat":33.125482,"lng":-117.281969},"viewport":{"northeast":{"lat":33.1269034802915,"lng":-117.2801523197085},"southwest":{"lat":33.1242055197085,"lng":-117.2828502802915}}},"icon":"https://maps.gstatic.com/mapfiles/place_api/icons/v1/png_71/generic_business-71.png","name":"Jet Methods","place_id":"ChIJCcQxKxVz3IARkFIjyNqsXMc","plus_code":{"compound_code":"4PG9+56 Carlsbad, CA, USA","global_code":"85544PG9+56"},"types":["point_of_interest","establishment"]}</t>
  </si>
  <si>
    <t>ChIJCcQxKxVz3IARkFIjyNqsXMc</t>
  </si>
  <si>
    <t>2006 Palomar Airport Rd #101, Carlsbad, CA 92011, USA</t>
  </si>
  <si>
    <t>{"html_attributions":[],"result":{"address_components":[{"long_name":"101","short_name":"101","types":["subpremise"]},{"long_name":"2006","short_name":"2006","types":["street_number"]},{"long_name":"Palomar Airport Road","short_name":"Palomar Airport Rd","types":["route"]},{"long_name":"Carlsbad","short_name":"Carlsbad","types":["locality","political"]},{"long_name":"San Diego County","short_name":"San Diego County","types":["administrative_area_level_2","political"]},{"long_name":"California","short_name":"CA","types":["administrative_area_level_1","political"]},{"long_name":"United States","short_name":"US","types":["country","political"]},{"long_name":"92011","short_name":"92011","types":["postal_code"]}],"adr_address":"&lt;span class=\"street-address\"&gt;2006 Palomar Airport Rd #101&lt;/span&gt;, &lt;span class=\"locality\"&gt;Carlsbad&lt;/span&gt;, &lt;span class=\"region\"&gt;CA&lt;/span&gt; &lt;span class=\"postal-code\"&gt;92011&lt;/span&gt;, &lt;span class=\"country-name\"&gt;USA&lt;/span&gt;","formatted_address":"2006 Palomar Airport Rd #101, Carlsbad, CA 92011, USA","formatted_phone_number":"(760) 930-9315","geometry":{"location":{"lat":33.125482,"lng":-117.281969},"viewport":{"northeast":{"lat":33.1269034802915,"lng":-117.2801523197085},"southwest":{"lat":33.1242055197085,"lng":-117.2828502802915}}},"icon":"https://maps.gstatic.com/mapfiles/place_api/icons/v1/png_71/generic_business-71.png","id":null,"international_phone_number":"+1 760-930-9315","name":"Jet Methods","place_id":"ChIJCcQxKxVz3IARkFIjyNqsXMc","rating":null,"reference":null,"reviews":null,"types":["point_of_interest","establishment"],"url":"https://maps.google.com/?cid=14365546967065645712","utc_offset":-480,"vicinity":"2006 Palomar Airport Road #101, Carlsbad","website":"https://jetmethods.com/"},"status":"OK"}</t>
  </si>
  <si>
    <t>&lt;span class="street-address"&gt;2006 Palomar Airport Rd #101&lt;/span&gt;, &lt;span class="locality"&gt;Carlsbad&lt;/span&gt;, &lt;span class="region"&gt;CA&lt;/span&gt; &lt;span class="postal-code"&gt;92011&lt;/span&gt;, &lt;span class="country-name"&gt;USA&lt;/span&gt;</t>
  </si>
  <si>
    <t>(760) 930-9315</t>
  </si>
  <si>
    <t>+1 760-930-9315</t>
  </si>
  <si>
    <t>2006 Palomar Airport Road #101, Carlsbad</t>
  </si>
  <si>
    <t>https://jetmethods.com/</t>
  </si>
  <si>
    <t>https://maps.googleapis.com/maps/api/place/findplacefromtext/json?input=%2B17603853610&amp;inputtype=phonenumber&amp;fields=business_status,formatted_address,geometry,icon,name,permanently_closed,place_id,plus_code,types&amp;key=AIzaSyAUoR1hu32epmid_r-h7_AiXQWhNu3zr3U</t>
  </si>
  <si>
    <t>{"business_status":"OPERATIONAL","formatted_address":"2100 Palomar Airport Rd #211, Carlsbad, CA 92011, USA","geometry":{"location":{"lat":33.1267884,"lng":-117.2787256},"viewport":{"northeast":{"lat":33.1279386302915,"lng":-117.2774154697085},"southwest":{"lat":33.1252406697085,"lng":-117.2801134302915}}},"icon":"https://maps.gstatic.com/mapfiles/place_api/icons/v1/png_71/generic_business-71.png","name":"Latitude 33 Aviation","place_id":"ChIJZXwq3Gdz3IARIl48lxeWh4s","plus_code":{"compound_code":"4PGC+PG Carlsbad, CA, USA","global_code":"85544PGC+PG"},"types":["point_of_interest","establishment"]}</t>
  </si>
  <si>
    <t>Latitude 33 Aviation</t>
  </si>
  <si>
    <t>ChIJZXwq3Gdz3IARIl48lxeWh4s</t>
  </si>
  <si>
    <t>2100 Palomar Airport Rd #211, Carlsbad, CA 92011, USA</t>
  </si>
  <si>
    <t>{"html_attributions":[],"result":{"address_components":[{"long_name":"211","short_name":"211","types":["subpremise"]},{"long_name":"2100","short_name":"2100","types":["street_number"]},{"long_name":"Palomar Airport Road","short_name":"Palomar Airport Rd","types":["route"]},{"long_name":"Carlsbad","short_name":"Carlsbad","types":["locality","political"]},{"long_name":"San Diego County","short_name":"San Diego County","types":["administrative_area_level_2","political"]},{"long_name":"California","short_name":"CA","types":["administrative_area_level_1","political"]},{"long_name":"United States","short_name":"US","types":["country","political"]},{"long_name":"92011","short_name":"92011","types":["postal_code"]}],"adr_address":"&lt;span class=\"street-address\"&gt;2100 Palomar Airport Rd #211&lt;/span&gt;, &lt;span class=\"locality\"&gt;Carlsbad&lt;/span&gt;, &lt;span class=\"region\"&gt;CA&lt;/span&gt; &lt;span class=\"postal-code\"&gt;92011&lt;/span&gt;, &lt;span class=\"country-name\"&gt;USA&lt;/span&gt;","formatted_address":"2100 Palomar Airport Rd #211, Carlsbad, CA 92011, USA","formatted_phone_number":"(800) 840-0310","geometry":{"location":{"lat":33.1267884,"lng":-117.2787256},"viewport":{"northeast":{"lat":33.1279386302915,"lng":-117.2774154697085},"southwest":{"lat":33.1252406697085,"lng":-117.2801134302915}}},"icon":"https://maps.gstatic.com/mapfiles/place_api/icons/v1/png_71/generic_business-71.png","id":null,"international_phone_number":"+1 800-840-0310","name":"Latitude 33 Aviation","place_id":"ChIJZXwq3Gdz3IARIl48lxeWh4s","rating":5.0,"reference":null,"reviews":[{"author_name":"Sean Deering","author_url":"https://www.google.com/maps/contrib/115605789215911008676/reviews","language":"en","profile_photo_url":"https://lh3.googleusercontent.com/a-/AOh14Gi4CaIBnIZupYmrZPAT96r9W1crw_wdGMtt9qm8fw=s128-c0x00000000-cc-rp-mo-ba6","rating":5,"relative_time_description":"2 years ago","text":"FLIGHTS &amp; JET PURCHASING IN SAN DIEGO AND LOS ANGELES","time":1545441250},{"author_name":"Zachary A","author_url":"https://www.google.com/maps/contrib/109125340354122928146/reviews","language":null,"profile_photo_url":"https://lh3.googleusercontent.com/a-/AOh14GgJSsXGx7DPriCKNwxOOpJP3dMzqRuOZmv1nPXU6w=s128-c0x00000000-cc-rp-mo","rating":5,"relative_time_description":"a year ago","text":"","time":1559340098},{"author_name":"Joseph Ngabo","author_url":"https://www.google.com/maps/contrib/111940868335762082552/reviews","language":null,"profile_photo_url":"https://lh4.googleusercontent.com/-GGJS5NL1S1M/AAAAAAAAAAI/AAAAAAAAAAA/AMZuuclWHdX_x4E5l0vKcSRs_bhQ5NjMaA/s128-c0x00000000-cc-rp-mo/photo.jpg","rating":5,"relative_time_description":"a year ago","text":"","time":1551667917}],"types":["point_of_interest","establishment"],"url":"https://maps.google.com/?cid=10054169721193651746","utc_offset":-480,"vicinity":"2100 Palomar Airport Road #211, Carlsbad","website":"https://www.l33jets.com/?utm_source=google&amp;utm_medium=organic&amp;utm_campaign=gmb"},"status":"OK"}</t>
  </si>
  <si>
    <t>&lt;span class="street-address"&gt;2100 Palomar Airport Rd #211&lt;/span&gt;, &lt;span class="locality"&gt;Carlsbad&lt;/span&gt;, &lt;span class="region"&gt;CA&lt;/span&gt; &lt;span class="postal-code"&gt;92011&lt;/span&gt;, &lt;span class="country-name"&gt;USA&lt;/span&gt;</t>
  </si>
  <si>
    <t>(800) 840-0310</t>
  </si>
  <si>
    <t>+1 800-840-0310</t>
  </si>
  <si>
    <t>2100 Palomar Airport Road #211, Carlsbad</t>
  </si>
  <si>
    <t>https://www.l33jets.com/?utm_source=google&amp;utm_medium=organic&amp;utm_campaign=gmb</t>
  </si>
  <si>
    <t>https://maps.googleapis.com/maps/api/place/findplacefromtext/json?input=%2B18583813435&amp;inputtype=phonenumber&amp;fields=business_status,formatted_address,geometry,icon,name,permanently_closed,place_id,plus_code,types&amp;key=AIzaSyAUoR1hu32epmid_r-h7_AiXQWhNu3zr3U</t>
  </si>
  <si>
    <t>{"business_status":"OPERATIONAL","formatted_address":"2006 Palomar Airport Rd STE 210, Carlsbad, CA 92011, USA","geometry":{"location":{"lat":33.1255204,"lng":-117.2820321},"viewport":{"northeast":{"lat":33.1269361302915,"lng":-117.2801867697085},"southwest":{"lat":33.12423816970851,"lng":-117.2828847302915}}},"icon":"https://maps.gstatic.com/mapfiles/place_api/icons/v1/png_71/generic_business-71.png","name":"Premier Air Charter, LLC","place_id":"ChIJ-4GxNKdU2YAR1U_hy0RDsM8","plus_code":{"compound_code":"4PG9+65 Carlsbad, CA, USA","global_code":"85544PG9+65"},"types":["airport","point_of_interest","establishment"]}</t>
  </si>
  <si>
    <t>ChIJ-4GxNKdU2YAR1U_hy0RDsM8</t>
  </si>
  <si>
    <t>2006 Palomar Airport Rd STE 210, Carlsbad, CA 92011, USA</t>
  </si>
  <si>
    <t>{"html_attributions":[],"result":{"address_components":[{"long_name":"STE 210","short_name":"STE 210","types":["subpremise"]},{"long_name":"2006","short_name":"2006","types":["street_number"]},{"long_name":"Palomar Airport Road","short_name":"Palomar Airport Rd","types":["route"]},{"long_name":"Carlsbad","short_name":"Carlsbad","types":["locality","political"]},{"long_name":"San Diego County","short_name":"San Diego County","types":["administrative_area_level_2","political"]},{"long_name":"California","short_name":"CA","types":["administrative_area_level_1","political"]},{"long_name":"United States","short_name":"US","types":["country","political"]},{"long_name":"92011","short_name":"92011","types":["postal_code"]}],"adr_address":"&lt;span class=\"street-address\"&gt;2006 Palomar Airport Rd STE 210&lt;/span&gt;, &lt;span class=\"locality\"&gt;Carlsbad&lt;/span&gt;, &lt;span class=\"region\"&gt;CA&lt;/span&gt; &lt;span class=\"postal-code\"&gt;92011&lt;/span&gt;, &lt;span class=\"country-name\"&gt;USA&lt;/span&gt;","formatted_address":"2006 Palomar Airport Rd STE 210, Carlsbad, CA 92011, USA","formatted_phone_number":"(858) 381-3435","geometry":{"location":{"lat":33.1255204,"lng":-117.2820321},"viewport":{"northeast":{"lat":33.1269361302915,"lng":-117.2801867697085},"southwest":{"lat":33.12423816970851,"lng":-117.2828847302915}}},"icon":"https://maps.gstatic.com/mapfiles/place_api/icons/v1/png_71/generic_business-71.png","id":null,"international_phone_number":"+1 858-381-3435","name":"Premier Air Charter, LLC","place_id":"ChIJ-4GxNKdU2YAR1U_hy0RDsM8","rating":5.0,"reference":null,"reviews":[{"author_name":"Martin Neill","author_url":"https://www.google.com/maps/contrib/107135204238605948311/reviews","language":"en","profile_photo_url":"https://lh4.googleusercontent.com/-gL4GNq4CWCI/AAAAAAAAAAI/AAAAAAAAAAA/AMZuucn5BBi-T586fmITf0_FV0dneefeNA/s128-c0x00000000-cc-rp-mo/photo.jpg","rating":5,"relative_time_description":"7 months ago","text":"Absolutely first class. Wonderful aircraft and wonderful crew. It was simple, quick and easy to book (including the multiple changes we made!). The King Air was in first class condition and a pleasure to fly in. The crew led by Captain Lucas was first rate. Will use Premier again and recommend them to other.","time":1594823745},{"author_name":"Deana Carter","author_url":"https://www.google.com/maps/contrib/112262165297677608562/reviews","language":"en","profile_photo_url":"https://lh4.googleusercontent.com/-fpVGlbtqpUg/AAAAAAAAAAI/AAAAAAAAAAA/AMZuucnqBCz8gtzQ27R9pJBwZLuicAS9BA/s128-c0x00000000-cc-rp-mo/photo.jpg","rating":5,"relative_time_description":"2 months ago","text":"Very professional, wonderful staff, very professional. I highly recommend them.","time":1606017706},{"author_name":"julie Neill","author_url":"https://www.google.com/maps/contrib/117265085572029593676/reviews","language":"en","profile_photo_url":"https://lh4.googleusercontent.com/-wYeSLbWj3ZM/AAAAAAAAAAI/AAAAAAAAAAA/AMZuucmpHCAv7jf1KouEvXwYf0YVNQMtAg/s128-c0x00000000-cc-rp-mo/photo.jpg","rating":5,"relative_time_description":"7 months ago","text":"Have used this company a number of times for business and personal flights.  They have a range of planes to suit all numbers and distances. Pilots and staff are always professional and friendly. Would highly recommend.","time":1594743993},{"author_name":"Amy Wing Scannell","author_url":"https://www.google.com/maps/contrib/114013849235820278332/reviews","language":"en","profile_photo_url":"https://lh3.googleusercontent.com/a-/AOh14Gie_Our-MzNwHvtjfhNjkrQxxTh1guI5yudDprB=s128-c0x00000000-cc-rp-mo","rating":5,"relative_time_description":"7 months ago","text":"Very impressed with the customer service at Premier Air! Had a lovely phone conversation with the receptionist and really appreciated her tone and attention to detail.  Would recommend!","time":1594750565}],"types":["airport","point_of_interest","establishment"],"url":"https://maps.google.com/?cid=14965535524509536213","utc_offset":-480,"vicinity":"2006 Palomar Airport Road STE 210, Carlsbad","website":"https://premieraircharter.com/?utm_source=google&amp;utm_medium=organic&amp;utm_campaign=gmb-listing"},"status":"OK"}</t>
  </si>
  <si>
    <t>&lt;span class="street-address"&gt;2006 Palomar Airport Rd STE 210&lt;/span&gt;, &lt;span class="locality"&gt;Carlsbad&lt;/span&gt;, &lt;span class="region"&gt;CA&lt;/span&gt; &lt;span class="postal-code"&gt;92011&lt;/span&gt;, &lt;span class="country-name"&gt;USA&lt;/span&gt;</t>
  </si>
  <si>
    <t>(858) 381-3435</t>
  </si>
  <si>
    <t>+1 858-381-3435</t>
  </si>
  <si>
    <t>airport,point_of_interest,establishment</t>
  </si>
  <si>
    <t>2006 Palomar Airport Road STE 210, Carlsbad</t>
  </si>
  <si>
    <t>https://premieraircharter.com/?utm_source=google&amp;utm_medium=organic&amp;utm_campaign=gmb-listing</t>
  </si>
  <si>
    <t>https://maps.googleapis.com/maps/api/place/findplacefromtext/json?input=%2B17609290307&amp;inputtype=phonenumber&amp;fields=business_status,formatted_address,geometry,icon,name,permanently_closed,place_id,plus_code,types&amp;key=AIzaSyAUoR1hu32epmid_r-h7_AiXQWhNu3zr3U</t>
  </si>
  <si>
    <t>{"business_status":"OPERATIONAL","formatted_address":"2026 Palomar Airport Rd, Carlsbad, CA 92011, USA","geometry":{"location":{"lat":33.1208529,"lng":-117.2807857},"viewport":{"northeast":{"lat":33.12221393029149,"lng":-117.2794493197085},"southwest":{"lat":33.11951596970849,"lng":-117.2821472802915}}},"icon":"https://maps.gstatic.com/mapfiles/place_api/icons/v1/png_71/generic_business-71.png","name":"Tango Air Inc","place_id":"ChIJZXwq3Gdz3IAReOoSkQY7cf8","plus_code":{"compound_code":"4PC9+8M Carlsbad, CA, USA","global_code":"85544PC9+8M"},"types":["point_of_interest","establishment"]}</t>
  </si>
  <si>
    <t>Tango Air Inc</t>
  </si>
  <si>
    <t>ChIJZXwq3Gdz3IAReOoSkQY7cf8</t>
  </si>
  <si>
    <t>2026 Palomar Airport Rd, Carlsbad, CA 92011, USA</t>
  </si>
  <si>
    <t>{"html_attributions":[],"result":{"address_components":[{"long_name":"2026","short_name":"2026","types":["street_number"]},{"long_name":"Palomar Airport Road","short_name":"Palomar Airport Rd","types":["route"]},{"long_name":"Carlsbad","short_name":"Carlsbad","types":["locality","political"]},{"long_name":"San Diego County","short_name":"San Diego County","types":["administrative_area_level_2","political"]},{"long_name":"California","short_name":"CA","types":["administrative_area_level_1","political"]},{"long_name":"United States","short_name":"US","types":["country","political"]},{"long_name":"92011","short_name":"92011","types":["postal_code"]},{"long_name":"4412","short_name":"4412","types":["postal_code_suffix"]}],"adr_address":"&lt;span class=\"street-address\"&gt;2026 Palomar Airport Rd&lt;/span&gt;, &lt;span class=\"locality\"&gt;Carlsbad&lt;/span&gt;, &lt;span class=\"region\"&gt;CA&lt;/span&gt; &lt;span class=\"postal-code\"&gt;92011-4412&lt;/span&gt;, &lt;span class=\"country-name\"&gt;USA&lt;/span&gt;","formatted_address":"2026 Palomar Airport Rd, Carlsbad, CA 92011, USA","formatted_phone_number":"(760) 929-0307","geometry":{"location":{"lat":33.1208529,"lng":-117.2807857},"viewport":{"northeast":{"lat":33.12221393029149,"lng":-117.2794493197085},"southwest":{"lat":33.11951596970849,"lng":-117.2821472802915}}},"icon":"https://maps.gstatic.com/mapfiles/place_api/icons/v1/png_71/generic_business-71.png","id":null,"international_phone_number":"+1 760-929-0307","name":"Tango Air Inc","place_id":"ChIJZXwq3Gdz3IAReOoSkQY7cf8","rating":null,"reference":null,"reviews":null,"types":["point_of_interest","establishment"],"url":"https://maps.google.com/?cid=18406558051429706360","utc_offset":-480,"vicinity":"2026 Palomar Airport Road, Carlsbad","website":null},"status":"OK"}</t>
  </si>
  <si>
    <t>&lt;span class="street-address"&gt;2026 Palomar Airport Rd&lt;/span&gt;, &lt;span class="locality"&gt;Carlsbad&lt;/span&gt;, &lt;span class="region"&gt;CA&lt;/span&gt; &lt;span class="postal-code"&gt;92011-4412&lt;/span&gt;, &lt;span class="country-name"&gt;USA&lt;/span&gt;</t>
  </si>
  <si>
    <t>+1 760-929-0307</t>
  </si>
  <si>
    <t>2026 Palomar Airport Road, Carlsbad</t>
  </si>
  <si>
    <t>https://maps.googleapis.com/maps/api/place/findplacefromtext/json?input=Jet%20AMG%20Services%20LLC%202006%20Palomar%20Airport%20Rd%20Suite%20201%20%20Carlsbad%20CA%2092011&amp;key=AIzaSyAUoR1hu32epmid_r-h7_AiXQWhNu3zr3U&amp;inputtype=textquery&amp;fields=business_status,formatted_address,geometry,icon,name,permanently_closed,place_id,plus_code,types</t>
  </si>
  <si>
    <t>{"business_status":"OPERATIONAL","formatted_address":"2006 Palomar Airport Rd, Carlsbad, CA 92011, United States","geometry":{"location":{"lat":33.1254918,"lng":-117.2820889},"viewport":{"northeast":{"lat":33.12692092989272,"lng":-117.2802139701073},"southwest":{"lat":33.12422127010728,"lng":-117.2829136298927}}},"icon":"https://maps.gstatic.com/mapfiles/place_api/icons/v1/png_71/generic_business-71.png","name":"JET AMG","place_id":"ChIJ63WYNmhz3IARbZQe3WPZCAk","plus_code":{"compound_code":"4PG9+55 Carlsbad, California","global_code":"85544PG9+55"},"types":["point_of_interest","establishment"]}</t>
  </si>
  <si>
    <t>JET AMG</t>
  </si>
  <si>
    <t>ChIJ63WYNmhz3IARbZQe3WPZCAk</t>
  </si>
  <si>
    <t>2006 Palomar Airport Rd, Carlsbad, CA 92011, United States</t>
  </si>
  <si>
    <t>{"html_attributions":[],"result":{"address_components":[{"long_name":"2006","short_name":"2006","types":["street_number"]},{"long_name":"Palomar Airport Road","short_name":"Palomar Airport Rd","types":["route"]},{"long_name":"Carlsbad","short_name":"Carlsbad","types":["locality","political"]},{"long_name":"San Diego County","short_name":"San Diego County","types":["administrative_area_level_2","political"]},{"long_name":"California","short_name":"CA","types":["administrative_area_level_1","political"]},{"long_name":"United States","short_name":"US","types":["country","political"]},{"long_name":"92011","short_name":"92011","types":["postal_code"]}],"adr_address":"&lt;span class=\"street-address\"&gt;2006 Palomar Airport Rd&lt;/span&gt;, &lt;span class=\"locality\"&gt;Carlsbad&lt;/span&gt;, &lt;span class=\"region\"&gt;CA&lt;/span&gt; &lt;span class=\"postal-code\"&gt;92011&lt;/span&gt;, &lt;span class=\"country-name\"&gt;USA&lt;/span&gt;","formatted_address":"2006 Palomar Airport Rd, Carlsbad, CA 92011, USA","formatted_phone_number":"(760) 918-9075","geometry":{"location":{"lat":33.1254918,"lng":-117.2820889},"viewport":{"northeast":{"lat":33.1269200802915,"lng":-117.2802148197085},"southwest":{"lat":33.1242221197085,"lng":-117.2829127802915}}},"icon":"https://maps.gstatic.com/mapfiles/place_api/icons/v1/png_71/generic_business-71.png","id":null,"international_phone_number":"+1 760-918-9075","name":"JET AMG","place_id":"ChIJ63WYNmhz3IARbZQe3WPZCAk","rating":null,"reference":null,"reviews":null,"types":["point_of_interest","establishment"],"url":"https://maps.google.com/?cid=651009169089795181","utc_offset":-480,"vicinity":"2006 Palomar Airport Road, Carlsbad","website":"http://www.jetamg.com/"},"status":"OK"}</t>
  </si>
  <si>
    <t>&lt;span class="street-address"&gt;2006 Palomar Airport Rd&lt;/span&gt;, &lt;span class="locality"&gt;Carlsbad&lt;/span&gt;, &lt;span class="region"&gt;CA&lt;/span&gt; &lt;span class="postal-code"&gt;92011&lt;/span&gt;, &lt;span class="country-name"&gt;USA&lt;/span&gt;</t>
  </si>
  <si>
    <t>(760) 918-9075</t>
  </si>
  <si>
    <t>+1 760-918-9075</t>
  </si>
  <si>
    <t>2006 Palomar Airport Road, Carlsbad</t>
  </si>
  <si>
    <t>http://www.jetamg.com/</t>
  </si>
  <si>
    <t>https://maps.googleapis.com/maps/api/place/findplacefromtext/json?input=Flight%20Crew%20Systems%2C%20Inc%20%20Flight%20Crew%20Systems%2C%20Inc.%20d/b/a%20LOFT%206150%20Corte%20Del%20Cedro%20%20Carlsbad%20%20CA%2092011&amp;key=AIzaSyAUoR1hu32epmid_r-h7_AiXQWhNu3zr3U&amp;inputtype=textquery&amp;fields=business_status,formatted_address,geometry,icon,name,permanently_closed,place_id,plus_code,types</t>
  </si>
  <si>
    <t>{"business_status":"OPERATIONAL","formatted_address":"6150 Corte Del Cedro, Carlsbad, CA 92011, United States","geometry":{"location":{"lat":33.123884,"lng":-117.2721839},"viewport":{"northeast":{"lat":33.12516702989272,"lng":-117.2708313701073},"southwest":{"lat":33.12246737010727,"lng":-117.2735310298927}}},"icon":"https://maps.gstatic.com/mapfiles/place_api/icons/v1/png_71/generic_business-71.png","name":"LOFT","place_id":"ChIJLVv79F5z3IARgMWY7KbzIjg","plus_code":{"compound_code":"4PFH+H4 Carlsbad, California","global_code":"85544PFH+H4"},"types":["point_of_interest","establishment"]}</t>
  </si>
  <si>
    <t>ChIJLVv79F5z3IARgMWY7KbzIjg</t>
  </si>
  <si>
    <t>6150 Corte Del Cedro, Carlsbad, CA 92011, United States</t>
  </si>
  <si>
    <t>{"html_attributions":[],"result":{"address_components":[{"long_name":"6150","short_name":"6150","types":["street_number"]},{"long_name":"Corte Del Cedro","short_name":"Corte Del Cedro","types":["route"]},{"long_name":"Carlsbad","short_name":"Carlsbad","types":["locality","political"]},{"long_name":"San Diego County","short_name":"San Diego County","types":["administrative_area_level_2","political"]},{"long_name":"California","short_name":"CA","types":["administrative_area_level_1","political"]},{"long_name":"United States","short_name":"US","types":["country","political"]},{"long_name":"92011","short_name":"92011","types":["postal_code"]}],"adr_address":"&lt;span class=\"street-address\"&gt;6150 Corte Del Cedro&lt;/span&gt;, &lt;span class=\"locality\"&gt;Carlsbad&lt;/span&gt;, &lt;span class=\"region\"&gt;CA&lt;/span&gt; &lt;span class=\"postal-code\"&gt;92011&lt;/span&gt;, &lt;span class=\"country-name\"&gt;USA&lt;/span&gt;","formatted_address":"6150 Corte Del Cedro, Carlsbad, CA 92011, USA","formatted_phone_number":"(888) 359-5638","geometry":{"location":{"lat":33.123884,"lng":-117.2721839},"viewport":{"northeast":{"lat":33.12516618029149,"lng":-117.2708322197085},"southwest":{"lat":33.12246821970849,"lng":-117.2735301802915}}},"icon":"https://maps.gstatic.com/mapfiles/place_api/icons/v1/png_71/generic_business-71.png","id":null,"international_phone_number":"+1 888-359-5638","name":"LOFT","place_id":"ChIJLVv79F5z3IARgMWY7KbzIjg","rating":5.0,"reference":null,"reviews":[{"author_name":"Shawn Mack","author_url":"https://www.google.com/maps/contrib/100322033387985448502/reviews","language":"en","profile_photo_url":"https://lh3.googleusercontent.com/a-/AOh14GjA5HKJM5TZm_m8wn2M_N4NUDVPrai7v2R8wXbgIg=s128-c0x00000000-cc-rp-mo","rating":5,"relative_time_description":"5 months ago","text":"Professional, is the only way to describe this training.  Thorough, but enjoyable, and a great big picture attitude.  This is the place to learn how and the training to stay current.","time":1599068094},{"author_name":"Jack Lowrey","author_url":"https://www.google.com/maps/contrib/103651065255100394941/reviews","language":"en","profile_photo_url":"https://lh5.googleusercontent.com/-NPZ3TYqKA50/AAAAAAAAAAI/AAAAAAAAAAA/AMZuucnqervjaSWIsiyfY3_8d3Ss65Qkrg/s128-c0x00000000-cc-rp-mo/photo.jpg","rating":5,"relative_time_description":"a year ago","text":"LOFT is by Five Stars the Best!\nI recently completed my Single Pilot Initial\nCE-550 and can’t say enough great things about all their awesome and experienced instructors! What a great beautiful and well run facility! As a 30+ year Pro-Pilot (including a military instructor pilot background) I highly recommend LOFT...their CREW is simply Outstanding!!","time":1553887875},{"author_name":"David G","author_url":"https://www.google.com/maps/contrib/108054862276015713728/reviews","language":"en","profile_photo_url":"https://lh3.googleusercontent.com/a-/AOh14GhX7O5oyKQec-Nf0znFDB_SiQio7HortgF5tn4Q=s128-c0x00000000-cc-rp-mo","rating":5,"relative_time_description":"11 months ago","text":"Professional well run facility","time":1583826099},{"author_name":"Michael Carlini","author_url":"https://www.google.com/maps/contrib/100486922542775374881/reviews","language":"en","profile_photo_url":"https://lh3.googleusercontent.com/a-/AOh14GhN_XAf7QS7upB9Hx7PcIhE8Ola192lIzneMS9KcQ=s128-c0x00000000-cc-rp-mo","rating":5,"relative_time_description":"a year ago","text":"Had an amazing experience at Loft for my first PIC type rating in the Citation 560. All my instructors were retired military and/or airline guys, and they were all extremely knowledgeable and eager to see me succeed. It was a very laid back atmosphere, and even the checkride had a relaxed feel to it. Dare I say it...I actually enjoyed the checkride! I look forward to returning later this year for my CE-525 rating, and I would highly recommend Loft to anyone looking for their Citation or CJ type rating, or recurrent.","time":1554255055},{"author_name":"Richard Sears","author_url":"https://www.google.com/maps/contrib/114341648700172699136/reviews","language":"en","profile_photo_url":"https://lh3.googleusercontent.com/a-/AOh14GjZeBahoszW24Ujo6uGRnW_J3gh_zipOS4gpdKK=s128-c0x00000000-cc-rp-mo-ba3","rating":5,"relative_time_description":"2 years ago","text":"Fantastic training facility. Did my CE500 and CE525S training at LOFT.","time":1546270721}],"types":["point_of_interest","establishment"],"url":"https://maps.google.com/?cid=4045063313591682432","utc_offset":-480,"vicinity":"6150 Corte Del Cedro, Carlsbad","website":"https://www.loft.aero/"},"status":"OK"}</t>
  </si>
  <si>
    <t>&lt;span class="street-address"&gt;6150 Corte Del Cedro&lt;/span&gt;, &lt;span class="locality"&gt;Carlsbad&lt;/span&gt;, &lt;span class="region"&gt;CA&lt;/span&gt; &lt;span class="postal-code"&gt;92011&lt;/span&gt;, &lt;span class="country-name"&gt;USA&lt;/span&gt;</t>
  </si>
  <si>
    <t>(888) 359-5638</t>
  </si>
  <si>
    <t>+1 888-359-5638</t>
  </si>
  <si>
    <t>6150 Corte Del Cedro, Carlsbad</t>
  </si>
  <si>
    <t>https://www.loft.aero/</t>
  </si>
  <si>
    <t>https://maps.googleapis.com/maps/api/place/findplacefromtext/json?input=TRU%20Simulation%20+%20Training%20LLC%20%206144%20Innovation%20Way%20%20%20Carlsbad%20%20CA%2092009&amp;key=AIzaSyAUoR1hu32epmid_r-h7_AiXQWhNu3zr3U&amp;inputtype=textquery&amp;fields=business_status,formatted_address,geometry,icon,name,permanently_closed,place_id,plus_code,types</t>
  </si>
  <si>
    <t>{"business_status":"OPERATIONAL","formatted_address":"6144 Innovation Way, Carlsbad, CA 92009, United States","geometry":{"location":{"lat":33.12871,"lng":-117.257959},"viewport":{"northeast":{"lat":33.13010412989273,"lng":-117.2566076701073},"southwest":{"lat":33.12740447010728,"lng":-117.2593073298927}}},"icon":"https://maps.gstatic.com/mapfiles/place_api/icons/v1/png_71/school-71.png","name":"TRU Simulation + Training Pilot Training Center (West Coast)","place_id":"ChIJvyFH2WRz3IART5SxvCHVqtk","plus_code":{"compound_code":"4PHR+FR Carlsbad, California","global_code":"85544PHR+FR"},"types":["university","point_of_interest","establishment"]}</t>
  </si>
  <si>
    <t>TRU Simulation + Training Pilot Training Center (West Coast)</t>
  </si>
  <si>
    <t>ChIJvyFH2WRz3IART5SxvCHVqtk</t>
  </si>
  <si>
    <t>6144 Innovation Way, Carlsbad, CA 92009, United States</t>
  </si>
  <si>
    <t>{"html_attributions":[],"result":{"address_components":[{"long_name":"6144","short_name":"6144","types":["street_number"]},{"long_name":"Innovation Way","short_name":"Innovation Way","types":["route"]},{"long_name":"Bressi Ranch","short_name":"Bressi Ranch","types":["neighborhood","political"]},{"long_name":"Carlsbad","short_name":"Carlsbad","types":["locality","political"]},{"long_name":"San Diego County","short_name":"San Diego County","types":["administrative_area_level_2","political"]},{"long_name":"California","short_name":"CA","types":["administrative_area_level_1","political"]},{"long_name":"United States","short_name":"US","types":["country","political"]},{"long_name":"92009","short_name":"92009","types":["postal_code"]},{"long_name":"1728","short_name":"1728","types":["postal_code_suffix"]}],"adr_address":"&lt;span class=\"street-address\"&gt;6144 Innovation Way&lt;/span&gt;, &lt;span class=\"locality\"&gt;Carlsbad&lt;/span&gt;, &lt;span class=\"region\"&gt;CA&lt;/span&gt; &lt;span class=\"postal-code\"&gt;92009-1728&lt;/span&gt;, &lt;span class=\"country-name\"&gt;USA&lt;/span&gt;","formatted_address":"6144 Innovation Way, Carlsbad, CA 92009, USA","formatted_phone_number":"(800) 438-2935","geometry":{"location":{"lat":33.12871,"lng":-117.257959},"viewport":{"northeast":{"lat":33.1301032802915,"lng":-117.2566085197085},"southwest":{"lat":33.1274053197085,"lng":-117.2593064802915}}},"icon":"https://maps.gstatic.com/mapfiles/place_api/icons/v1/png_71/school-71.png","id":null,"international_phone_number":"+1 800-438-2935","name":"TRU Simulation + Training Pilot Training Center (West Coast)","place_id":"ChIJvyFH2WRz3IART5SxvCHVqtk","rating":4.4,"reference":null,"reviews":[{"author_name":"Brandon Smith","author_url":"https://www.google.com/maps/contrib/116415299078833724282/reviews","language":"en","profile_photo_url":"https://lh3.googleusercontent.com/a-/AOh14Gi0DbOf3u1pkfxb_rFz8o97wtHhcXvQ2ZGRKnPdYA=s128-c0x00000000-cc-rp-mo","rating":5,"relative_time_description":"5 years ago","text":"Best C441 training out there.  Instructors are very knowledgable and the staff is friendly and accommodating.  Wouldn't go anywhere else for my C441 training.","time":1440380873},{"author_name":"Martin Barnes","author_url":"https://www.google.com/maps/contrib/102370818007616238764/reviews","language":"en","profile_photo_url":"https://lh3.googleusercontent.com/a-/AOh14GhoB-Zt7nqJlogiNhy3ONScER9YLarRNUORHeDpDg=s128-c0x00000000-cc-rp-mo","rating":2,"relative_time_description":"5 years ago","text":"On Line Systems Ground School is world Class.\n\nThe Simulator CJ3 is a very poor representation of the actual aircraft and should be avoided.\n\nVery disappointing visit, would not return.","time":1439922276},{"author_name":"Brad Ruedig","author_url":"https://www.google.com/maps/contrib/106629663069494835201/reviews","language":"en","profile_photo_url":"https://lh6.googleusercontent.com/-BrH1UrTRMtI/AAAAAAAAAAI/AAAAAAAAAAA/AMZuucnnDXZS97RGhdNawktymCOatqUUEw/s128-c0x00000000-cc-rp-mo/photo.jpg","rating":5,"relative_time_description":"6 years ago","text":"ProFlight is by far the best C441 Conquest II training out there. I have been to all the others in 25 years of flying the 441 and 425. I send 5 pilots there each year for re-current and new pilots to initial. The fact that they have a CJ3 simulator makes it better for me now that I can get both re-currents done in one stop. The ground school is what first impressed me the most. With hands on parts to analyze and current 441 captains teaching, no other simulator based school can compare. I'll be there this fall.\n\nBrad Ruedig\nChief Pilot\nAldridge Electric, Inc.","time":1409852132},{"author_name":"Michael Sahakian","author_url":"https://www.google.com/maps/contrib/106687179612047995626/reviews","language":"en","profile_photo_url":"https://lh5.googleusercontent.com/-BA-kuNdxZIk/AAAAAAAAAAI/AAAAAAAAAAA/AMZuucmyuv9PNItv7pP3coeJAWuNth5KCA/s128-c0x00000000-cc-rp-mo/photo.jpg","rating":5,"relative_time_description":"5 years ago","text":"What a great learning experience. from the class room to the flight sim.  I gain so much fine tuning my cockpit procedures, flying the approaches and about the aircraft that I fly. these guys are really enthusiastic teaching you.\nThe unique part Pro-Flight is that they stay in constant contact with repair shops to find out about thing that we pilots need to be aware of as our aircraft age.\nI look forward to going back each year for recurrent training, it doesn't come soon enough.\nATP/Conquest 425/type rating: CJ-1, CJ-2, CJ-3, CJ-4","time":1433880247},{"author_name":"Randall “Cloud Surfer” Steele","author_url":"https://www.google.com/maps/contrib/106592081503711437137/reviews","language":null,"profile_photo_url":"https://lh3.googleusercontent.com/a-/AOh14GgfyDU0okSZYFwIq-8udrS8iq1O5b3ieHd5rhkWow=s128-c0x00000000-cc-rp-mo-ba3","rating":5,"relative_time_description":"3 years ago","text":"","time":1505487694}],"types":["university","point_of_interest","establishment"],"url":"https://maps.google.com/?cid=15684582993147565135","utc_offset":-480,"vicinity":"6144 Innovation Way, Carlsbad","website":"https://www.trusimulation.com/"},"status":"OK"}</t>
  </si>
  <si>
    <t>&lt;span class="street-address"&gt;6144 Innovation Way&lt;/span&gt;, &lt;span class="locality"&gt;Carlsbad&lt;/span&gt;, &lt;span class="region"&gt;CA&lt;/span&gt; &lt;span class="postal-code"&gt;92009-1728&lt;/span&gt;, &lt;span class="country-name"&gt;USA&lt;/span&gt;</t>
  </si>
  <si>
    <t>(800) 438-2935</t>
  </si>
  <si>
    <t>+1 800-438-2935</t>
  </si>
  <si>
    <t>6144 Innovation Way, Carlsbad</t>
  </si>
  <si>
    <t>https://www.trusimulation.com/</t>
  </si>
  <si>
    <t>NO</t>
  </si>
  <si>
    <t>https://maps.googleapis.com/maps/api/place/findplacefromtext/json?input=PACIFIC%20COAST%20ENTERPRISES%20INC%20%20%20%20%20%20%20%20%20%20%20%20%20%20%20%20%20%20%20%20%20%203513%20SOMERSET%20WAY%20%20%20%20%20%20%20%20%20%20%20%20%20%20%20%20%20%20%20%20%20%20%20%20%20%20%20%20%20%20%20%20%20%20%20%20%20%20%20%20%20%20%20%20%20%20%20%20%20%20%20%20%20%20%20CARLSBAD%20%20%20%20%20%20%20%20%20%20%20%20%20%20%20CA%2092010&amp;key=AIzaSyAUoR1hu32epmid_r-h7_AiXQWhNu3zr3U&amp;inputtype=textquery&amp;fields=business_status,formatted_address,geometry,icon,name,permanently_closed,place_id,plus_code,types</t>
  </si>
  <si>
    <t>street_address</t>
  </si>
  <si>
    <t>https://maps.googleapis.com/maps/api/place/findplacefromtext/json?input=HANGAR%20ONE%20AVIONICS%20INC%20%20%20%20%20%20%20%20%20%20%20%20%20%20%20%20%20%20%20%20%20%20%20%20%20%20%20%202026%20PALOMAR%20AIRPORT%20ROAD%20%20%20%20%20%20%20%20%20%20%20%20%20%20%20%20%20%20%20%20%20%20%20%20%20%20%20%20%20%20%20%20%20%20%20%20%20%20%20%20%20%20%20%20%20%20%20CARLSBAD%20%20%20%20%20%20%20%20%20%20%20%20%20%20%20CA%2092011&amp;key=AIzaSyAUoR1hu32epmid_r-h7_AiXQWhNu3zr3U&amp;inputtype=textquery&amp;fields=business_status,formatted_address,geometry,icon,name,permanently_closed,place_id,plus_code,types</t>
  </si>
  <si>
    <t>{"business_status":"OPERATIONAL","formatted_address":"2026 Palomar Airport Rd, Carlsbad, CA 92011, United States","geometry":{"location":{"lat":33.1252283,"lng":-117.2807174},"viewport":{"northeast":{"lat":33.12656197989271,"lng":-117.2794795701073},"southwest":{"lat":33.12386232010726,"lng":-117.2821792298927}}},"icon":"https://maps.gstatic.com/mapfiles/place_api/icons/v1/png_71/generic_business-71.png","name":"Hangar One Avionics","place_id":"ChIJKxrMP0Nz3IARmp1yvJoXuig","plus_code":{"compound_code":"4PG9+3P Carlsbad, California","global_code":"85544PG9+3P"},"types":["point_of_interest","establishment"]}</t>
  </si>
  <si>
    <t>Hangar One Avionics</t>
  </si>
  <si>
    <t>ChIJKxrMP0Nz3IARmp1yvJoXuig</t>
  </si>
  <si>
    <t>2026 Palomar Airport Rd, Carlsbad, CA 92011, United States</t>
  </si>
  <si>
    <t>{"html_attributions":[],"result":{"address_components":[{"long_name":"2026","short_name":"2026","types":["street_number"]},{"long_name":"Palomar Airport Road","short_name":"Palomar Airport Rd","types":["route"]},{"long_name":"Carlsbad","short_name":"Carlsbad","types":["locality","political"]},{"long_name":"San Diego County","short_name":"San Diego County","types":["administrative_area_level_2","political"]},{"long_name":"California","short_name":"CA","types":["administrative_area_level_1","political"]},{"long_name":"United States","short_name":"US","types":["country","political"]},{"long_name":"92011","short_name":"92011","types":["postal_code"]}],"adr_address":"&lt;span class=\"street-address\"&gt;2026 Palomar Airport Rd&lt;/span&gt;, &lt;span class=\"locality\"&gt;Carlsbad&lt;/span&gt;, &lt;span class=\"region\"&gt;CA&lt;/span&gt; &lt;span class=\"postal-code\"&gt;92011&lt;/span&gt;, &lt;span class=\"country-name\"&gt;USA&lt;/span&gt;","formatted_address":"2026 Palomar Airport Rd, Carlsbad, CA 92011, USA","formatted_phone_number":"(760) 929-2270","geometry":{"location":{"lat":33.1252283,"lng":-117.2807174},"viewport":{"northeast":{"lat":33.12656113029149,"lng":-117.2794804197085},"southwest":{"lat":33.1238631697085,"lng":-117.2821783802915}}},"icon":"https://maps.gstatic.com/mapfiles/place_api/icons/v1/png_71/generic_business-71.png","id":null,"international_phone_number":"+1 760-929-2270","name":"Hangar One Avionics","place_id":"ChIJKxrMP0Nz3IARmp1yvJoXuig","rating":3.7,"reference":null,"reviews":[{"author_name":"Dan Wyson","author_url":"https://www.google.com/maps/contrib/100423591177604736106/reviews","language":"en","profile_photo_url":"https://lh3.googleusercontent.com/a-/AOh14GjTns2CjJa_Xp8LdSdB_4H0XIk2xjYjLHeAMWCkPA=s128-c0x00000000-cc-rp-mo","rating":5,"relative_time_description":"3 years ago","text":"Despite having a busy shop, Ken took time to trouble shoot an avionics issue for me so I could get back home. I really appreciate it. Very professional and willing to help a little guy in a pinch. And the charge was very fair.","time":1507132756},{"author_name":"Gerald Blank","author_url":"https://www.google.com/maps/contrib/117842501044723607477/reviews","language":"en","profile_photo_url":"https://lh3.googleusercontent.com/-cdX8K0ry350/AAAAAAAAAAI/AAAAAAAAAAA/AMZuucmuy8DpVbEIj7TWC8F_XVkZAytPrw/s128-c0x00000000-cc-rp-mo/photo.jpg","rating":1,"relative_time_description":"4 years ago","text":"Called the owner (I believe) Ken numerous times with no response, had to take my PA46 to another local avionics shop. Would not recommend this shop unless you have lots of time and money.","time":1475723217},{"author_name":"Michael Webb","author_url":"https://www.google.com/maps/contrib/110354891605067901590/reviews","language":null,"profile_photo_url":"https://lh3.googleusercontent.com/a-/AOh14GjZT8X_wowgDCKytymThwwxNtw3jjO3BYHYiTfmL6c=s128-c0x00000000-cc-rp-mo-ba3","rating":5,"relative_time_description":"a year ago","text":"","time":1569955363}],"types":["point_of_interest","establishment"],"url":"https://maps.google.com/?cid=2934684060539329946","utc_offset":-480,"vicinity":"2026 Palomar Airport Road, Carlsbad","website":"http://www.h1avionics.com/"},"status":"OK"}</t>
  </si>
  <si>
    <t>&lt;span class="street-address"&gt;2026 Palomar Airport Rd&lt;/span&gt;, &lt;span class="locality"&gt;Carlsbad&lt;/span&gt;, &lt;span class="region"&gt;CA&lt;/span&gt; &lt;span class="postal-code"&gt;92011&lt;/span&gt;, &lt;span class="country-name"&gt;USA&lt;/span&gt;</t>
  </si>
  <si>
    <t>(760) 929-2270</t>
  </si>
  <si>
    <t>+1 760-929-2270</t>
  </si>
  <si>
    <t>http://www.h1avionics.com/</t>
  </si>
  <si>
    <t>https://maps.googleapis.com/maps/api/place/findplacefromtext/json?input=L%20E%20A%20INC%20%20%20%20%20%20%20%20%20%20%20%20%20%20%20%20%20%20%20%20%20%20%20%20%20%20%20%20%20%20%20%20%20%20%20%20%20%20%20%20%20%202186%20PALOMAR%20AIRPORT%20ROAD%20%20%20%20%20%20%20%20%20%20%20%20%20%20%20%20%20%20%20%20%20%20%20%20%20%20%20%20%20%20%20%20%20%20%20%20%20%20%20%20%20%20%20%20%20%20%20CARLSBAD%20%20%20%20%20%20%20%20%20%20%20%20%20%20%20CA%2092011&amp;key=AIzaSyAUoR1hu32epmid_r-h7_AiXQWhNu3zr3U&amp;inputtype=textquery&amp;fields=business_status,formatted_address,geometry,icon,name,permanently_closed,place_id,plus_code,types</t>
  </si>
  <si>
    <t>premise</t>
  </si>
  <si>
    <t>https://maps.googleapis.com/maps/api/place/findplacefromtext/json?input=CLAY%20LACY%20AVIATION%20INC%20%20%20%20%20%20%20%20%20%20%20%20%20%20%20%20%20%20%20%20%20%20%20%20%20%20%20%20%202100%20Palomar%20Airport%20Rd.%20%20%20%20%20%20%20%20%20%20%20%20Suite%20230%20%20%20%20%20%20%20%20%20%20%20%20%20%20%20%20%20%20%20%20%20%20%20%20%20%20%20Carlsbad%20%20%20%20%20%20%20%20%20%20%20%20%20%20%20CA%2092011&amp;key=AIzaSyAUoR1hu32epmid_r-h7_AiXQWhNu3zr3U&amp;inputtype=textquery&amp;fields=business_status,formatted_address,geometry,icon,name,permanently_closed,place_id,plus_code,types</t>
  </si>
  <si>
    <t>{"business_status":"OPERATIONAL","formatted_address":"2150 Palomar Airport Rd STE 202, Carlsbad, CA 92011, United States","geometry":{"location":{"lat":33.12661,"lng":-117.27851},"viewport":{"northeast":{"lat":33.12782462989273,"lng":-117.2773120701073},"southwest":{"lat":33.12512497010728,"lng":-117.2800117298927}}},"icon":"https://maps.gstatic.com/mapfiles/place_api/icons/v1/png_71/generic_business-71.png","name":"Clay Lacy Aviation - Carlsbad","place_id":"ChIJZXwq3Gdz3IARaoWwZYt9hvw","plus_code":{"compound_code":"4PGC+JH Carlsbad, California","global_code":"85544PGC+JH"},"types":["point_of_interest","establishment"]}</t>
  </si>
  <si>
    <t>Clay Lacy Aviation - Carlsbad</t>
  </si>
  <si>
    <t>ChIJZXwq3Gdz3IARaoWwZYt9hvw</t>
  </si>
  <si>
    <t>2150 Palomar Airport Rd STE 202, Carlsbad, CA 92011, United States</t>
  </si>
  <si>
    <t>{"html_attributions":[],"result":{"address_components":[{"long_name":"STE 202","short_name":"STE 202","types":["subpremise"]},{"long_name":"2150","short_name":"2150","types":["street_number"]},{"long_name":"Palomar Airport Road","short_name":"Palomar Airport Rd","types":["route"]},{"long_name":"Carlsbad","short_name":"Carlsbad","types":["locality","political"]},{"long_name":"San Diego County","short_name":"San Diego County","types":["administrative_area_level_2","political"]},{"long_name":"California","short_name":"CA","types":["administrative_area_level_1","political"]},{"long_name":"United States","short_name":"US","types":["country","political"]},{"long_name":"92011","short_name":"92011","types":["postal_code"]}],"adr_address":"&lt;span class=\"street-address\"&gt;2150 Palomar Airport Rd STE 202&lt;/span&gt;, &lt;span class=\"locality\"&gt;Carlsbad&lt;/span&gt;, &lt;span class=\"region\"&gt;CA&lt;/span&gt; &lt;span class=\"postal-code\"&gt;92011&lt;/span&gt;, &lt;span class=\"country-name\"&gt;USA&lt;/span&gt;","formatted_address":"2150 Palomar Airport Rd STE 202, Carlsbad, CA 92011, USA","formatted_phone_number":"(800) 423-2904","geometry":{"location":{"lat":33.12661000000001,"lng":-117.27851},"viewport":{"northeast":{"lat":33.1278237802915,"lng":-117.2773129197085},"southwest":{"lat":33.12512581970851,"lng":-117.2800108802915}}},"icon":"https://maps.gstatic.com/mapfiles/place_api/icons/v1/png_71/generic_business-71.png","id":null,"international_phone_number":"+1 800-423-2904","name":"Clay Lacy Aviation - Carlsbad","place_id":"ChIJZXwq3Gdz3IARaoWwZYt9hvw","rating":4.2,"reference":null,"reviews":[{"author_name":"Chelsea Macias","author_url":"https://www.google.com/maps/contrib/104290367056035192173/reviews","language":null,"profile_photo_url":"https://lh3.googleusercontent.com/a-/AOh14GiXCT85XHwzLk_3udR7Oj2VE-sjb1KbJT7-54Ro=s128-c0x00000000-cc-rp-mo-ba3","rating":1,"relative_time_description":"2 years ago","text":"","time":1536859043},{"author_name":"Tom","author_url":"https://www.google.com/maps/contrib/110756241219371220974/reviews","language":null,"profile_photo_url":"https://lh3.googleusercontent.com/-a40SJ88kAio/AAAAAAAAAAI/AAAAAAAAAAA/AMZuucnQPZBLo2P8UcoQA4gYoqtopnw0bQ/s128-c0x00000000-cc-rp-mo-ba3/photo.jpg","rating":5,"relative_time_description":"a year ago","text":"","time":1564284347},{"author_name":"kristin malanca","author_url":"https://www.google.com/maps/contrib/117311818250883818283/reviews","language":null,"profile_photo_url":"https://lh6.googleusercontent.com/-ish5m0ekyuE/AAAAAAAAAAI/AAAAAAAAAAA/AMZuucliPzUEUMdd9qGgFavEjvlsr3Sgiw/s128-c0x00000000-cc-rp-mo/photo.jpg","rating":5,"relative_time_description":"10 months ago","text":"","time":1585661352},{"author_name":"Brian Potter","author_url":"https://www.google.com/maps/contrib/115359281871862447205/reviews","language":null,"profile_photo_url":"https://lh3.googleusercontent.com/a-/AOh14GhQNxOZEdmTn5VoZJLVpyKa2rZ0R-se_PYZ4vZUrw=s128-c0x00000000-cc-rp-mo","rating":5,"relative_time_description":"10 months ago","text":"","time":1585774452},{"author_name":"Fabian Pacheco","author_url":"https://www.google.com/maps/contrib/101446062345726163317/reviews","language":null,"profile_photo_url":"https://lh4.googleusercontent.com/-unlBb4-jTlY/AAAAAAAAAAI/AAAAAAAAAAA/AMZuucnteRBkTRI3NeDtKzEZXpLw0_7U5g/s128-c0x00000000-cc-rp-mo/photo.jpg","rating":5,"relative_time_description":"a year ago","text":"","time":1570144444}],"types":["point_of_interest","establishment"],"url":"https://maps.google.com/?cid=18196369382097061226","utc_offset":-480,"vicinity":"2150 Palomar Airport Road STE 202, Carlsbad","website":"https://www.claylacy.com/contact-us/locations/mcclellan-palomar-airport-kcrq/"},"status":"OK"}</t>
  </si>
  <si>
    <t>&lt;span class="street-address"&gt;2150 Palomar Airport Rd STE 202&lt;/span&gt;, &lt;span class="locality"&gt;Carlsbad&lt;/span&gt;, &lt;span class="region"&gt;CA&lt;/span&gt; &lt;span class="postal-code"&gt;92011&lt;/span&gt;, &lt;span class="country-name"&gt;USA&lt;/span&gt;</t>
  </si>
  <si>
    <t>(800) 423-2904</t>
  </si>
  <si>
    <t>+1 800-423-2904</t>
  </si>
  <si>
    <t>2150 Palomar Airport Road STE 202, Carlsbad</t>
  </si>
  <si>
    <t>https://www.claylacy.com/contact-us/locations/mcclellan-palomar-airport-kcrq/</t>
  </si>
  <si>
    <t>https://maps.googleapis.com/maps/api/place/findplacefromtext/json?input=CIVIC%20HELICOPTERS%20INC%20%20%20%20%20%20%20%20%20%20%20%20%20%20%20%20%20%20%20%20%20%20%20%20%20%20%20%20%20%202206%20PALOMAR%20AIRPORT%20ROAD%20%20%20%20%20%20%20%20%20%20%20%20%20%20%20%20%20%20%20%20%20%20%20%20%20%20%20%20%20%20%20%20%20%20%20%20%20%20%20%20%20%20%20%20%20%20%20CARLSBAD%20%20%20%20%20%20%20%20%20%20%20%20%20%20%20CA%2092011&amp;key=AIzaSyAUoR1hu32epmid_r-h7_AiXQWhNu3zr3U&amp;inputtype=textquery&amp;fields=business_status,formatted_address,geometry,icon,name,permanently_closed,place_id,plus_code,types</t>
  </si>
  <si>
    <t>{"business_status":"OPERATIONAL","formatted_address":"2206 Palomar Airport Rd Suite H, Carlsbad, CA 92011, United States","geometry":{"location":{"lat":33.1257805,"lng":-117.2754738},"viewport":{"northeast":{"lat":33.12705972989272,"lng":-117.2742043201073},"southwest":{"lat":33.12436007010728,"lng":-117.2769039798927}}},"icon":"https://maps.gstatic.com/mapfiles/place_api/icons/v1/png_71/school-71.png","name":"Civic Helicopters, Inc.","place_id":"ChIJB9XriF1z3IARLzGn-IRtC2E","plus_code":{"compound_code":"4PGF+8R Carlsbad, California","global_code":"85544PGF+8R"},"types":["university","point_of_interest","establishment"]}</t>
  </si>
  <si>
    <t>2206 Palomar Airport Rd Suite H, Carlsbad, CA 92011, United States</t>
  </si>
  <si>
    <t>https://maps.googleapis.com/maps/api/place/findplacefromtext/json?input=%2B15622900321 &amp;inputtype=phonenumber&amp;fields=business_status,formatted_address,geometry,icon,name,permanently_closed,place_id,plus_code,types&amp;key=AIzaSyAUoR1hu32epmid_r-h7_AiXQWhNu3zr3U</t>
  </si>
  <si>
    <t>{"business_status":"OPERATIONAL","formatted_address":"2631 E Spring St, Long Beach, CA 90806, USA","geometry":{"location":{"lat":33.8122095,"lng":-118.1610017},"viewport":{"northeast":{"lat":33.8134678302915,"lng":-118.1597148197085},"southwest":{"lat":33.8107698697085,"lng":-118.1624127802915}}},"icon":"https://maps.gstatic.com/mapfiles/place_api/icons/v1/png_71/school-71.png","name":"Long Beach Flying Club","place_id":"ChIJe0dKZM0z3YAR0g5dMA5lNyg","plus_code":{"compound_code":"RR6Q+VH Long Beach, CA, USA","global_code":"8553RR6Q+VH"},"types":["university","point_of_interest","establishment"]}</t>
  </si>
  <si>
    <t>Long Beach Flying Club</t>
  </si>
  <si>
    <t>ChIJe0dKZM0z3YAR0g5dMA5lNyg</t>
  </si>
  <si>
    <t>2631 E Spring St, Long Beach, CA 90806, USA</t>
  </si>
  <si>
    <t>{"html_attributions":[],"result":{"address_components":[{"long_name":"2631","short_name":"2631","types":["street_number"]},{"long_name":"East Spring Street","short_name":"E Spring St","types":["route"]},{"long_name":"Long Beach","short_name":"Long Beach","types":["locality","political"]},{"long_name":"Los Angeles County","short_name":"Los Angeles County","types":["administrative_area_level_2","political"]},{"long_name":"California","short_name":"CA","types":["administrative_area_level_1","political"]},{"long_name":"United States","short_name":"US","types":["country","political"]},{"long_name":"90806","short_name":"90806","types":["postal_code"]}],"adr_address":"&lt;span class=\"street-address\"&gt;2631 E Spring St&lt;/span&gt;, &lt;span class=\"locality\"&gt;Long Beach&lt;/span&gt;, &lt;span class=\"region\"&gt;CA&lt;/span&gt; &lt;span class=\"postal-code\"&gt;90806&lt;/span&gt;, &lt;span class=\"country-name\"&gt;USA&lt;/span&gt;","formatted_address":"2631 E Spring St, Long Beach, CA 90806, USA","formatted_phone_number":"(562) 290-0321","geometry":{"location":{"lat":33.8122095,"lng":-118.1610017},"viewport":{"northeast":{"lat":33.8134678302915,"lng":-118.1597148197085},"southwest":{"lat":33.8107698697085,"lng":-118.1624127802915}}},"icon":"https://maps.gstatic.com/mapfiles/place_api/icons/v1/png_71/school-71.png","id":null,"international_phone_number":"+1 562-290-0321","name":"Long Beach Flying Club","place_id":"ChIJe0dKZM0z3YAR0g5dMA5lNyg","rating":4.1,"reference":null,"reviews":[{"author_name":"Jacob Morris","author_url":"https://www.google.com/maps/contrib/113835973513036167598/reviews","language":"en","profile_photo_url":"https://lh3.googleusercontent.com/a-/AOh14Gg9el4fMcmXC5SKQEtYV9KXW_tpw5OgoNbTCsEDXQ=s128-c0x00000000-cc-rp-mo-ba4","rating":5,"relative_time_description":"2 years ago","text":"Great staff - super friendly and the instructors are great. Would highly recommend if you are wanting to learn to fly. My only thing is the planes interiors could use a little repairs and maybe add GPS avionics into some of the more popular planes but overall a fantastic place to learn and fly out of.","time":1545852187},{"author_name":"sonu singh","author_url":"https://www.google.com/maps/contrib/109608609204577292765/reviews","language":"en","profile_photo_url":"https://lh3.googleusercontent.com/a-/AOh14GheD-spUBwe9JSft3NqnmQyjefEjcVH33qqXqZR_w=s128-c0x00000000-cc-rp-mo","rating":5,"relative_time_description":"4 months ago","text":"Friendly Staff Members!!","time":1602178171},{"author_name":"Joseph Bibiano-Raschke","author_url":"https://www.google.com/maps/contrib/107948501996227272343/reviews","language":"en","profile_photo_url":"https://lh3.googleusercontent.com/a-/AOh14GiVFTeQ4jZ7Vpis-HgqAT3w-Hc0L_iCFrzOoUdf=s128-c0x00000000-cc-rp-mo","rating":3,"relative_time_description":"3 years ago","text":"It was fun, but my instructor made me feel uncomfortable. It was really cloudy and he had always said we weren’t allowed to fly above the clouds. I had a weird feeling and then he decides to do some instrument training. So I am already in awe and nervous about being above the clouds and now I have these blinders on. Maybe it was just me, but we had to go back down because he made me uncomfortable. Just a word of advise you have to listen to the student. If they are not comfortable they are not learning. It was still a fun experience and I’m sure there are plenty of great instructors here. Mine was just a little more worried about the money and getting as far away from instructing as possible.","time":1515832900},{"author_name":"Gina Walthall","author_url":"https://www.google.com/maps/contrib/104513415540315288312/reviews","language":"en","profile_photo_url":"https://lh3.googleusercontent.com/a-/AOh14GjN3MxkW2cmh7Tx9CiFbUguI_1SZxh8dg0LuKC5=s128-c0x00000000-cc-rp-mo","rating":1,"relative_time_description":"2 years ago","text":"You sure don't feel welcome walking in to this establishment. Wouldn't recommend this place to anyone. There are several places that would embrace someone walking in, for ANY reason.\nRating -1!","time":1540913897},{"author_name":"David Krabbe","author_url":"https://www.google.com/maps/contrib/113988062138891951049/reviews","language":"en","profile_photo_url":"https://lh3.googleusercontent.com/-jEWy6SwpgfI/AAAAAAAAAAI/AAAAAAAAAAA/AMZuuclJEIlTCCeDRXoFxYGYXXhpWXOxqw/s128-c0x00000000-cc-rp-mo/photo.jpg","rating":1,"relative_time_description":"4 years ago","text":"Unfriendly and unwelcoming staff at the front desk; nobody answers the phone, two emails were ignored - this place really turned me off.","time":1469853775}],"types":["university","point_of_interest","establishment"],"url":"https://maps.google.com/?cid=2897895996851556050","utc_offset":-480,"vicinity":"2631 East Spring Street, Long Beach","website":"http://www.lbflying.com/"},"status":"OK"}</t>
  </si>
  <si>
    <t>&lt;span class="street-address"&gt;2631 E Spring St&lt;/span&gt;, &lt;span class="locality"&gt;Long Beach&lt;/span&gt;, &lt;span class="region"&gt;CA&lt;/span&gt; &lt;span class="postal-code"&gt;90806&lt;/span&gt;, &lt;span class="country-name"&gt;USA&lt;/span&gt;</t>
  </si>
  <si>
    <t>(562) 290-0321</t>
  </si>
  <si>
    <t>+1 562-290-0321</t>
  </si>
  <si>
    <t>2631 East Spring Street, Long Beach</t>
  </si>
  <si>
    <t>http://www.lbflying.com/</t>
  </si>
  <si>
    <t>https://maps.googleapis.com/maps/api/place/findplacefromtext/json?input=%2B15624900077 &amp;inputtype=phonenumber&amp;fields=business_status,formatted_address,geometry,icon,name,permanently_closed,place_id,plus_code,types&amp;key=AIzaSyAUoR1hu32epmid_r-h7_AiXQWhNu3zr3U</t>
  </si>
  <si>
    <t>{"business_status":"OPERATIONAL","formatted_address":"2801 E Spring St Suite 150, Long Beach, CA 90806, USA","geometry":{"location":{"lat":33.8123143,"lng":-118.1586613},"viewport":{"northeast":{"lat":33.81352478029149,"lng":-118.1572671697085},"southwest":{"lat":33.8108268197085,"lng":-118.1599651302915}}},"icon":"https://maps.gstatic.com/mapfiles/place_api/icons/v1/png_71/school-71.png","name":"Sky Creation, Inc.","place_id":"ChIJaRZXo-Yz3YARdCpfg-eqQvo","plus_code":{"compound_code":"RR6R+WG Long Beach, CA, USA","global_code":"8553RR6R+WG"},"types":["university","point_of_interest","establishment"]}</t>
  </si>
  <si>
    <t>Sky Creation, Inc.</t>
  </si>
  <si>
    <t>ChIJaRZXo-Yz3YARdCpfg-eqQvo</t>
  </si>
  <si>
    <t>2801 E Spring St Suite 150, Long Beach, CA 90806, USA</t>
  </si>
  <si>
    <t>{"html_attributions":[],"result":{"address_components":[{"long_name":"Suite 150","short_name":"Suite 150","types":["subpremise"]},{"long_name":"2801","short_name":"2801","types":["street_number"]},{"long_name":"East Spring Street","short_name":"E Spring St","types":["route"]},{"long_name":"Long Beach","short_name":"Long Beach","types":["locality","political"]},{"long_name":"Los Angeles County","short_name":"Los Angeles County","types":["administrative_area_level_2","political"]},{"long_name":"California","short_name":"CA","types":["administrative_area_level_1","political"]},{"long_name":"United States","short_name":"US","types":["country","political"]},{"long_name":"90806","short_name":"90806","types":["postal_code"]}],"adr_address":"&lt;span class=\"street-address\"&gt;2801 E Spring St Suite 150&lt;/span&gt;, &lt;span class=\"locality\"&gt;Long Beach&lt;/span&gt;, &lt;span class=\"region\"&gt;CA&lt;/span&gt; &lt;span class=\"postal-code\"&gt;90806&lt;/span&gt;, &lt;span class=\"country-name\"&gt;USA&lt;/span&gt;","formatted_address":"2801 E Spring St Suite 150, Long Beach, CA 90806, USA","formatted_phone_number":"(562) 490-0077","geometry":{"location":{"lat":33.8123143,"lng":-118.1586613},"viewport":{"northeast":{"lat":33.81352478029149,"lng":-118.1572671697085},"southwest":{"lat":33.8108268197085,"lng":-118.1599651302915}}},"icon":"https://maps.gstatic.com/mapfiles/place_api/icons/v1/png_71/school-71.png","id":null,"international_phone_number":"+1 562-490-0077","name":"Sky Creation, Inc.","place_id":"ChIJaRZXo-Yz3YARdCpfg-eqQvo","rating":4.7,"reference":null,"reviews":[{"author_name":"Luke Szk","author_url":"https://www.google.com/maps/contrib/103770280331661254472/reviews","language":"en","profile_photo_url":"https://lh3.googleusercontent.com/a-/AOh14Gh2emlaqLRGhw1sYYYU_vv4pXQwhovmfzQRUZVQsw=s128-c0x00000000-cc-rp-mo","rating":5,"relative_time_description":"4 weeks ago","text":"Great flight school to learn how to fly. They also do demo flight for those considering flight lessons.","time":1611110312},{"author_name":"西川龍菜","author_url":"https://www.google.com/maps/contrib/116426387613357549538/reviews","language":"en-US","profile_photo_url":"https://lh3.googleusercontent.com/a-/AOh14Gj0X16QilHCcj5UmCQIkPy-tTDGmmqa4IMkUDX6QVM=s128-c0x00000000-cc-rp-mo-ba5","rating":4,"relative_time_description":"a year ago","text":"# 20080605\n“Sky Creation, Inc. experienced a helicopter flight… it was fun! I'm looking at the aircraft taking off from above.","time":1567912239},{"author_name":"HIFNI ASSEGAF","author_url":"https://www.google.com/maps/contrib/110679189907975885702/reviews","language":null,"profile_photo_url":"https://lh3.googleusercontent.com/a-/AOh14GgU1w4fuekCkljq-xuK5Fg0LDndbTeJT18fxMzD9Q=s128-c0x00000000-cc-rp-mo","rating":5,"relative_time_description":"a year ago","text":"","time":1581045768}],"types":["university","point_of_interest","establishment"],"url":"https://maps.google.com/?cid=18033163769263106676","utc_offset":-480,"vicinity":"2801 East Spring Street Suite 150, Long Beach","website":"https://skycreation.net/en/"},"status":"OK"}</t>
  </si>
  <si>
    <t>&lt;span class="street-address"&gt;2801 E Spring St Suite 150&lt;/span&gt;, &lt;span class="locality"&gt;Long Beach&lt;/span&gt;, &lt;span class="region"&gt;CA&lt;/span&gt; &lt;span class="postal-code"&gt;90806&lt;/span&gt;, &lt;span class="country-name"&gt;USA&lt;/span&gt;</t>
  </si>
  <si>
    <t>(562) 490-0077</t>
  </si>
  <si>
    <t>+1 562-490-0077</t>
  </si>
  <si>
    <t>2801 East Spring Street Suite 150, Long Beach</t>
  </si>
  <si>
    <t>https://skycreation.net/en/</t>
  </si>
  <si>
    <t/>
  </si>
  <si>
    <t>https://maps.googleapis.com/maps/api/place/findplacefromtext/json?input=%2B15624258880&amp;inputtype=phonenumber&amp;fields=business_status,formatted_address,geometry,icon,name,permanently_closed,place_id,plus_code,types&amp;key=AIzaSyAUoR1hu32epmid_r-h7_AiXQWhNu3zr3U</t>
  </si>
  <si>
    <t>{"business_status":"OPERATIONAL","formatted_address":"1100 New Hwy, Farmingdale, NY 11735, USA","geometry":{"location":{"lat":40.7346728,"lng":-73.4128132},"viewport":{"northeast":{"lat":40.7360590302915,"lng":-73.4112151697085},"southwest":{"lat":40.7333610697085,"lng":-73.41391313029152}}},"icon":"https://maps.gstatic.com/mapfiles/place_api/icons/v1/png_71/generic_business-71.png","name":"JetFlite International","place_id":"ChIJ58Cx0B4r6IkR8QFvoYVhFnA","plus_code":{"compound_code":"PHMP+VV Farmingdale, NY, USA","global_code":"87G8PHMP+VV"},"types":["point_of_interest","establishment"]}</t>
  </si>
  <si>
    <t>JetFlite International</t>
  </si>
  <si>
    <t>ChIJ58Cx0B4r6IkR8QFvoYVhFnA</t>
  </si>
  <si>
    <t>1100 New Hwy, Farmingdale, NY 11735, USA</t>
  </si>
  <si>
    <t>{"html_attributions":[],"result":{"address_components":[{"long_name":"1100","short_name":"1100","types":["street_number"]},{"long_name":"New Highway","short_name":"New Hwy","types":["route"]},{"long_name":"Farmingdale","short_name":"Farmingdale","types":["locality","political"]},{"long_name":"Babylon","short_name":"Babylon","types":["administrative_area_level_3","political"]},{"long_name":"Suffolk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States","short_name":"US","types":["country","political"]},{"long_name":"11735","short_name":"11735","types":["postal_code"]},{"long_name":"1550","short_name":"1550","types":["postal_code_suffix"]}],"adr_address":"&lt;span class=\"street-address\"&gt;1100 New Hwy&lt;/span&gt;, &lt;span class=\"locality\"&gt;Farmingdale&lt;/span&gt;, &lt;span class=\"region\"&gt;NY&lt;/span&gt; &lt;span class=\"postal-code\"&gt;11735-1550&lt;/span&gt;, &lt;span class=\"country-name\"&gt;USA&lt;/span&gt;","formatted_address":"1100 New Hwy, Farmingdale, NY 11735, USA","formatted_phone_number":"(562) 425-8880","geometry":{"location":{"lat":40.7346728,"lng":-73.4128132},"viewport":{"northeast":{"lat":40.7360590302915,"lng":-73.4112151697085},"southwest":{"lat":40.7333610697085,"lng":-73.41391313029152}}},"icon":"https://maps.gstatic.com/mapfiles/place_api/icons/v1/png_71/generic_business-71.png","id":null,"international_phone_number":"+1 562-425-8880","name":"JetFlite International","place_id":"ChIJ58Cx0B4r6IkR8QFvoYVhFnA","rating":null,"reference":null,"reviews":null,"types":["point_of_interest","establishment"],"url":"https://maps.google.com/?cid=8076750208302514673","utc_offset":-300,"vicinity":"1100 New Highway, Farmingdale","website":null},"status":"OK"}</t>
  </si>
  <si>
    <t>&lt;span class="street-address"&gt;1100 New Hwy&lt;/span&gt;, &lt;span class="locality"&gt;Farmingdale&lt;/span&gt;, &lt;span class="region"&gt;NY&lt;/span&gt; &lt;span class="postal-code"&gt;11735-1550&lt;/span&gt;, &lt;span class="country-name"&gt;USA&lt;/span&gt;</t>
  </si>
  <si>
    <t>(562) 425-8880</t>
  </si>
  <si>
    <t>+1 562-425-8880</t>
  </si>
  <si>
    <t>1100 New Highway, Farmingdale</t>
  </si>
  <si>
    <t>https://maps.googleapis.com/maps/api/place/findplacefromtext/json?input=%2B15624242684&amp;inputtype=phonenumber&amp;fields=business_status,formatted_address,geometry,icon,name,permanently_closed,place_id,plus_code,types&amp;key=AIzaSyAUoR1hu32epmid_r-h7_AiXQWhNu3zr3U</t>
  </si>
  <si>
    <t>travel_agency,university,point_of_interest,establishment</t>
  </si>
  <si>
    <t>{"business_status":"OPERATIONAL","formatted_address":"3200 Airflite Way, Long Beach, CA 90807, USA","geometry":{"location":{"lat":33.8156322,"lng":-118.1586366},"viewport":{"northeast":{"lat":33.8170984802915,"lng":-118.1574142697085},"southwest":{"lat":33.8144005197085,"lng":-118.1601122302915}}},"icon":"https://maps.gstatic.com/mapfiles/place_api/icons/v1/png_71/generic_business-71.png","name":"Anthelion Helicopters","place_id":"ChIJJexsNzMy3YAR8Ff9IFBpjIg","plus_code":{"compound_code":"RR8R+7G Long Beach, CA, USA","global_code":"8553RR8R+7G"},"types":["travel_agency","university","point_of_interest","establishment"]}</t>
  </si>
  <si>
    <t>ChIJJexsNzMy3YAR8Ff9IFBpjIg</t>
  </si>
  <si>
    <t>3200 Airflite Way, Long Beach, CA 90807, USA</t>
  </si>
  <si>
    <t>{"html_attributions":[],"result":{"address_components":[{"long_name":"3200","short_name":"3200","types":["street_number"]},{"long_name":"Airflite Way","short_name":"Airflite Way","types":["route"]},{"long_name":"Long Beach","short_name":"Long Beach","types":["locality","political"]},{"long_name":"Los Angeles County","short_name":"Los Angeles County","types":["administrative_area_level_2","political"]},{"long_name":"California","short_name":"CA","types":["administrative_area_level_1","political"]},{"long_name":"United States","short_name":"US","types":["country","political"]},{"long_name":"90807","short_name":"90807","types":["postal_code"]}],"adr_address":"&lt;span class=\"street-address\"&gt;3200 Airflite Way&lt;/span&gt;, &lt;span class=\"locality\"&gt;Long Beach&lt;/span&gt;, &lt;span class=\"region\"&gt;CA&lt;/span&gt; &lt;span class=\"postal-code\"&gt;90807&lt;/span&gt;, &lt;span class=\"country-name\"&gt;USA&lt;/span&gt;","formatted_address":"3200 Airflite Way, Long Beach, CA 90807, USA","formatted_phone_number":"(800) 471-4354","geometry":{"location":{"lat":33.8156322,"lng":-118.1586366},"viewport":{"northeast":{"lat":33.8170984802915,"lng":-118.1574142697085},"southwest":{"lat":33.8144005197085,"lng":-118.1601122302915}}},"icon":"https://maps.gstatic.com/mapfiles/place_api/icons/v1/png_71/generic_business-71.png","id":null,"international_phone_number":"+1 800-471-4354","name":"Anthelion Helicopters","place_id":"ChIJJexsNzMy3YAR8Ff9IFBpjIg","rating":4.1,"reference":null,"reviews":[{"author_name":"Tony sesto","author_url":"https://www.google.com/maps/contrib/112289009317335095419/reviews","language":"en","profile_photo_url":"https://lh5.googleusercontent.com/-Cc2U89PoIbE/AAAAAAAAAAI/AAAAAAAAAAA/AMZuucltdN8WI7udB3K9_vKFrZxqzdmO5w/s128-c0x00000000-cc-rp-mo-ba3/photo.jpg","rating":5,"relative_time_description":"a week ago","text":"Working with them for a gender reveal.  Professional, polite, and extremely helpful.  Will be using them again just to go on a tour","time":1612830934},{"author_name":"Alex men","author_url":"https://www.google.com/maps/contrib/104994760283309784747/reviews","language":"en","profile_photo_url":"https://lh6.googleusercontent.com/-pjUhepXstvE/AAAAAAAAAAI/AAAAAAAAAAA/AMZuucnrIcRoxabbaLUmdm5-w5MDYobK6g/s128-c0x00000000-cc-rp-mo/photo.jpg","rating":5,"relative_time_description":"4 months ago","text":"Was a very memorable experience for me and my girlfriend. We were very nervous at first, but they were extremely friendly and had a great humor that made us relax and enjoy the flight. Also very knowledgeable about the area, you will learn a couple new things.","time":1601095609},{"author_name":"Julia Tredway","author_url":"https://www.google.com/maps/contrib/105442696224651306541/reviews","language":"en","profile_photo_url":"https://lh5.googleusercontent.com/-eXGYnqO6oIQ/AAAAAAAAAAI/AAAAAAAAAAA/AMZuuckYeUbPxfxZGwuThxkA-xxRLRnqpw/s128-c0x00000000-cc-rp-mo/photo.jpg","rating":5,"relative_time_description":"8 months ago","text":"What a great experience flying over LA!  Our pilot was super knowledgeable and knew all the interesting neighborhoods and buildings to point out.  Flying near Dodger Stadium was so cool. Just the perfect amount of time in the sky to see everything.","time":1591115033},{"author_name":"HERB CROWE","author_url":"https://www.google.com/maps/contrib/100127131706309243770/reviews","language":"en","profile_photo_url":"https://lh5.googleusercontent.com/-QylY1qDjnHk/AAAAAAAAAAI/AAAAAAAAAAA/AMZuucmIHTxC4xl5RB2yhoIf3BVjGg5Siw/s128-c0x00000000-cc-rp-mo/photo.jpg","rating":5,"relative_time_description":"5 months ago","text":"Our pilot was awesome!! He was very personable and knowledgeable. He made our trip even more interesting that just getting to ride in a helicopter. He was truly sincere and a very competent pilot. The staff was excellent too.","time":1600391784},{"author_name":"stacey B","author_url":"https://www.google.com/maps/contrib/109916353552667876503/reviews","language":"en","profile_photo_url":"https://lh3.googleusercontent.com/a-/AOh14GhYLBrkl3xSrlaCX-BBTfy2pMcjsLF_qbczPBw_=s128-c0x00000000-cc-rp-mo","rating":5,"relative_time_description":"4 months ago","text":"We had an awesome time. Although we only flew over Long Beach it was still nice.","time":1601310136}],"types":["travel_agency","university","point_of_interest","establishment"],"url":"https://maps.google.com/?cid=9839355078769465328","utc_offset":-480,"vicinity":"3200 Airflite Way, Long Beach","website":"http://www.anthelionhelicopters.com/"},"status":"OK"}</t>
  </si>
  <si>
    <t>&lt;span class="street-address"&gt;3200 Airflite Way&lt;/span&gt;, &lt;span class="locality"&gt;Long Beach&lt;/span&gt;, &lt;span class="region"&gt;CA&lt;/span&gt; &lt;span class="postal-code"&gt;90807&lt;/span&gt;, &lt;span class="country-name"&gt;USA&lt;/span&gt;</t>
  </si>
  <si>
    <t>(800) 471-4354</t>
  </si>
  <si>
    <t>+1 800-471-4354</t>
  </si>
  <si>
    <t>3200 Airflite Way, Long Beach</t>
  </si>
  <si>
    <t>http://www.anthelionhelicopters.com/</t>
  </si>
  <si>
    <t>https://maps.googleapis.com/maps/api/place/findplacefromtext/json?input=%2B13105102525&amp;inputtype=phonenumber&amp;fields=business_status,formatted_address,geometry,icon,name,permanently_closed,place_id,plus_code,types&amp;key=AIzaSyAUoR1hu32epmid_r-h7_AiXQWhNu3zr3U</t>
  </si>
  <si>
    <t>airport,travel_agency,point_of_interest,establishment</t>
  </si>
  <si>
    <t>{"business_status":"OPERATIONAL","formatted_address":"56 Pebbly Beach Rd, Avalon, CA 90704, USA","geometry":{"location":{"lat":33.33650420000001,"lng":-118.3120466},"viewport":{"northeast":{"lat":33.3377993302915,"lng":-118.3108780697085},"southwest":{"lat":33.33510136970851,"lng":-118.3135760302915}}},"icon":"https://maps.gstatic.com/mapfiles/place_api/icons/v1/png_71/generic_business-71.png","name":"IEX Helicopters - Catalina Island","place_id":"ChIJ698lpZhy3YARPSDH12zSdRQ","plus_code":{"compound_code":"8MPQ+J5 Avalon, CA, USA","global_code":"85538MPQ+J5"},"types":["airport","travel_agency","point_of_interest","establishment"]}</t>
  </si>
  <si>
    <t>IEX Helicopters - Catalina Island</t>
  </si>
  <si>
    <t>ChIJ698lpZhy3YARPSDH12zSdRQ</t>
  </si>
  <si>
    <t>56 Pebbly Beach Rd, Avalon, CA 90704, USA</t>
  </si>
  <si>
    <t>{"html_attributions":[],"result":{"address_components":[{"long_name":"56","short_name":"56","types":["street_number"]},{"long_name":"Pebbly Beach Road","short_name":"Pebbly Beach Rd","types":["route"]},{"long_name":"Avalon","short_name":"Avalon","types":["locality","political"]},{"long_name":"Los Angeles County","short_name":"Los Angeles County","types":["administrative_area_level_2","political"]},{"long_name":"California","short_name":"CA","types":["administrative_area_level_1","political"]},{"long_name":"United States","short_name":"US","types":["country","political"]},{"long_name":"90704","short_name":"90704","types":["postal_code"]}],"adr_address":"&lt;span class=\"street-address\"&gt;56 Pebbly Beach Rd&lt;/span&gt;, &lt;span class=\"locality\"&gt;Avalon&lt;/span&gt;, &lt;span class=\"region\"&gt;CA&lt;/span&gt; &lt;span class=\"postal-code\"&gt;90704&lt;/span&gt;, &lt;span class=\"country-name\"&gt;USA&lt;/span&gt;","formatted_address":"56 Pebbly Beach Rd, Avalon, CA 90704, USA","formatted_phone_number":"(800) 228-2566","geometry":{"location":{"lat":33.33650420000001,"lng":-118.3120466},"viewport":{"northeast":{"lat":33.3377993302915,"lng":-118.3108780697085},"southwest":{"lat":33.33510136970851,"lng":-118.3135760302915}}},"icon":"https://maps.gstatic.com/mapfiles/place_api/icons/v1/png_71/generic_business-71.png","id":null,"international_phone_number":"+1 800-228-2566","name":"IEX Helicopters - Catalina Island","place_id":"ChIJ698lpZhy3YARPSDH12zSdRQ","rating":4.7,"reference":null,"reviews":[{"author_name":"daniel pablos","author_url":"https://www.google.com/maps/contrib/107597117679578051589/reviews","language":"en","profile_photo_url":"https://lh5.googleusercontent.com/-KYDvXGzXN3g/AAAAAAAAAAI/AAAAAAAAAAA/AMZuucnDy7arXOTaafPen3OyC-8qKT21QQ/s128-c0x00000000-cc-rp-mo-ba2/photo.jpg","rating":5,"relative_time_description":"3 months ago","text":"The BEST way to see the island, for sure! The pilot/tour guide was cool calm informative and friendly.","time":1604351274},{"author_name":"Richard Mataya","author_url":"https://www.google.com/maps/contrib/110819047970642556649/reviews","language":"en","profile_photo_url":"https://lh3.googleusercontent.com/a-/AOh14Gif3qJAGcPuiwiQfxXgfAieYauMbqwFsXfUp-zWOg=s128-c0x00000000-cc-rp-mo","rating":5,"relative_time_description":"7 months ago","text":"Perfect way to get to Catalina. Super smooth, very friendly and so much easier than the ferry. So glad we splurged a little - but worth every penny. Thanks #iexhelicopters!","time":1594676334},{"author_name":"Sandor Dobi","author_url":"https://www.google.com/maps/contrib/108717241975771860538/reviews","language":"en","profile_photo_url":"https://lh3.googleusercontent.com/a-/AOh14GhhCAWIdOTLWuyQsdaJ65Dw821V_1cCt6XrZHvINg=s128-c0x00000000-cc-rp-mo","rating":5,"relative_time_description":"8 months ago","text":"Crew and staff are polite and professional! It takes just under 15 mins to cross the channel!","time":1591796012},{"author_name":"Mike Webb","author_url":"https://www.google.com/maps/contrib/109444615842786690622/reviews","language":"en","profile_photo_url":"https://lh3.googleusercontent.com/a-/AOh14Gg5TN7UwNcC2pRXlgCcVHV0aAHD22iJseQHUIkJ=s128-c0x00000000-cc-rp-mo-ba3","rating":5,"relative_time_description":"a year ago","text":"We had a great experience and our helicopter pilot was very professional and skilled. Perfect flights to and from Catalina. I've never taken the ferry but I don't think I ever will!","time":1578855705},{"author_name":"Lisa Caron","author_url":"https://www.google.com/maps/contrib/115986223241021481624/reviews","language":"en","profile_photo_url":"https://lh5.googleusercontent.com/-4oJ4A9d-y-Y/AAAAAAAAAAI/AAAAAAAAAAA/AMZuuckT_bjAoujVcK97mKistb4P7kVePg/s128-c0x00000000-cc-rp-mo/photo.jpg","rating":5,"relative_time_description":"3 months ago","text":"I was great, loved it. Thanks","time":1604931812}],"types":["airport","travel_agency","point_of_interest","establishment"],"url":"https://maps.google.com/?cid=1474315817952157757","utc_offset":-480,"vicinity":"56 Pebbly Beach Road, Avalon","website":"http://iexhelicopters.com/"},"status":"OK"}</t>
  </si>
  <si>
    <t>&lt;span class="street-address"&gt;56 Pebbly Beach Rd&lt;/span&gt;, &lt;span class="locality"&gt;Avalon&lt;/span&gt;, &lt;span class="region"&gt;CA&lt;/span&gt; &lt;span class="postal-code"&gt;90704&lt;/span&gt;, &lt;span class="country-name"&gt;USA&lt;/span&gt;</t>
  </si>
  <si>
    <t>(800) 228-2566</t>
  </si>
  <si>
    <t>+1 800-228-2566</t>
  </si>
  <si>
    <t>56 Pebbly Beach Road, Avalon</t>
  </si>
  <si>
    <t>http://iexhelicopters.com/</t>
  </si>
  <si>
    <t>https://maps.googleapis.com/maps/api/place/findplacefromtext/json?input=Rainbow%20Air%20Charter%2C%20Inc.%202601%20East%20Spring%20Street%20%20Long%20Beach%20CA%2090806&amp;key=AIzaSyAUoR1hu32epmid_r-h7_AiXQWhNu3zr3U&amp;inputtype=textquery&amp;fields=business_status,formatted_address,geometry,icon,name,permanently_closed,place_id,plus_code,types</t>
  </si>
  <si>
    <t>{"business_status":"CLOSED_PERMANENTLY","formatted_address":"2601 E Spring St, Long Beach, CA 90806, United States","geometry":{"location":{"lat":33.8124088,"lng":-118.1614875},"viewport":{"northeast":{"lat":33.81366192989272,"lng":-118.1601592701073},"southwest":{"lat":33.81096227010728,"lng":-118.1628589298927}}},"icon":"https://maps.gstatic.com/mapfiles/place_api/icons/v1/png_71/school-71.png","name":"Rainbow Air","place_id":"ChIJKXQDZM0z3YAR7NEEVi4Tr-I","plus_code":{"compound_code":"RR6Q+XC Long Beach, California","global_code":"8553RR6Q+XC"},"types":["university","point_of_interest","establishment"]}</t>
  </si>
  <si>
    <t>Rainbow Air</t>
  </si>
  <si>
    <t>CLOSED_PERMANENTLY</t>
  </si>
  <si>
    <t>ChIJKXQDZM0z3YAR7NEEVi4Tr-I</t>
  </si>
  <si>
    <t>2601 E Spring St, Long Beach, CA 90806, United States</t>
  </si>
  <si>
    <t>{"html_attributions":[],"result":{"address_components":[{"long_name":"2601","short_name":"2601","types":["street_number"]},{"long_name":"East Spring Street","short_name":"E Spring St","types":["route"]},{"long_name":"Long Beach","short_name":"Long Beach","types":["locality","political"]},{"long_name":"Los Angeles County","short_name":"Los Angeles County","types":["administrative_area_level_2","political"]},{"long_name":"California","short_name":"CA","types":["administrative_area_level_1","political"]},{"long_name":"United States","short_name":"US","types":["country","political"]},{"long_name":"90806","short_name":"90806","types":["postal_code"]},{"long_name":"2218","short_name":"2218","types":["postal_code_suffix"]}],"adr_address":"&lt;span class=\"street-address\"&gt;2601 E Spring St&lt;/span&gt;, &lt;span class=\"locality\"&gt;Long Beach&lt;/span&gt;, &lt;span class=\"region\"&gt;CA&lt;/span&gt; &lt;span class=\"postal-code\"&gt;90806-2218&lt;/span&gt;, &lt;span class=\"country-name\"&gt;USA&lt;/span&gt;","formatted_address":"2601 E Spring St, Long Beach, CA 90806, USA","formatted_phone_number":"(562) 424-0119","geometry":{"location":{"lat":33.8124088,"lng":-118.1614875},"viewport":{"northeast":{"lat":33.8136610802915,"lng":-118.1601601197085},"southwest":{"lat":33.8109631197085,"lng":-118.1628580802915}}},"icon":"https://maps.gstatic.com/mapfiles/place_api/icons/v1/png_71/school-71.png","id":null,"international_phone_number":"+1 562-424-0119","name":"Rainbow Air","place_id":"ChIJKXQDZM0z3YAR7NEEVi4Tr-I","rating":null,"reference":null,"reviews":null,"types":["university","point_of_interest","establishment"],"url":"https://maps.google.com/?cid=16334295463228658156","utc_offset":-480,"vicinity":"2601 East Spring Street, Long Beach","website":null},"status":"OK"}</t>
  </si>
  <si>
    <t>&lt;span class="street-address"&gt;2601 E Spring St&lt;/span&gt;, &lt;span class="locality"&gt;Long Beach&lt;/span&gt;, &lt;span class="region"&gt;CA&lt;/span&gt; &lt;span class="postal-code"&gt;90806-2218&lt;/span&gt;, &lt;span class="country-name"&gt;USA&lt;/span&gt;</t>
  </si>
  <si>
    <t>(562) 424-0119</t>
  </si>
  <si>
    <t>+1 562-424-0119</t>
  </si>
  <si>
    <t>2601 East Spring Street, Long Beach</t>
  </si>
  <si>
    <t>https://maps.googleapis.com/maps/api/place/findplacefromtext/json?input=%2B15629812659&amp;inputtype=phonenumber&amp;fields=business_status,formatted_address,geometry,icon,name,permanently_closed,place_id,plus_code,types&amp;key=AIzaSyAUoR1hu32epmid_r-h7_AiXQWhNu3zr3U</t>
  </si>
  <si>
    <t>{"business_status":"OPERATIONAL","formatted_address":"3333 E Spring St, Long Beach, CA 90806, USA","geometry":{"location":{"lat":33.8118681,"lng":-118.1527323},"viewport":{"northeast":{"lat":33.8130926802915,"lng":-118.1514091697085},"southwest":{"lat":33.8103947197085,"lng":-118.1541071302915}}},"icon":"https://maps.gstatic.com/mapfiles/place_api/icons/v1/png_71/generic_business-71.png","name":"Aeroplex / Aerolease Group","place_id":"ChIJkdJmgC4y3YARjOhPs4fcNBw","plus_code":{"compound_code":"RR6W+PW Long Beach, CA, USA","global_code":"8553RR6W+PW"},"types":["point_of_interest","establishment"]}</t>
  </si>
  <si>
    <t>Aeroplex / Aerolease Group</t>
  </si>
  <si>
    <t>ChIJkdJmgC4y3YARjOhPs4fcNBw</t>
  </si>
  <si>
    <t>3333 E Spring St, Long Beach, CA 90806, USA</t>
  </si>
  <si>
    <t>{"html_attributions":[],"result":{"address_components":[{"long_name":"3333","short_name":"3333","types":["street_number"]},{"long_name":"East Spring Street","short_name":"E Spring St","types":["route"]},{"long_name":"Long Beach","short_name":"Long Beach","types":["locality","political"]},{"long_name":"Los Angeles County","short_name":"Los Angeles County","types":["administrative_area_level_2","political"]},{"long_name":"California","short_name":"CA","types":["administrative_area_level_1","political"]},{"long_name":"United States","short_name":"US","types":["country","political"]},{"long_name":"90806","short_name":"90806","types":["postal_code"]},{"long_name":"2448","short_name":"2448","types":["postal_code_suffix"]}],"adr_address":"&lt;span class=\"street-address\"&gt;3333 E Spring St&lt;/span&gt;, &lt;span class=\"locality\"&gt;Long Beach&lt;/span&gt;, &lt;span class=\"region\"&gt;CA&lt;/span&gt; &lt;span class=\"postal-code\"&gt;90806-2448&lt;/span&gt;, &lt;span class=\"country-name\"&gt;USA&lt;/span&gt;","formatted_address":"3333 E Spring St, Long Beach, CA 90806, USA","formatted_phone_number":"(562) 981-2659","geometry":{"location":{"lat":33.8118681,"lng":-118.1527323},"viewport":{"northeast":{"lat":33.8130926802915,"lng":-118.1514091697085},"southwest":{"lat":33.8103947197085,"lng":-118.1541071302915}}},"icon":"https://maps.gstatic.com/mapfiles/place_api/icons/v1/png_71/generic_business-71.png","id":null,"international_phone_number":"+1 562-981-2659","name":"Aeroplex / Aerolease Group","place_id":"ChIJkdJmgC4y3YARjOhPs4fcNBw","rating":4.3,"reference":null,"reviews":[{"author_name":"Paul Skaar","author_url":"https://www.google.com/maps/contrib/103423341963203581819/reviews","language":"en","profile_photo_url":"https://lh3.googleusercontent.com/a-/AOh14Gh4mHzpZwnSA9gFyH5vuYp82JMjrJV6C81sjym7=s128-c0x00000000-cc-rp-mo-ba4","rating":5,"relative_time_description":"2 years ago","text":"Well done.","time":1525748926},{"author_name":"Google GMail","author_url":"https://www.google.com/maps/contrib/107736262589444538254/reviews","language":null,"profile_photo_url":"https://lh5.googleusercontent.com/--m2ZjnvYEyc/AAAAAAAAAAI/AAAAAAAAAAA/AMZuucmyOSiJuT-nYgFZzGCRdRFFmN9Z4Q/s128-c0x00000000-cc-rp-mo/photo.jpg","rating":3,"relative_time_description":"a year ago","text":"","time":1555322129},{"author_name":"Andy S","author_url":"https://www.google.com/maps/contrib/110542413968853017570/reviews","language":null,"profile_photo_url":"https://lh3.googleusercontent.com/a-/AOh14Giw0nbUQDVYA3pKsak79uSQf2mtnCVtBI8cd0e36A=s128-c0x00000000-cc-rp-mo-ba4","rating":4,"relative_time_description":"a year ago","text":"","time":1580371729},{"author_name":"Jovan Rodriguez","author_url":"https://www.google.com/maps/contrib/114223012160772741068/reviews","language":null,"profile_photo_url":"https://lh3.googleusercontent.com/a-/AOh14GiDzmFB7NDEExRg_phof_n1RQmO1gQDzkkM30qpAQ=s128-c0x00000000-cc-rp-mo-ba6","rating":5,"relative_time_description":"11 months ago","text":"","time":1583734496}],"types":["point_of_interest","establishment"],"url":"https://maps.google.com/?cid=2032491807237990540","utc_offset":-480,"vicinity":"3333 East Spring Street, Long Beach","website":"http://www.aeroplex.net/"},"status":"OK"}</t>
  </si>
  <si>
    <t>&lt;span class="street-address"&gt;3333 E Spring St&lt;/span&gt;, &lt;span class="locality"&gt;Long Beach&lt;/span&gt;, &lt;span class="region"&gt;CA&lt;/span&gt; &lt;span class="postal-code"&gt;90806-2448&lt;/span&gt;, &lt;span class="country-name"&gt;USA&lt;/span&gt;</t>
  </si>
  <si>
    <t>+1 562-981-2659</t>
  </si>
  <si>
    <t>3333 East Spring Street, Long Beach</t>
  </si>
  <si>
    <t>http://www.aeroplex.net/</t>
  </si>
  <si>
    <t>https://maps.googleapis.com/maps/api/place/findplacefromtext/json?input=ZEPHYR%20SERVICES%20LLC%202735%20E%20Spring%20Street%20%20Long%20Beach%20CA%2090806&amp;key=AIzaSyAUoR1hu32epmid_r-h7_AiXQWhNu3zr3U&amp;inputtype=textquery&amp;fields=business_status,formatted_address,geometry,icon,name,permanently_closed,place_id,plus_code,types</t>
  </si>
  <si>
    <t>{"business_status":"OPERATIONAL","formatted_address":"2735 E Spring St, Long Beach, CA 90806, United States","geometry":{"location":{"lat":33.8122146,"lng":-118.1598357},"viewport":{"northeast":{"lat":33.81343707989272,"lng":-118.1584862701073},"southwest":{"lat":33.81073742010728,"lng":-118.1611859298928}}},"icon":"https://maps.gstatic.com/mapfiles/place_api/icons/v1/png_71/airport-71.png","name":"Zephyr Services","place_id":"ChIJYaWGWs0z3YARMMlWChIiPds","plus_code":{"compound_code":"RR6R+V3 Long Beach, California","global_code":"8553RR6R+V3"},"types":["airport","point_of_interest","establishment"]}</t>
  </si>
  <si>
    <t>Zephyr Services</t>
  </si>
  <si>
    <t>ChIJYaWGWs0z3YARMMlWChIiPds</t>
  </si>
  <si>
    <t>2735 E Spring St, Long Beach, CA 90806, United States</t>
  </si>
  <si>
    <t>{"html_attributions":[],"result":{"address_components":[{"long_name":"2735","short_name":"2735","types":["street_number"]},{"long_name":"East Spring Street","short_name":"E Spring St","types":["route"]},{"long_name":"Long Beach","short_name":"Long Beach","types":["locality","political"]},{"long_name":"Los Angeles County","short_name":"Los Angeles County","types":["administrative_area_level_2","political"]},{"long_name":"California","short_name":"CA","types":["administrative_area_level_1","political"]},{"long_name":"United States","short_name":"US","types":["country","political"]},{"long_name":"90806","short_name":"90806","types":["postal_code"]},{"long_name":"2220","short_name":"2220","types":["postal_code_suffix"]}],"adr_address":"&lt;span class=\"street-address\"&gt;2735 E Spring St&lt;/span&gt;, &lt;span class=\"locality\"&gt;Long Beach&lt;/span&gt;, &lt;span class=\"region\"&gt;CA&lt;/span&gt; &lt;span class=\"postal-code\"&gt;90806-2220&lt;/span&gt;, &lt;span class=\"country-name\"&gt;USA&lt;/span&gt;","formatted_address":"2735 E Spring St, Long Beach, CA 90806, USA","formatted_phone_number":null,"geometry":{"location":{"lat":33.8122146,"lng":-118.1598357},"viewport":{"northeast":{"lat":33.81343623029149,"lng":-118.1584871197085},"southwest":{"lat":33.81073826970849,"lng":-118.1611850802915}}},"icon":"https://maps.gstatic.com/mapfiles/place_api/icons/v1/png_71/airport-71.png","id":null,"international_phone_number":null,"name":"Zephyr Services","place_id":"ChIJYaWGWs0z3YARMMlWChIiPds","rating":null,"reference":null,"reviews":null,"types":["airport","point_of_interest","establishment"],"url":"https://maps.google.com/?cid=15797820528763783472","utc_offset":-480,"vicinity":"2735 East Spring Street, Long Beach","website":null},"status":"OK"}</t>
  </si>
  <si>
    <t>&lt;span class="street-address"&gt;2735 E Spring St&lt;/span&gt;, &lt;span class="locality"&gt;Long Beach&lt;/span&gt;, &lt;span class="region"&gt;CA&lt;/span&gt; &lt;span class="postal-code"&gt;90806-2220&lt;/span&gt;, &lt;span class="country-name"&gt;USA&lt;/span&gt;</t>
  </si>
  <si>
    <t>https://maps.gstatic.com/mapfiles/place_api/icons/v1/png_71/airport-71.png</t>
  </si>
  <si>
    <t>2735 East Spring Street, Long Beach</t>
  </si>
  <si>
    <t>https://maps.googleapis.com/maps/api/place/findplacefromtext/json?input=WEST%20COAST%20AIRCRAFT%20MAINTENANCE%20LLC%202881%20E.%20SPRING%20STREET%20%20LONG%20BEACH%20CA%2090806&amp;key=AIzaSyAUoR1hu32epmid_r-h7_AiXQWhNu3zr3U&amp;inputtype=textquery&amp;fields=business_status,formatted_address,geometry,icon,name,permanently_closed,place_id,plus_code,types</t>
  </si>
  <si>
    <t>{"business_status":"OPERATIONAL","formatted_address":"2881 E Spring St, Long Beach, CA 90806, United States","geometry":{"location":{"lat":33.8115409,"lng":-118.1576434},"viewport":{"northeast":{"lat":33.81289627989272,"lng":-118.1562907701073},"southwest":{"lat":33.81019662010728,"lng":-118.1589904298927}}},"icon":"https://maps.gstatic.com/mapfiles/place_api/icons/v1/png_71/generic_business-71.png","name":"West Coast Aircraft Maintenance","place_id":"ChIJ44hFQi0y3YARSUXzB5bZEKI","plus_code":{"compound_code":"RR6R+JW Long Beach, California","global_code":"8553RR6R+JW"},"types":["point_of_interest","establishment"]}</t>
  </si>
  <si>
    <t>West Coast Aircraft Maintenance</t>
  </si>
  <si>
    <t>ChIJ44hFQi0y3YARSUXzB5bZEKI</t>
  </si>
  <si>
    <t>2881 E Spring St, Long Beach, CA 90806, United States</t>
  </si>
  <si>
    <t>{"html_attributions":[],"result":{"address_components":[{"long_name":"2881","short_name":"2881","types":["street_number"]},{"long_name":"East Spring Street","short_name":"E Spring St","types":["route"]},{"long_name":"Long Beach","short_name":"Long Beach","types":["locality","political"]},{"long_name":"Los Angeles County","short_name":"Los Angeles County","types":["administrative_area_level_2","political"]},{"long_name":"California","short_name":"CA","types":["administrative_area_level_1","political"]},{"long_name":"United States","short_name":"US","types":["country","political"]},{"long_name":"90806","short_name":"90806","types":["postal_code"]},{"long_name":"2417","short_name":"2417","types":["postal_code_suffix"]}],"adr_address":"&lt;span class=\"street-address\"&gt;2881 E Spring St&lt;/span&gt;, &lt;span class=\"locality\"&gt;Long Beach&lt;/span&gt;, &lt;span class=\"region\"&gt;CA&lt;/span&gt; &lt;span class=\"postal-code\"&gt;90806-2417&lt;/span&gt;, &lt;span class=\"country-name\"&gt;USA&lt;/span&gt;","formatted_address":"2881 E Spring St, Long Beach, CA 90806, USA","formatted_phone_number":"(562) 981-6064","geometry":{"location":{"lat":33.8115409,"lng":-118.1576434},"viewport":{"northeast":{"lat":33.8128954302915,"lng":-118.1562916197085},"southwest":{"lat":33.8101974697085,"lng":-118.1589895802915}}},"icon":"https://maps.gstatic.com/mapfiles/place_api/icons/v1/png_71/generic_business-71.png","id":null,"international_phone_number":"+1 562-981-6064","name":"West Coast Aircraft Maintenance","place_id":"ChIJ44hFQi0y3YARSUXzB5bZEKI","rating":4.5,"reference":null,"reviews":[{"author_name":"Louis Cuneo","author_url":"https://www.google.com/maps/contrib/114941021324578138671/reviews","language":null,"profile_photo_url":"https://lh3.googleusercontent.com/a-/AOh14GiroNHybXpRK5v_gY80fGRo7gK6w9u9k0HPJeb0HQ=s128-c0x00000000-cc-rp-mo","rating":4,"relative_time_description":"a year ago","text":"","time":1561162172},{"author_name":"Wilberto Lopez","author_url":"https://www.google.com/maps/contrib/101061323508431755272/reviews","language":null,"profile_photo_url":"https://lh3.googleusercontent.com/a-/AOh14GgHQL0DrmKooKssLaitqK6_YELiDAZ_KWaXWlKrKh4=s128-c0x00000000-cc-rp-mo-ba4","rating":5,"relative_time_description":"2 years ago","text":"","time":1544301890}],"types":["point_of_interest","establishment"],"url":"https://maps.google.com/?cid=11678073072173401417","utc_offset":-480,"vicinity":"2881 East Spring Street, Long Beach","website":"http://www.wcas.aero/charter/"},"status":"OK"}</t>
  </si>
  <si>
    <t>&lt;span class="street-address"&gt;2881 E Spring St&lt;/span&gt;, &lt;span class="locality"&gt;Long Beach&lt;/span&gt;, &lt;span class="region"&gt;CA&lt;/span&gt; &lt;span class="postal-code"&gt;90806-2417&lt;/span&gt;, &lt;span class="country-name"&gt;USA&lt;/span&gt;</t>
  </si>
  <si>
    <t>(562) 981-6064</t>
  </si>
  <si>
    <t>+1 562-981-6064</t>
  </si>
  <si>
    <t>2881 East Spring Street, Long Beach</t>
  </si>
  <si>
    <t>http://www.wcas.aero/charter/</t>
  </si>
  <si>
    <t>https://maps.googleapis.com/maps/api/place/findplacefromtext/json?input=OCR%20AVIATION%202721%20East%20Spring%20Street%20%20LONG%20BEACH%20CA%2090806&amp;key=AIzaSyAUoR1hu32epmid_r-h7_AiXQWhNu3zr3U&amp;inputtype=textquery&amp;fields=business_status,formatted_address,geometry,icon,name,permanently_closed,place_id,plus_code,types</t>
  </si>
  <si>
    <t>{"business_status":"OPERATIONAL","formatted_address":"2721 E Spring St, Long Beach, CA 90806, United States","geometry":{"location":{"lat":33.8122515,"lng":-118.1601986},"viewport":{"northeast":{"lat":33.81345592989272,"lng":-118.1588492201073},"southwest":{"lat":33.81075627010727,"lng":-118.1615488798927}}},"icon":"https://maps.gstatic.com/mapfiles/place_api/icons/v1/png_71/generic_business-71.png","name":"OCR Aviation","place_id":"ChIJpUlYWM0z3YARJiEl71TEecA","plus_code":{"compound_code":"RR6Q+WW Long Beach, California","global_code":"8553RR6Q+WW"},"types":["point_of_interest","store","establishment"]}</t>
  </si>
  <si>
    <t>OCR Aviation</t>
  </si>
  <si>
    <t>ChIJpUlYWM0z3YARJiEl71TEecA</t>
  </si>
  <si>
    <t>2721 E Spring St, Long Beach, CA 90806, United States</t>
  </si>
  <si>
    <t>{"html_attributions":[],"result":{"address_components":[{"long_name":"2721","short_name":"2721","types":["street_number"]},{"long_name":"East Spring Street","short_name":"E Spring St","types":["route"]},{"long_name":"Long Beach","short_name":"Long Beach","types":["locality","political"]},{"long_name":"Los Angeles County","short_name":"Los Angeles County","types":["administrative_area_level_2","political"]},{"long_name":"California","short_name":"CA","types":["administrative_area_level_1","political"]},{"long_name":"United States","short_name":"US","types":["country","political"]},{"long_name":"90806","short_name":"90806","types":["postal_code"]}],"adr_address":"&lt;span class=\"street-address\"&gt;2721 E Spring St&lt;/span&gt;, &lt;span class=\"locality\"&gt;Long Beach&lt;/span&gt;, &lt;span class=\"region\"&gt;CA&lt;/span&gt; &lt;span class=\"postal-code\"&gt;90806&lt;/span&gt;, &lt;span class=\"country-name\"&gt;USA&lt;/span&gt;","formatted_address":"2721 E Spring St, Long Beach, CA 90806, USA","formatted_phone_number":"(562) 426-5331","geometry":{"location":{"lat":33.8122515,"lng":-118.1601986},"viewport":{"northeast":{"lat":33.81345508029149,"lng":-118.1588500697085},"southwest":{"lat":33.8107571197085,"lng":-118.1615480302915}}},"icon":"https://maps.gstatic.com/mapfiles/place_api/icons/v1/png_71/generic_business-71.png","id":null,"international_phone_number":"+1 562-426-5331","name":"OCR Aviation","place_id":"ChIJpUlYWM0z3YARJiEl71TEecA","rating":4.5,"reference":null,"reviews":[{"author_name":"MicGuire Monson","author_url":"https://www.google.com/maps/contrib/117803998496063425679/reviews","language":"en","profile_photo_url":"https://lh3.googleusercontent.com/a-/AOh14Gglj0TsfmD2QmXvh4mxOa4LxS-zVmig7dVs79dZ=s128-c0x00000000-cc-rp-mo","rating":5,"relative_time_description":"7 months ago","text":"Such a great spot. Could not be happier. The owner made me feel right at home.","time":1593712868},{"author_name":"Alota Dixenuras","author_url":"https://www.google.com/maps/contrib/101773535086280364476/reviews","language":"en","profile_photo_url":"https://lh3.googleusercontent.com/-VEhjlI1wT7Q/AAAAAAAAAAI/AAAAAAAAAAA/AMZuucmkYTrGSw1brCVhZ1JGJm_4uxoeKQ/s128-c0x00000000-cc-rp-mo/photo.jpg","rating":5,"relative_time_description":"7 months ago","text":"The owner was unbelievable. Took his time to explain everything to me. All workers there work their tails off and did such a great job on my plane.","time":1593668846},{"author_name":"Tyler Roah","author_url":"https://www.google.com/maps/contrib/102845872687451318062/reviews","language":"en","profile_photo_url":"https://lh3.googleusercontent.com/a-/AOh14GhiqbDHJL4RJ9-UdU5-OgmVqMUUv7Aw-PFD-wIcNg=s128-c0x00000000-cc-rp-mo","rating":5,"relative_time_description":"7 months ago","text":"Wonderful employees, exquisite service, 10/10 would fly again","time":1593662774},{"author_name":"David Zavarella","author_url":"https://www.google.com/maps/contrib/111233651217041306955/reviews","language":"en","profile_photo_url":"https://lh3.googleusercontent.com/a-/AOh14GihIuBoA1PZ21a2Hwl5cFV5AZ_DceumtPo-4ioS=s128-c0x00000000-cc-rp-mo","rating":5,"relative_time_description":"7 months ago","text":"amazing service, great family run business","time":1593660956},{"author_name":"Matt","author_url":"https://www.google.com/maps/contrib/107440169095987505631/reviews","language":"en","profile_photo_url":"https://lh3.googleusercontent.com/a-/AOh14GgewWM3DAAsmssK_hFEgtPSJ8EHlJfkorZO2iW4QA=s128-c0x00000000-cc-rp-mo","rating":5,"relative_time_description":"7 months ago","text":"Service could not have been better","time":1593665457}],"types":["point_of_interest","store","establishment"],"url":"https://maps.google.com/?cid=13869332396532637990","utc_offset":-480,"vicinity":"2721 East Spring Street, Long Beach","website":"http://www.ocraviation.com/"},"status":"OK"}</t>
  </si>
  <si>
    <t>&lt;span class="street-address"&gt;2721 E Spring St&lt;/span&gt;, &lt;span class="locality"&gt;Long Beach&lt;/span&gt;, &lt;span class="region"&gt;CA&lt;/span&gt; &lt;span class="postal-code"&gt;90806&lt;/span&gt;, &lt;span class="country-name"&gt;USA&lt;/span&gt;</t>
  </si>
  <si>
    <t>(562) 426-5331</t>
  </si>
  <si>
    <t>+1 562-426-5331</t>
  </si>
  <si>
    <t>2721 East Spring Street, Long Beach</t>
  </si>
  <si>
    <t>http://www.ocraviation.com/</t>
  </si>
  <si>
    <t>https://maps.googleapis.com/maps/api/place/findplacefromtext/json?input=SOCAL%20JET%20SERVICES%20INC%203355%20EAST%20SPRING%20STREET%2C%20SUITE%20100%20%20LONG%20BEACH%20CA%2090806&amp;key=AIzaSyAUoR1hu32epmid_r-h7_AiXQWhNu3zr3U&amp;inputtype=textquery&amp;fields=business_status,formatted_address,geometry,icon,name,permanently_closed,place_id,plus_code,types</t>
  </si>
  <si>
    <t>{"business_status":"OPERATIONAL","formatted_address":"3355 E Spring St Suite 100, Long Beach, CA 90806, United States","geometry":{"location":{"lat":33.8116712,"lng":-118.152872},"viewport":{"northeast":{"lat":33.81299727989272,"lng":-118.1515193701073},"southwest":{"lat":33.81029762010728,"lng":-118.1542190298928}}},"icon":"https://maps.gstatic.com/mapfiles/place_api/icons/v1/png_71/generic_business-71.png","name":"SoCal Jet Services","place_id":"ChIJ9dJmgC4y3YART3vPhrEpAo0","plus_code":{"compound_code":"RR6W+MV Long Beach, California","global_code":"8553RR6W+MV"},"types":["point_of_interest","establishment"]}</t>
  </si>
  <si>
    <t>SoCal Jet Services</t>
  </si>
  <si>
    <t>ChIJ9dJmgC4y3YART3vPhrEpAo0</t>
  </si>
  <si>
    <t>3355 E Spring St Suite 100, Long Beach, CA 90806, United States</t>
  </si>
  <si>
    <t>{"html_attributions":[],"result":{"address_components":[{"long_name":"Suite 100","short_name":"Suite 100","types":["subpremise"]},{"long_name":"3355","short_name":"3355","types":["street_number"]},{"long_name":"East Spring Street","short_name":"E Spring St","types":["route"]},{"long_name":"Long Beach","short_name":"Long Beach","types":["locality","political"]},{"long_name":"Los Angeles County","short_name":"Los Angeles County","types":["administrative_area_level_2","political"]},{"long_name":"California","short_name":"CA","types":["administrative_area_level_1","political"]},{"long_name":"United States","short_name":"US","types":["country","political"]},{"long_name":"90806","short_name":"90806","types":["postal_code"]}],"adr_address":"&lt;span class=\"street-address\"&gt;3355 E Spring St Suite 100&lt;/span&gt;, &lt;span class=\"locality\"&gt;Long Beach&lt;/span&gt;, &lt;span class=\"region\"&gt;CA&lt;/span&gt; &lt;span class=\"postal-code\"&gt;90806&lt;/span&gt;, &lt;span class=\"country-name\"&gt;USA&lt;/span&gt;","formatted_address":"3355 E Spring St Suite 100, Long Beach, CA 90806, USA","formatted_phone_number":"(800) 372-1698","geometry":{"location":{"lat":33.8116712,"lng":-118.152872},"viewport":{"northeast":{"lat":33.8129964302915,"lng":-118.1515202197085},"southwest":{"lat":33.8102984697085,"lng":-118.1542181802915}}},"icon":"https://maps.gstatic.com/mapfiles/place_api/icons/v1/png_71/generic_business-71.png","id":null,"international_phone_number":"+1 800-372-1698","name":"SoCal Jet Services","place_id":"ChIJ9dJmgC4y3YART3vPhrEpAo0","rating":5.0,"reference":null,"reviews":[{"author_name":"Steve22er","author_url":"https://www.google.com/maps/contrib/117675632333104817041/reviews","language":null,"profile_photo_url":"https://lh5.googleusercontent.com/-KT5nIHyawME/AAAAAAAAAAI/AAAAAAAAAAA/AMZuucn0r3oMy32MuoWdHdcuNv101YA0SQ/s128-c0x00000000-cc-rp-mo/photo.jpg","rating":5,"relative_time_description":"a year ago","text":"","time":1562815263},{"author_name":"Jayson Albee","author_url":"https://www.google.com/maps/contrib/114028030501962044631/reviews","language":null,"profile_photo_url":"https://lh3.googleusercontent.com/a-/AOh14GhMCy8QZ-3TgirYGMF7pQ9kZ3lQOds1f_rexHPcZw=s128-c0x00000000-cc-rp-mo","rating":5,"relative_time_description":"2 years ago","text":"","time":1538056951},{"author_name":"Jaime Ortiz","author_url":"https://www.google.com/maps/contrib/107391467696911497457/reviews","language":null,"profile_photo_url":"https://lh3.googleusercontent.com/a-/AOh14GhSF9BBf201RP4Gpn8o0RjZr7aIn9BFQwZXcknDFRA=s128-c0x00000000-cc-rp-mo","rating":5,"relative_time_description":"3 years ago","text":"","time":1498847115}],"types":["point_of_interest","establishment"],"url":"https://maps.google.com/?cid=10160729551748954959","utc_offset":-480,"vicinity":"3355 East Spring Street Suite 100, Long Beach","website":"https://www.socaljetservices.com/"},"status":"OK"}</t>
  </si>
  <si>
    <t>&lt;span class="street-address"&gt;3355 E Spring St Suite 100&lt;/span&gt;, &lt;span class="locality"&gt;Long Beach&lt;/span&gt;, &lt;span class="region"&gt;CA&lt;/span&gt; &lt;span class="postal-code"&gt;90806&lt;/span&gt;, &lt;span class="country-name"&gt;USA&lt;/span&gt;</t>
  </si>
  <si>
    <t>(800) 372-1698</t>
  </si>
  <si>
    <t>+1 800-372-1698</t>
  </si>
  <si>
    <t>3355 East Spring Street Suite 100, Long Beach</t>
  </si>
  <si>
    <t>https://www.socaljetservices.com/</t>
  </si>
  <si>
    <t>https://maps.googleapis.com/maps/api/place/findplacefromtext/json?input=ATLAS%20INSTRUMENTS%20LLC%202601%20East%20Spring%20Street%20%20Long%20Beach%20CA%2090806&amp;key=AIzaSyAUoR1hu32epmid_r-h7_AiXQWhNu3zr3U&amp;inputtype=textquery&amp;fields=business_status,formatted_address,geometry,icon,name,permanently_closed,place_id,plus_code,types</t>
  </si>
  <si>
    <t>{"business_status":"OPERATIONAL","formatted_address":"2601 E Spring St, Long Beach, CA 90806, United States","geometry":{"location":{"lat":33.8124023,"lng":-118.1615126},"viewport":{"northeast":{"lat":33.81366042989272,"lng":-118.1601832201072},"southwest":{"lat":33.81096077010728,"lng":-118.1628828798927}}},"icon":"https://maps.gstatic.com/mapfiles/place_api/icons/v1/png_71/generic_business-71.png","name":"ATLAS INSTRUMENTS LLC","place_id":"ChIJQ55Ykv1K3YARz9z8Hz4iVq8","plus_code":{"compound_code":"RR6Q+X9 Long Beach, California","global_code":"8553RR6Q+X9"},"types":["point_of_interest","establishment"]}</t>
  </si>
  <si>
    <t>ChIJQ55Ykv1K3YARz9z8Hz4iVq8</t>
  </si>
  <si>
    <t>{"html_attributions":[],"result":{"address_components":[{"long_name":"2601","short_name":"2601","types":["street_number"]},{"long_name":"East Spring Street","short_name":"E Spring St","types":["route"]},{"long_name":"Long Beach","short_name":"Long Beach","types":["locality","political"]},{"long_name":"Los Angeles County","short_name":"Los Angeles County","types":["administrative_area_level_2","political"]},{"long_name":"California","short_name":"CA","types":["administrative_area_level_1","political"]},{"long_name":"United States","short_name":"US","types":["country","political"]},{"long_name":"90806","short_name":"90806","types":["postal_code"]},{"long_name":"2218","short_name":"2218","types":["postal_code_suffix"]}],"adr_address":"&lt;span class=\"street-address\"&gt;2601 E Spring St&lt;/span&gt;, &lt;span class=\"locality\"&gt;Long Beach&lt;/span&gt;, &lt;span class=\"region\"&gt;CA&lt;/span&gt; &lt;span class=\"postal-code\"&gt;90806-2218&lt;/span&gt;, &lt;span class=\"country-name\"&gt;USA&lt;/span&gt;","formatted_address":"2601 E Spring St, Long Beach, CA 90806, USA","formatted_phone_number":"(562) 322-4841","geometry":{"location":{"lat":33.8124023,"lng":-118.1615126},"viewport":{"northeast":{"lat":33.8136595802915,"lng":-118.1601840697085},"southwest":{"lat":33.8109616197085,"lng":-118.1628820302915}}},"icon":"https://maps.gstatic.com/mapfiles/place_api/icons/v1/png_71/generic_business-71.png","id":null,"international_phone_number":"+1 562-322-4841","name":"ATLAS INSTRUMENTS LLC","place_id":"ChIJQ55Ykv1K3YARz9z8Hz4iVq8","rating":null,"reference":null,"reviews":null,"types":["point_of_interest","establishment"],"url":"https://maps.google.com/?cid=12634323454854487247","utc_offset":-480,"vicinity":"2601 East Spring Street, Long Beach","website":"http://www.atlasinstruments.net/"},"status":"OK"}</t>
  </si>
  <si>
    <t>(562) 322-4841</t>
  </si>
  <si>
    <t>+1 562-322-4841</t>
  </si>
  <si>
    <t>http://www.atlasinstruments.net/</t>
  </si>
  <si>
    <t>https://maps.googleapis.com/maps/api/place/findplacefromtext/json?input=GULFSTREAM%20AEROSPACE%20CORPORATION%204150%20DONALD%20DOUGLAS%20DRIVE%20%20LONG%20BEACH%20CA%2090808&amp;key=AIzaSyAUoR1hu32epmid_r-h7_AiXQWhNu3zr3U&amp;inputtype=textquery&amp;fields=business_status,formatted_address,geometry,icon,name,permanently_closed,place_id,plus_code,types</t>
  </si>
  <si>
    <t>{"business_status":"OPERATIONAL","formatted_address":"4150 Donald Douglas Dr, Long Beach, CA 90808, United States","geometry":{"location":{"lat":33.8161219,"lng":-118.1445548},"viewport":{"northeast":{"lat":33.81782552989272,"lng":-118.1432025201073},"southwest":{"lat":33.81512587010727,"lng":-118.1459021798927}}},"icon":"https://maps.gstatic.com/mapfiles/place_api/icons/v1/png_71/generic_business-71.png","name":"Gulfstream Aerospace Corporation: Long Beach","place_id":"ChIJBxn6Xjsy3YARK9cS3nQH2X4","plus_code":{"compound_code":"RV84+C5 Long Beach, California","global_code":"8553RV84+C5"},"types":["point_of_interest","establishment"]}</t>
  </si>
  <si>
    <t>Gulfstream Aerospace Corporation: Long Beach</t>
  </si>
  <si>
    <t>ChIJBxn6Xjsy3YARK9cS3nQH2X4</t>
  </si>
  <si>
    <t>4150 Donald Douglas Dr, Long Beach, CA 90808, United States</t>
  </si>
  <si>
    <t>{"html_attributions":[],"result":{"address_components":[{"long_name":"4150","short_name":"4150","types":["street_number"]},{"long_name":"Donald Douglas Drive","short_name":"Donald Douglas Dr","types":["route"]},{"long_name":"Long Beach","short_name":"Long Beach","types":["locality","political"]},{"long_name":"Los Angeles County","short_name":"Los Angeles County","types":["administrative_area_level_2","political"]},{"long_name":"California","short_name":"CA","types":["administrative_area_level_1","political"]},{"long_name":"United States","short_name":"US","types":["country","political"]},{"long_name":"90808","short_name":"90808","types":["postal_code"]},{"long_name":"1725","short_name":"1725","types":["postal_code_suffix"]}],"adr_address":"&lt;span class=\"street-address\"&gt;4150 Donald Douglas Dr&lt;/span&gt;, &lt;span class=\"locality\"&gt;Long Beach&lt;/span&gt;, &lt;span class=\"region\"&gt;CA&lt;/span&gt; &lt;span class=\"postal-code\"&gt;90808-1725&lt;/span&gt;, &lt;span class=\"country-name\"&gt;USA&lt;/span&gt;","formatted_address":"4150 Donald Douglas Dr, Long Beach, CA 90808, USA","formatted_phone_number":"(800) 810-4853","geometry":{"location":{"lat":33.8161219,"lng":-118.1445548},"viewport":{"northeast":{"lat":33.8178246802915,"lng":-118.1432033697085},"southwest":{"lat":33.8151267197085,"lng":-118.1459013302915}}},"icon":"https://maps.gstatic.com/mapfiles/place_api/icons/v1/png_71/generic_business-71.png","id":null,"international_phone_number":"+1 800-810-4853","name":"Gulfstream Aerospace Corporation: Long Beach","place_id":"ChIJBxn6Xjsy3YARK9cS3nQH2X4","rating":4.5,"reference":null,"reviews":[{"author_name":"Jason Armstrong","author_url":"https://www.google.com/maps/contrib/106734062394252022212/reviews","language":"en","profile_photo_url":"https://lh3.googleusercontent.com/a-/AOh14GhjNKdWj-JbliWqegOlj2w_VmcV3WMTZMtcA4Dwow=s128-c0x00000000-cc-rp-mo-ba3","rating":5,"relative_time_description":"a month ago","text":"Are you kidding me? It's Gulfstream.","time":1610746111},{"author_name":"Wilberto Lopez","author_url":"https://www.google.com/maps/contrib/101061323508431755272/reviews","language":"en","profile_photo_url":"https://lh3.googleusercontent.com/a-/AOh14GgHQL0DrmKooKssLaitqK6_YELiDAZ_KWaXWlKrKh4=s128-c0x00000000-cc-rp-mo-ba4","rating":5,"relative_time_description":"6 months ago","text":"That was  nice place and people are so great","time":1596140335},{"author_name":"san diego tennis","author_url":"https://www.google.com/maps/contrib/110352709925655915830/reviews","language":"en","profile_photo_url":"https://lh3.googleusercontent.com/a-/AOh14GgazYhetiRWeGf3yVepg1OYaTbES8Bbyw-OH2TH=s128-c0x00000000-cc-rp-mo-ba4","rating":5,"relative_time_description":"2 years ago","text":"I was a controls contractor for them ... Good people ... It aint open to the public unless you got $40m+ for a jet.","time":1550038038},{"author_name":"Brian Dominguez","author_url":"https://www.google.com/maps/contrib/104350876642315186124/reviews","language":"en","profile_photo_url":"https://lh6.googleusercontent.com/-HBqIu7oBAIg/AAAAAAAAAAI/AAAAAAAAAAA/AMZuucnZ6rBEPa2bV-OYGts67u4r8mN_gQ/s128-c0x00000000-cc-rp-mo/photo.jpg","rating":4,"relative_time_description":"7 years ago","text":"My first time at Gulfstream, I was deffinately impressed with the people. The ambiance is very welcoming and polite. One can easily tell... they strive to ensure that quality is in every product that they deliver. Very High quality product.\n\nBrian","time":1372370273},{"author_name":"VW O'Day","author_url":"https://www.google.com/maps/contrib/104530682554885666521/reviews","language":"en","profile_photo_url":"https://lh5.googleusercontent.com/-6xT-Z5DH4u0/AAAAAAAAAAI/AAAAAAAAAAA/AMZuucl2qqy-9rZMmWpVXaCl3FuvmvttvA/s128-c0x00000000-cc-rp-mo-ba7/photo.jpg","rating":5,"relative_time_description":"a year ago","text":"Nice jets","time":1570247693}],"types":["point_of_interest","establishment"],"url":"https://maps.google.com/?cid=9140345117248509739","utc_offset":-480,"vicinity":"4150 Donald Douglas Drive, Long Beach","website":"http://www.gulfstream.com/"},"status":"OK"}</t>
  </si>
  <si>
    <t>&lt;span class="street-address"&gt;4150 Donald Douglas Dr&lt;/span&gt;, &lt;span class="locality"&gt;Long Beach&lt;/span&gt;, &lt;span class="region"&gt;CA&lt;/span&gt; &lt;span class="postal-code"&gt;90808-1725&lt;/span&gt;, &lt;span class="country-name"&gt;USA&lt;/span&gt;</t>
  </si>
  <si>
    <t>(800) 810-4853</t>
  </si>
  <si>
    <t>+1 800-810-4853</t>
  </si>
  <si>
    <t>4150 Donald Douglas Drive, Long Beach</t>
  </si>
  <si>
    <t>http://www.gulfstream.com/</t>
  </si>
  <si>
    <t>https://maps.googleapis.com/maps/api/place/findplacefromtext/json?input=%2B15105699622&amp;inputtype=phonenumber&amp;fields=business_status,formatted_address,geometry,icon,name,permanently_closed,place_id,plus_code,types&amp;key=AIzaSyAUoR1hu32epmid_r-h7_AiXQWhNu3zr3U</t>
  </si>
  <si>
    <t>{"business_status":"OPERATIONAL","formatted_address":"8735 Earhart Rd, Oakland, CA 94621, USA","geometry":{"location":{"lat":37.7289578,"lng":-122.2100563},"viewport":{"northeast":{"lat":37.7307104302915,"lng":-122.2083314697085},"southwest":{"lat":37.7280124697085,"lng":-122.2110294302915}}},"icon":"https://maps.gstatic.com/mapfiles/place_api/icons/v1/png_71/generic_business-71.png","name":"KaiserAir, Inc.","place_id":"ChIJ93r1gK-Fj4ARCFidWIO2lHQ","plus_code":{"compound_code":"PQHQ+HX Oakland, CA, USA","global_code":"849VPQHQ+HX"},"types":["point_of_interest","establishment"]}</t>
  </si>
  <si>
    <t>ChIJ93r1gK-Fj4ARCFidWIO2lHQ</t>
  </si>
  <si>
    <t>8735 Earhart Rd, Oakland, CA 94621, USA</t>
  </si>
  <si>
    <t>{"html_attributions":[],"result":{"address_components":[{"long_name":"8735","short_name":"8735","types":["street_number"]},{"long_name":"Earhart Road","short_name":"Earhart Rd","types":["route"]},{"long_name":"Oakland","short_name":"Oakland","types":["locality","political"]},{"long_name":"Alameda County","short_name":"Alameda County","types":["administrative_area_level_2","political"]},{"long_name":"California","short_name":"CA","types":["administrative_area_level_1","political"]},{"long_name":"United States","short_name":"US","types":["country","political"]},{"long_name":"94621","short_name":"94621","types":["postal_code"]},{"long_name":"4547","short_name":"4547","types":["postal_code_suffix"]}],"adr_address":"&lt;span class=\"street-address\"&gt;8735 Earhart Rd&lt;/span&gt;, &lt;span class=\"locality\"&gt;Oakland&lt;/span&gt;, &lt;span class=\"region\"&gt;CA&lt;/span&gt; &lt;span class=\"postal-code\"&gt;94621-4547&lt;/span&gt;, &lt;span class=\"country-name\"&gt;USA&lt;/span&gt;","formatted_address":"8735 Earhart Rd, Oakland, CA 94621, USA","formatted_phone_number":"(510) 569-9622","geometry":{"location":{"lat":37.7289578,"lng":-122.2100563},"viewport":{"northeast":{"lat":37.7307104302915,"lng":-122.2083314697085},"southwest":{"lat":37.7280124697085,"lng":-122.2110294302915}}},"icon":"https://maps.gstatic.com/mapfiles/place_api/icons/v1/png_71/generic_business-71.png","id":null,"international_phone_number":"+1 510-569-9622","name":"KaiserAir, Inc.","place_id":"ChIJ93r1gK-Fj4ARCFidWIO2lHQ","rating":4.5,"reference":null,"reviews":[{"author_name":"Linda Paddock","author_url":"https://www.google.com/maps/contrib/103762035986273606111/reviews","language":"en","profile_photo_url":"https://lh3.googleusercontent.com/a-/AOh14Gg97mcUyLuoL2AO-CEuTTspmqUxXDQLgQz1uAxBVbA=s128-c0x00000000-cc-rp-mo-ba4","rating":5,"relative_time_description":"a week ago","text":"Amazing service. Seamless hospital to hospital transfer. Very professional!","time":1612502903},{"author_name":"Gary Grant","author_url":"https://www.google.com/maps/contrib/100240468973648566019/reviews","language":"en","profile_photo_url":"https://lh5.googleusercontent.com/-zdVtoL-5-v0/AAAAAAAAAAI/AAAAAAAAAAA/AMZuuclP2cTXZjGknMRxbQxx0tpzAKlo9A/s128-c0x00000000-cc-rp-mo-ba4/photo.jpg","rating":5,"relative_time_description":"a month ago","text":"It's a great location for picking up my big corporate clients.","time":1609304309},{"author_name":"David Irmer III","author_url":"https://www.google.com/maps/contrib/100177665026807464472/reviews","language":"en","profile_photo_url":"https://lh3.googleusercontent.com/a-/AOh14GgRwTLng3ZwscFg9L3j8Is3WF-Nma4GiLNKq6HW0w=s128-c0x00000000-cc-rp-mo","rating":5,"relative_time_description":"2 weeks ago","text":"Great FBO, very nice and attentive staff.","time":1612305672},{"author_name":"Jonathan Buss","author_url":"https://www.google.com/maps/contrib/101439174610520717244/reviews","language":"en","profile_photo_url":"https://lh4.googleusercontent.com/-hvrhE96hTTk/AAAAAAAAAAI/AAAAAAAAAFo/AMZuuckxrQKVZfyFP-Y4RhK6JudU5DDeTQ/s128-c0x00000000-cc-rp-mo/photo.jpg","rating":5,"relative_time_description":"3 months ago","text":"Shout out to the team at Kaiser Air KOAK.\nBrought in a key manufacturing component for increasing COVID-19 testing capacity to a local bio-med company via my single engine piston aircraft for same day delivery to customer. I called ahead and the front desk scheduled my arrival and rental truck.  The rental truck was waiting for me and then the ramp guys helped me unload the 400# piece of equipment from the airplane into the truck and off to my customer.\n\nThe next day the door was accidentally closed during pre-flight check and it was locked.......... the maintenance team was right out with a big ring of keys and found one that worked and got it opened up for me.\n\nThanks again for your help Kaiser Air Oakland team!","time":1605063335},{"author_name":"Jake Malkin","author_url":"https://www.google.com/maps/contrib/101910382097042255668/reviews","language":"en","profile_photo_url":"https://lh6.googleusercontent.com/-F-Wg3JsHHjg/AAAAAAAAAAI/AAAAAAAAAAA/AMZuucmzzCLtZUMFrI1CZkgxZYzNHybEZA/s128-c0x00000000-cc-rp-mo/photo.jpg","rating":5,"relative_time_description":"11 months ago","text":"Super helpful extremely nice 👌 great service","time":1584629992}],"types":["point_of_interest","establishment"],"url":"https://maps.google.com/?cid=8400539880196495368","utc_offset":-480,"vicinity":"8735 Earhart Road, Oakland","website":"http://www.kaiserair.com/"},"status":"OK"}</t>
  </si>
  <si>
    <t>&lt;span class="street-address"&gt;8735 Earhart Rd&lt;/span&gt;, &lt;span class="locality"&gt;Oakland&lt;/span&gt;, &lt;span class="region"&gt;CA&lt;/span&gt; &lt;span class="postal-code"&gt;94621-4547&lt;/span&gt;, &lt;span class="country-name"&gt;USA&lt;/span&gt;</t>
  </si>
  <si>
    <t>+1 510-569-9622</t>
  </si>
  <si>
    <t>8735 Earhart Road, Oakland</t>
  </si>
  <si>
    <t>http://www.kaiserair.com/</t>
  </si>
  <si>
    <t>https://maps.googleapis.com/maps/api/place/findplacefromtext/json?input=SP%20Aviation%2C%20Inc.%209351%20Earhart%20Road%20%20Oakland%20CA%2094621&amp;key=AIzaSyAUoR1hu32epmid_r-h7_AiXQWhNu3zr3U&amp;inputtype=textquery&amp;fields=business_status,formatted_address,geometry,icon,name,permanently_closed,place_id,plus_code,types</t>
  </si>
  <si>
    <t>{"business_status":"OPERATIONAL","formatted_address":"9351 Earhart Rd, Oakland, CA 94621, United States","geometry":{"location":{"lat":37.7270417,"lng":-122.2051011},"viewport":{"northeast":{"lat":37.72853952989272,"lng":-122.2037034201073},"southwest":{"lat":37.72583987010728,"lng":-122.2064030798927}}},"icon":"https://maps.gstatic.com/mapfiles/place_api/icons/v1/png_71/generic_business-71.png","name":"JSX","place_id":"ChIJq5l0jaaFj4ARMPfM0DvabEs","plus_code":{"compound_code":"PQGV+RX Oakland, California","global_code":"849VPQGV+RX"},"types":["point_of_interest","establishment"]}</t>
  </si>
  <si>
    <t>JSX</t>
  </si>
  <si>
    <t>ChIJq5l0jaaFj4ARMPfM0DvabEs</t>
  </si>
  <si>
    <t>9351 Earhart Rd, Oakland, CA 94621, United States</t>
  </si>
  <si>
    <t>{"html_attributions":[],"result":{"address_components":[{"long_name":"9351","short_name":"9351","types":["street_number"]},{"long_name":"Earhart Road","short_name":"Earhart Rd","types":["route"]},{"long_name":"Oakland","short_name":"Oakland","types":["locality","political"]},{"long_name":"Alameda County","short_name":"Alameda County","types":["administrative_area_level_2","political"]},{"long_name":"California","short_name":"CA","types":["administrative_area_level_1","political"]},{"long_name":"United States","short_name":"US","types":["country","political"]},{"long_name":"94621","short_name":"94621","types":["postal_code"]}],"adr_address":"&lt;span class=\"street-address\"&gt;9351 Earhart Rd&lt;/span&gt;, &lt;span class=\"locality\"&gt;Oakland&lt;/span&gt;, &lt;span class=\"region\"&gt;CA&lt;/span&gt; &lt;span class=\"postal-code\"&gt;94621&lt;/span&gt;, &lt;span class=\"country-name\"&gt;USA&lt;/span&gt;","formatted_address":"9351 Earhart Rd, Oakland, CA 94621, USA","formatted_phone_number":"(800) 435-9579","geometry":{"location":{"lat":37.7270417,"lng":-122.2051011},"viewport":{"northeast":{"lat":37.7285386802915,"lng":-122.2037042697085},"southwest":{"lat":37.7258407197085,"lng":-122.2064022302915}}},"icon":"https://maps.gstatic.com/mapfiles/place_api/icons/v1/png_71/generic_business-71.png","id":null,"international_phone_number":"+1 800-435-9579","name":"JSX","place_id":"ChIJq5l0jaaFj4ARMPfM0DvabEs","rating":4.7,"reference":null,"reviews":[{"author_name":"Christina Van Zandt","author_url":"https://www.google.com/maps/contrib/115492799726255549184/reviews","language":"en","profile_photo_url":"https://lh3.googleusercontent.com/a-/AOh14GjlgIl3CrMOkLZ7df9NnpvCCOt9MthsjnuFgH3aHQ=s128-c0x00000000-cc-rp-mo","rating":5,"relative_time_description":"a month ago","text":"Amazing service, convenient. Well priced. Only problem is limited schedule and routes. Would use this airline if available btwn CA and TX!","time":1609461228},{"author_name":"John millette","author_url":"https://www.google.com/maps/contrib/109349634377669045149/reviews","language":"en","profile_photo_url":"https://lh5.googleusercontent.com/-Dcs2ZKUP9g8/AAAAAAAAAAI/AAAAAAAAAAA/AMZuucl6dlFIbaG_-ko3gjsDg4dJoDIZRQ/s128-c0x00000000-cc-rp-mo-ba4/photo.jpg","rating":5,"relative_time_description":"a month ago","text":"No long lines or crazy security. They're small but friendly and efficient. Fly as if you're in a private jet. I will use this airlines again...hopefully they will extend their flights all over the states","time":1608555743},{"author_name":"Rick Dennis","author_url":"https://www.google.com/maps/contrib/111757200839042990430/reviews","language":"en","profile_photo_url":"https://lh3.googleusercontent.com/a-/AOh14Gi856PTyZEKxcKkcK0dCa34n8Wu5X6kYPlSfddILQ=s128-c0x00000000-cc-rp-mo-ba5","rating":5,"relative_time_description":"2 months ago","text":"My first time using this carrier.  Was really great! Easy parking, super pleasant staff and free coffee. They will be my first choice next time I visit the cities they service.","time":1607626565},{"author_name":"Stuart Resnick","author_url":"https://www.google.com/maps/contrib/114230337329188530411/reviews","language":"en","profile_photo_url":"https://lh3.googleusercontent.com/a-/AOh14GjlP7slSe5xKIGLNFEVSRTVLWnG-jkqKJoOY-AF-ms=s128-c0x00000000-cc-rp-mo-ba4","rating":5,"relative_time_description":"3 months ago","text":"Flying Oakland to Vegas on JSX is so much better than commercial, and at reasonable price. Takes almost all the hassle out of the trip. Including the fact that it's quick and easy to get Uber from JSX terminal.","time":1603831751},{"author_name":"Carol Eckels","author_url":"https://www.google.com/maps/contrib/115693746061932949478/reviews","language":"en","profile_photo_url":"https://lh3.googleusercontent.com/a-/AOh14Gh1Ocb2hV3kvZIFl6Wh1IFA7GZCs8H6RLhiY_5xJQ=s128-c0x00000000-cc-rp-mo","rating":5,"relative_time_description":"a month ago","text":"Love this airline!  So easy!  Travel made simple.","time":1610222067}],"types":["point_of_interest","establishment"],"url":"https://maps.google.com/?cid=5434958800770365232","utc_offset":-480,"vicinity":"9351 Earhart Road, Oakland","website":"http://www.jsx.com/"},"status":"OK"}</t>
  </si>
  <si>
    <t>&lt;span class="street-address"&gt;9351 Earhart Rd&lt;/span&gt;, &lt;span class="locality"&gt;Oakland&lt;/span&gt;, &lt;span class="region"&gt;CA&lt;/span&gt; &lt;span class="postal-code"&gt;94621&lt;/span&gt;, &lt;span class="country-name"&gt;USA&lt;/span&gt;</t>
  </si>
  <si>
    <t>(800) 435-9579</t>
  </si>
  <si>
    <t>+1 800-435-9579</t>
  </si>
  <si>
    <t>9351 Earhart Road, Oakland</t>
  </si>
  <si>
    <t>http://www.jsx.com/</t>
  </si>
  <si>
    <t>https://maps.googleapis.com/maps/api/place/findplacefromtext/json?input=COLLEGE%20OF%20ALAMEDA%20970%20HARBOR%20BAY%20PARKWAY%20%20OAKLAND%20CA%2094621&amp;key=AIzaSyAUoR1hu32epmid_r-h7_AiXQWhNu3zr3U&amp;inputtype=textquery&amp;fields=business_status,formatted_address,geometry,icon,name,permanently_closed,place_id,plus_code,types</t>
  </si>
  <si>
    <t>school,point_of_interest,establishment</t>
  </si>
  <si>
    <t>{"business_status":"OPERATIONAL","formatted_address":"970 Harbor Bay Pkwy, Alameda, CA 94502, United States","geometry":{"location":{"lat":37.7413744,"lng":-122.2263353},"viewport":{"northeast":{"lat":37.74272397989272,"lng":-122.2251389201073},"southwest":{"lat":37.74002432010727,"lng":-122.2278385798927}}},"icon":"https://maps.gstatic.com/mapfiles/place_api/icons/v1/png_71/school-71.png","name":"College of Alameda Aviation Maintenance Facility","place_id":"ChIJ24rCTDGEj4ARGyq1O-dF6nU","plus_code":{"compound_code":"PQRF+GF Alameda, California","global_code":"849VPQRF+GF"},"types":["school","point_of_interest","establishment"]}</t>
  </si>
  <si>
    <t>College of Alameda Aviation Maintenance Facility</t>
  </si>
  <si>
    <t>ChIJ24rCTDGEj4ARGyq1O-dF6nU</t>
  </si>
  <si>
    <t>970 Harbor Bay Pkwy, Alameda, CA 94502, United States</t>
  </si>
  <si>
    <t>{"html_attributions":[],"result":{"address_components":[{"long_name":"970","short_name":"970","types":["street_number"]},{"long_name":"Harbor Bay Parkway","short_name":"Harbor Bay Pkwy","types":["route"]},{"long_name":"Alameda","short_name":"Alameda","types":["locality","political"]},{"long_name":"Alameda County","short_name":"Alameda County","types":["administrative_area_level_2","political"]},{"long_name":"California","short_name":"CA","types":["administrative_area_level_1","political"]},{"long_name":"United States","short_name":"US","types":["country","political"]},{"long_name":"94502","short_name":"94502","types":["postal_code"]}],"adr_address":"&lt;span class=\"street-address\"&gt;970 Harbor Bay Pkwy&lt;/span&gt;, &lt;span class=\"locality\"&gt;Alameda&lt;/span&gt;, &lt;span class=\"region\"&gt;CA&lt;/span&gt; &lt;span class=\"postal-code\"&gt;94502&lt;/span&gt;, &lt;span class=\"country-name\"&gt;USA&lt;/span&gt;","formatted_address":"970 Harbor Bay Pkwy, Alameda, CA 94502, USA","formatted_phone_number":"(510) 748-2368","geometry":{"location":{"lat":37.7413744,"lng":-122.2263353},"viewport":{"northeast":{"lat":37.74272313029149,"lng":-122.2251397697085},"southwest":{"lat":37.7400251697085,"lng":-122.2278377302915}}},"icon":"https://maps.gstatic.com/mapfiles/place_api/icons/v1/png_71/school-71.png","id":null,"international_phone_number":"+1 510-748-2368","name":"College of Alameda Aviation Maintenance Facility","place_id":"ChIJ24rCTDGEj4ARGyq1O-dF6nU","rating":5.0,"reference":null,"reviews":[{"author_name":"thomas klassy","author_url":"https://www.google.com/maps/contrib/115759700534540649680/reviews","language":"en","profile_photo_url":"https://lh3.googleusercontent.com/-L3Vlx-iEi90/AAAAAAAAAAI/AAAAAAAAAAA/AMZuucmPH8lBJc4QOv-Swnp9cb6n1udY3Q/s128-c0x00000000-cc-rp-mo/photo.jpg","rating":5,"relative_time_description":"3 years ago","text":"I am impressed at the vast knowledge, quality and attention to detail by the entire teaching staff. Their desire to pass on every detail in education and experience,  is part of the value that sets this program ahead of the rest. Everyone here makes you feel you're part of this AMT program, the most important part of aviation, Quality, Safety and Working together for the best outcome.","time":1501892775},{"author_name":"Ash Na","author_url":"https://www.google.com/maps/contrib/112078305425905452382/reviews","language":"en","profile_photo_url":"https://lh3.googleusercontent.com/a-/AOh14GgHT3qZBv_oBBrq4iMwx6wZi5Oof3YmkfdZkfP-Pg=s128-c0x00000000-cc-rp-mo-ba4","rating":5,"relative_time_description":"2 years ago","text":"The best AMT school ever in the bay area.","time":1524796722},{"author_name":"David Schkolnik","author_url":"https://www.google.com/maps/contrib/113913575364915221713/reviews","language":null,"profile_photo_url":"https://lh3.googleusercontent.com/a-/AOh14GhLsXOuJrNFqaeEy4JVsJeY31cC1ASLzv5sM_FT=s128-c0x00000000-cc-rp-mo","rating":5,"relative_time_description":"4 years ago","text":"","time":1477465723},{"author_name":"Bryan Hanbury","author_url":"https://www.google.com/maps/contrib/109082098832222477298/reviews","language":null,"profile_photo_url":"https://lh3.googleusercontent.com/a-/AOh14Gh4yYBrYG8y-CrBiCclBLLudXSEfpwNmwfG-Lc-ISI=s128-c0x00000000-cc-rp-mo-ba4","rating":5,"relative_time_description":"4 years ago","text":"","time":1486017510}],"types":["school","point_of_interest","establishment"],"url":"https://maps.google.com/?cid=8496680506429352475","utc_offset":-480,"vicinity":"970 Harbor Bay Parkway, Alameda","website":"http://alameda.peralta.edu/aviation-maintenance-technology/directions/"},"status":"OK"}</t>
  </si>
  <si>
    <t>&lt;span class="street-address"&gt;970 Harbor Bay Pkwy&lt;/span&gt;, &lt;span class="locality"&gt;Alameda&lt;/span&gt;, &lt;span class="region"&gt;CA&lt;/span&gt; &lt;span class="postal-code"&gt;94502&lt;/span&gt;, &lt;span class="country-name"&gt;USA&lt;/span&gt;</t>
  </si>
  <si>
    <t>(510) 748-2368</t>
  </si>
  <si>
    <t>+1 510-748-2368</t>
  </si>
  <si>
    <t>970 Harbor Bay Parkway, Alameda</t>
  </si>
  <si>
    <t>http://alameda.peralta.edu/aviation-maintenance-technology/directions/</t>
  </si>
  <si>
    <t>https://maps.googleapis.com/maps/api/place/findplacefromtext/json?input=%2B15105304415&amp;inputtype=phonenumber&amp;fields=business_status,formatted_address,geometry,icon,name,permanently_closed,place_id,plus_code,types&amp;key=AIzaSyAUoR1hu32epmid_r-h7_AiXQWhNu3zr3U</t>
  </si>
  <si>
    <t>insurance_agency,point_of_interest,establishment</t>
  </si>
  <si>
    <t>{"business_status":"OPERATIONAL","formatted_address":"4000 Bridgeway # 101, Sausalito, CA 94965, USA","geometry":{"location":{"lat":37.8714337,"lng":-122.5036855},"viewport":{"northeast":{"lat":37.8728257302915,"lng":-122.5022768197085},"southwest":{"lat":37.8701277697085,"lng":-122.5049747802915}}},"icon":"https://maps.gstatic.com/mapfiles/place_api/icons/v1/png_71/generic_business-71.png","name":"Aviation Marine Insurance Services Inc.","place_id":"ChIJR1_W0ZyIj4ARXQBR32UY_os","plus_code":{"compound_code":"VFCW+HG Sausalito, CA, USA","global_code":"849VVFCW+HG"},"types":["insurance_agency","point_of_interest","establishment"]}</t>
  </si>
  <si>
    <t>Aviation Marine Insurance Services Inc.</t>
  </si>
  <si>
    <t>ChIJR1_W0ZyIj4ARXQBR32UY_os</t>
  </si>
  <si>
    <t>4000 Bridgeway # 101, Sausalito, CA 94965, USA</t>
  </si>
  <si>
    <t>{"html_attributions":[],"result":{"address_components":[{"long_name":"# 101","short_name":"# 101","types":["subpremise"]},{"long_name":"4000","short_name":"4000","types":["street_number"]},{"long_name":"Bridgeway","short_name":"Bridgeway","types":["route"]},{"long_name":"Sausalito","short_name":"Sausalito","types":["locality","political"]},{"long_name":"Marin County","short_name":"Marin County","types":["administrative_area_level_2","political"]},{"long_name":"California","short_name":"CA","types":["administrative_area_level_1","political"]},{"long_name":"United States","short_name":"US","types":["country","political"]},{"long_name":"94965","short_name":"94965","types":["postal_code"]}],"adr_address":"&lt;span class=\"street-address\"&gt;4000 Bridgeway # 101&lt;/span&gt;, &lt;span class=\"locality\"&gt;Sausalito&lt;/span&gt;, &lt;span class=\"region\"&gt;CA&lt;/span&gt; &lt;span class=\"postal-code\"&gt;94965&lt;/span&gt;, &lt;span class=\"country-name\"&gt;USA&lt;/span&gt;","formatted_address":"4000 Bridgeway # 101, Sausalito, CA 94965, USA","formatted_phone_number":"(800) 972-0907","geometry":{"location":{"lat":37.8714337,"lng":-122.5036855},"viewport":{"northeast":{"lat":37.8728257302915,"lng":-122.5022768197085},"southwest":{"lat":37.8701277697085,"lng":-122.5049747802915}}},"icon":"https://maps.gstatic.com/mapfiles/place_api/icons/v1/png_71/generic_business-71.png","id":null,"international_phone_number":"+1 800-972-0907","name":"Aviation Marine Insurance Services Inc.","place_id":"ChIJR1_W0ZyIj4ARXQBR32UY_os","rating":null,"reference":null,"reviews":null,"types":["insurance_agency","point_of_interest","establishment"],"url":"https://maps.google.com/?cid=10087527041173880925","utc_offset":-480,"vicinity":"4000 Bridgeway # 101, Sausalito","website":"http://www.aviation-marine.com/"},"status":"OK"}</t>
  </si>
  <si>
    <t>&lt;span class="street-address"&gt;4000 Bridgeway # 101&lt;/span&gt;, &lt;span class="locality"&gt;Sausalito&lt;/span&gt;, &lt;span class="region"&gt;CA&lt;/span&gt; &lt;span class="postal-code"&gt;94965&lt;/span&gt;, &lt;span class="country-name"&gt;USA&lt;/span&gt;</t>
  </si>
  <si>
    <t>(800) 972-0907</t>
  </si>
  <si>
    <t>+1 800-972-0907</t>
  </si>
  <si>
    <t>4000 Bridgeway # 101, Sausalito</t>
  </si>
  <si>
    <t>http://www.aviation-marine.com/</t>
  </si>
  <si>
    <t>https://maps.googleapis.com/maps/api/place/findplacefromtext/json?input=%2B14087293383 &amp;inputtype=phonenumber&amp;fields=business_status,formatted_address,geometry,icon,name,permanently_closed,place_id,plus_code,types&amp;key=AIzaSyAUoR1hu32epmid_r-h7_AiXQWhNu3zr3U</t>
  </si>
  <si>
    <t>{"business_status":"OPERATIONAL","formatted_address":"2575 Robert Fowler Way, San Jose, CA 95148, USA","geometry":{"location":{"lat":37.3381262,"lng":-121.8209428},"viewport":{"northeast":{"lat":37.3394081302915,"lng":-121.8194920697085},"southwest":{"lat":37.3367101697085,"lng":-121.8221900302915}}},"icon":"https://maps.gstatic.com/mapfiles/place_api/icons/v1/png_71/school-71.png","name":"Nice Air","place_id":"ChIJNydfnq0yjoARURNLGkqDEVs","plus_code":{"compound_code":"85QH+7J San Jose, CA, USA","global_code":"849W85QH+7J"},"types":["university","point_of_interest","establishment"]}</t>
  </si>
  <si>
    <t>Nice Air</t>
  </si>
  <si>
    <t>ChIJNydfnq0yjoARURNLGkqDEVs</t>
  </si>
  <si>
    <t>2575 Robert Fowler Way, San Jose, CA 95148, USA</t>
  </si>
  <si>
    <t>{"html_attributions":[],"result":{"address_components":[{"long_name":"2575","short_name":"2575","types":["street_number"]},{"long_name":"Robert Fowler Way","short_name":"Robert Fowler Way","types":["route"]},{"long_name":"Alum Rock","short_name":"Alum Rock","types":["neighborhood","political"]},{"long_name":"San Jose","short_name":"San Jose","types":["locality","political"]},{"long_name":"Santa Clara County","short_name":"Santa Clara County","types":["administrative_area_level_2","political"]},{"long_name":"California","short_name":"CA","types":["administrative_area_level_1","political"]},{"long_name":"United States","short_name":"US","types":["country","political"]},{"long_name":"95148","short_name":"95148","types":["postal_code"]},{"long_name":"1010","short_name":"1010","types":["postal_code_suffix"]}],"adr_address":"&lt;span class=\"street-address\"&gt;2575 Robert Fowler Way&lt;/span&gt;, &lt;span class=\"locality\"&gt;San Jose&lt;/span&gt;, &lt;span class=\"region\"&gt;CA&lt;/span&gt; &lt;span class=\"postal-code\"&gt;95148-1010&lt;/span&gt;, &lt;span class=\"country-name\"&gt;USA&lt;/span&gt;","formatted_address":"2575 Robert Fowler Way, San Jose, CA 95148, USA","formatted_phone_number":"(408) 729-3383","geometry":{"location":{"lat":37.3381262,"lng":-121.8209428},"viewport":{"northeast":{"lat":37.3394081302915,"lng":-121.8194920697085},"southwest":{"lat":37.3367101697085,"lng":-121.8221900302915}}},"icon":"https://maps.gstatic.com/mapfiles/place_api/icons/v1/png_71/school-71.png","id":null,"international_phone_number":"+1 408-729-3383","name":"Nice Air","place_id":"ChIJNydfnq0yjoARURNLGkqDEVs","rating":4.2,"reference":null,"reviews":[{"author_name":"Martin Robins","author_url":"https://www.google.com/maps/contrib/100711702822093670616/reviews","language":"en","profile_photo_url":"https://lh3.googleusercontent.com/a-/AOh14GiO8zaRgtuHctxcPS5417JAoNCYSx4D3o_yEm-t-A=s128-c0x00000000-cc-rp-mo","rating":5,"relative_time_description":"2 months ago","text":"Nice Air strikes the perfect balance between affordability and luxury.  They are a very professional operation with a sound maintenance facility that keeps their aircraft in excellent working order.  Their aircraft may not be newest out there, but they don't charge \"new aircraft\" prices either.  The important thing is that they know what they are doing and I've always had complete confidence in their equipment, instructors and mechanics.\n\nI moved to the Bay Area several years ago and discovered Nice Air while looking for a good place to rent aircraft for recreation as well as furthering my flight training (Commercial and CFI).  Their school does attract a large number of students from Europe and Asia but I've also met a good number of other Silicon Valley professionals there and find it a great place to hang out and to just be around other general aviation enthusiasts.\n\nI've flown with numerous flight schools and rental operations across the US and have found that they tend to fall into one of three categories:\nThere are the flashy, overpriced places with brand new, expensive aircraft and self-important instructors.  Those places never seem to stay in business for long.  Then there are the old, dusty places tucked away in the corner of the airport with out of date equipment and out of touch instructors.  Those places are just a little too scary for my comfort level!  And then there are places like Nice Air that focus on the important things like safety and professionalism, without wasting money on flashy offices etc.  These places frequently outlast the competition because they're doing it right.  These are the places I feel most comfortable flying with and this is why I enjoy flying at Nice Air and recommend it to others.","time":1608082622},{"author_name":"Akino Flowers","author_url":"https://www.google.com/maps/contrib/116170861952196064430/reviews","language":"en","profile_photo_url":"https://lh3.googleusercontent.com/a-/AOh14Gg8yeZDuWwZD6vCuPZYg_ahsLLpEU9vblgcg7WM9A=s128-c0x00000000-cc-rp-mo","rating":5,"relative_time_description":"a month ago","text":"Took my Part 107 exam here in 2020, amazing people, all were friendly and helpful.","time":1610486839},{"author_name":"Kuangwei Hwang","author_url":"https://www.google.com/maps/contrib/112343365240743883936/reviews","language":"en","profile_photo_url":"https://lh3.googleusercontent.com/a-/AOh14GioC0QtZAjnEJpE2Jh2BouohRSIa76lYktyTyW5bA=s128-c0x00000000-cc-rp-mo","rating":5,"relative_time_description":"a week ago","text":"I chose this FBO to support my Angel Flight mission due to Hiro's excellent and friendly serivce.  He was a great help in helping us drop off our patient and getting us a rental car so we could stay overnight. Will certainly stay here again and get all of our FBO needs.","time":1612686264},{"author_name":"Michael Tucker","author_url":"https://www.google.com/maps/contrib/113415371669727703693/reviews","language":"en","profile_photo_url":"https://lh4.googleusercontent.com/-vHiwhVt34s4/AAAAAAAAAAI/AAAAAAAAAAA/AMZuucnnxfbQ82BgpfAG0YvzhgaVjjKO3Q/s128-c0x00000000-cc-rp-mo/photo.jpg","rating":5,"relative_time_description":"2 years ago","text":"Our AC unit was not operating when we arrived at our mobile home at Paradise Bay so we phoned a contractor who had previously done a \"check up\" on the unit. When their technician arrived and did about a 5-10 minute check of the unit, we were informed that a new compressor was needed, but that they could install a new unit for a minimal amount more … total of about $5,000 !  I phoned Nice Air and they promptly sent a service tech who made a thorough assessment, replaced a burnt out disconnect, checked all pressures, etc. and had the unit up and running within 90 minutes at a very fair price ( a fraction of what the first contractor tried to finagle). I could not be happier with the Nice Air service tech, Chris, who was thorough, honest and explained every step. I will not name the first company but rest assured I would NEVER use them again. Cheers to NICE AIR for excellent work at a fair price !","time":1541626091},{"author_name":"Alex Arnoldy","author_url":"https://www.google.com/maps/contrib/108896001560964966366/reviews","language":"en","profile_photo_url":"https://lh4.googleusercontent.com/-EtrWulmPufk/AAAAAAAAAAI/AAAAAAAAAAA/AMZuucnoxLNNyQcCVvYH-4UzJojtQHSXaA/s128-c0x00000000-cc-rp-mo/photo.jpg","rating":5,"relative_time_description":"a year ago","text":"Very friendly team and affordable airplanes","time":1577591531}],"types":["university","point_of_interest","establishment"],"url":"https://maps.google.com/?cid=6562170486347469649","utc_offset":-480,"vicinity":"2575 Robert Fowler Way, San Jose","website":"http://www.niceairaviation.com/"},"status":"OK"}</t>
  </si>
  <si>
    <t>&lt;span class="street-address"&gt;2575 Robert Fowler Way&lt;/span&gt;, &lt;span class="locality"&gt;San Jose&lt;/span&gt;, &lt;span class="region"&gt;CA&lt;/span&gt; &lt;span class="postal-code"&gt;95148-1010&lt;/span&gt;, &lt;span class="country-name"&gt;USA&lt;/span&gt;</t>
  </si>
  <si>
    <t>(408) 729-3383</t>
  </si>
  <si>
    <t>+1 408-729-3383</t>
  </si>
  <si>
    <t>2575 Robert Fowler Way, San Jose</t>
  </si>
  <si>
    <t>http://www.niceairaviation.com/</t>
  </si>
  <si>
    <t>https://maps.googleapis.com/maps/api/place/findplacefromtext/json?input=%2B14087295100 &amp;inputtype=phonenumber&amp;fields=business_status,formatted_address,geometry,icon,name,permanently_closed,place_id,plus_code,types&amp;key=AIzaSyAUoR1hu32epmid_r-h7_AiXQWhNu3zr3U</t>
  </si>
  <si>
    <t>university,point_of_interest,store,establishment</t>
  </si>
  <si>
    <t>{"business_status":"OPERATIONAL","formatted_address":"2505 Cunningham Ave, San Jose, CA 95148, USA","geometry":{"location":{"lat":37.33641659999999,"lng":-121.8200971},"viewport":{"northeast":{"lat":37.3377306802915,"lng":-121.8186054197085},"southwest":{"lat":37.3350327197085,"lng":-121.8213033802915}}},"icon":"https://maps.gstatic.com/mapfiles/place_api/icons/v1/png_71/school-71.png","name":"Trade Winds Aviation","place_id":"ChIJ0_eF2a0yjoARf9p8igpIFdk","plus_code":{"compound_code":"85PH+HX San Jose, CA, USA","global_code":"849W85PH+HX"},"types":["university","point_of_interest","store","establishment"]}</t>
  </si>
  <si>
    <t>Trade Winds Aviation</t>
  </si>
  <si>
    <t>ChIJ0_eF2a0yjoARf9p8igpIFdk</t>
  </si>
  <si>
    <t>2505 Cunningham Ave, San Jose, CA 95148, USA</t>
  </si>
  <si>
    <t>{"html_attributions":[],"result":{"address_components":[{"long_name":"2505","short_name":"2505","types":["street_number"]},{"long_name":"Cunningham Avenue","short_name":"Cunningham Ave","types":["route"]},{"long_name":"Alum Rock","short_name":"Alum Rock","types":["neighborhood","political"]},{"long_name":"San Jose","short_name":"San Jose","types":["locality","political"]},{"long_name":"Santa Clara County","short_name":"Santa Clara County","types":["administrative_area_level_2","political"]},{"long_name":"California","short_name":"CA","types":["administrative_area_level_1","political"]},{"long_name":"United States","short_name":"US","types":["country","political"]},{"long_name":"95148","short_name":"95148","types":["postal_code"]},{"long_name":"1002","short_name":"1002","types":["postal_code_suffix"]}],"adr_address":"&lt;span class=\"street-address\"&gt;2505 Cunningham Ave&lt;/span&gt;, &lt;span class=\"locality\"&gt;San Jose&lt;/span&gt;, &lt;span class=\"region\"&gt;CA&lt;/span&gt; &lt;span class=\"postal-code\"&gt;95148-1002&lt;/span&gt;, &lt;span class=\"country-name\"&gt;USA&lt;/span&gt;","formatted_address":"2505 Cunningham Ave, San Jose, CA 95148, USA","formatted_phone_number":"(408) 729-5100","geometry":{"location":{"lat":37.33641659999999,"lng":-121.8200971},"viewport":{"northeast":{"lat":37.3377306802915,"lng":-121.8186054197085},"southwest":{"lat":37.3350327197085,"lng":-121.8213033802915}}},"icon":"https://maps.gstatic.com/mapfiles/place_api/icons/v1/png_71/school-71.png","id":null,"international_phone_number":"+1 408-729-5100","name":"Trade Winds Aviation","place_id":"ChIJ0_eF2a0yjoARf9p8igpIFdk","rating":4.3,"reference":null,"reviews":[{"author_name":"Gary Bowen","author_url":"https://www.google.com/maps/contrib/100777319125821412002/reviews","language":"en","profile_photo_url":"https://lh3.googleusercontent.com/a-/AOh14GhU5CUhWxVllNZKuDFp5ztH87iCUBwqPkYyr0UUEA=s128-c0x00000000-cc-rp-mo-ba4","rating":5,"relative_time_description":"6 months ago","text":"Trade Winds Aviation in San Jose, CA is an outstanding organization. Flight training is  with excellent CFIs who are both experts in their field and passionate about flying. Trade Wind's shop and maintenance are exemplary...so you can be confident that the fleet is maintained to the highest standards. Very good management. Friendly and efficient staff. I recommend Trade Winds Aviation without reservation.","time":1595533164},{"author_name":"Scott Franco","author_url":"https://www.google.com/maps/contrib/102843264999783293975/reviews","language":"en","profile_photo_url":"https://lh4.googleusercontent.com/-0EUcqA_Xkqc/AAAAAAAAAAI/AAAAAAAAAAA/AMZuucnKPrUlbVUatNZWslaq9gSnrgwyYg/s128-c0x00000000-cc-rp-mo/photo.jpg","rating":1,"relative_time_description":"6 months ago","text":"Positively the worst flight school on the field. I tried them twice, with several years between. Both times the flight instructor stood me up without notice, and without apology. The second time I was there, the instructor told me his rate was higher than normal because he had an ATP (airline transport pilot) rating. I needed a BFR (bi-annual flight review). He told me he was only working there because he got kicked out of the airlines for safety violations. In short, he charged me that higher rate for about 2 hours of time with no flight time and I didn't get my BFR, which I needed to get flying again. We rescheduled for the next weekend, then he stood me up, without notice. Never again. There are plenty of other flight schools on the airport.\n\n[reply to Trade Winds aviation]\nAs stated in the review, I have been a student there twice, although both times for only a short period. So trade winds adds insult to injury by claiming I don't exist. Tell me something. If I never went there how do I know details about your flight instructors? I'll bet you didn't even bother to check.","time":1596071854},{"author_name":"Alain Gyger","author_url":"https://www.google.com/maps/contrib/112105212924878447844/reviews","language":"en","profile_photo_url":"https://lh3.googleusercontent.com/a-/AOh14GjSjqTRzuZe_NVMwgkxj1-sQWSFgNAqiEI822IOFg=s128-c0x00000000-cc-rp-mo-ba5","rating":5,"relative_time_description":"3 years ago","text":"A great place to learn how to fly. I was only able to take ground school but even that was well done. They've expanded their classroom floorspace and can accommodate more students at one time. All of their instructors are top notch. They also have a very competent squad of mechanics. Best of all, they have\"pilot fuel\" ... snacks and coffee!","time":1514443274},{"author_name":"Eric Holmes","author_url":"https://www.google.com/maps/contrib/117470411091044074342/reviews","language":"en","profile_photo_url":"https://lh3.googleusercontent.com/a-/AOh14Gh_k2cx7a5d8l-mMcb9cHVA0Pvsnq7huSBihfVUig=s128-c0x00000000-cc-rp-mo","rating":1,"relative_time_description":"a year ago","text":"This school struggles to attract and retain talent, which is understandable in the current pilot shortage environment. However, the situation that I experienced was all to the detriment of the student. Of my primary flight instructors, 3/3 left or are leaving the school imminently. My first instructor was very capable, but left shortly after we began training to seek a better salary at another flight school. My second instructor, who was decidedly less capable, saw a 50% salary raise (probably the club's retention attempt) and took me on several costly cross-country flights. Then, with zero notice, he left the school before completing the solo cross country milestone with me. It took the club months to locate my third instructor, and before they did, they proposed a higher hourly rate advanced instructor as a stand in. The third instructor, who may have meant well, re-flew the entire course from slow flight with me costing me thousands of dollars to re-qualify for Solo -- then we had to refly the cross country portions entirely as well! At the time of this review, the 3rd instructor is scheduled to leave imminently for personal reasons. That led to a rush to get qualified before his departure which ultimately led to the \"falling out\" with the owner of this club. The owner, while appearing initially to support my training, and seeking in fact to involve me somehow in his aircraft leasing operations of the club, today unilaterally chose to \"fire\" me (his customer) because I was not making sufficient progress after needing to refly my stage 7 check. The blame for this unfortunate cascade of situations was put 100% on my shoulders. The owner failed to acknowledge any responsibility or propose any meaningful remediation. Overall, I would recommend against this club as it seems a shadow of its former self. The owner took his personal frustrations out on his customer (me) who rightly questioned the value proposition of having to repeat entire sections of work already established. Give this club a miss until they can regroup and refocus on the customer.","time":1558054858},{"author_name":"Nico Hein","author_url":"https://www.google.com/maps/contrib/102535980217472534460/reviews","language":"en","profile_photo_url":"https://lh3.googleusercontent.com/-fTh_R7hodeo/AAAAAAAAAAI/AAAAAAAAAAA/AMZuuckyOSvup3X7eN379Pf0EyFZyAqOvw/s128-c0x00000000-cc-rp-mo/photo.jpg","rating":3,"relative_time_description":"2 years ago","text":"Lang waiting times until a flight instructor is assigned. Intransparent communication.","time":1541080894}],"types":["university","point_of_interest","store","establishment"],"url":"https://maps.google.com/?cid=15642488090851596927","utc_offset":-480,"vicinity":"2505 Cunningham Avenue, San Jose","website":"http://www.tradewindsaviation.com/"},"status":"OK"}</t>
  </si>
  <si>
    <t>&lt;span class="street-address"&gt;2505 Cunningham Ave&lt;/span&gt;, &lt;span class="locality"&gt;San Jose&lt;/span&gt;, &lt;span class="region"&gt;CA&lt;/span&gt; &lt;span class="postal-code"&gt;95148-1002&lt;/span&gt;, &lt;span class="country-name"&gt;USA&lt;/span&gt;</t>
  </si>
  <si>
    <t>(408) 729-5100</t>
  </si>
  <si>
    <t>+1 408-729-5100</t>
  </si>
  <si>
    <t>2505 Cunningham Avenue, San Jose</t>
  </si>
  <si>
    <t>http://www.tradewindsaviation.com/</t>
  </si>
  <si>
    <t>https://maps.googleapis.com/maps/api/place/findplacefromtext/json?input=SQUADRON%20ACQUISITION%20CORPORATION%202655%20ROBERT%20FOWLER%20WAY%20%20SAN%20JOSE%20CA%2095148&amp;key=AIzaSyAUoR1hu32epmid_r-h7_AiXQWhNu3zr3U&amp;inputtype=textquery&amp;fields=business_status,formatted_address,geometry,icon,name,permanently_closed,place_id,plus_code,types</t>
  </si>
  <si>
    <t>{"business_status":"OPERATIONAL","formatted_address":"2655 Robert Fowler Way, San Jose, CA 95148, United States","geometry":{"location":{"lat":37.3386694,"lng":-121.8200515},"viewport":{"northeast":{"lat":37.33994407989272,"lng":-121.8186536201073},"southwest":{"lat":37.33724442010728,"lng":-121.8213532798927}}},"icon":"https://maps.gstatic.com/mapfiles/place_api/icons/v1/png_71/school-71.png","name":"Squadron-2","place_id":"ChIJl2rBmK0yjoARLqTnwSRGfb4","plus_code":{"compound_code":"85QH+FX San Jose, California","global_code":"849W85QH+FX"},"types":["university","point_of_interest","establishment"]}</t>
  </si>
  <si>
    <t>Squadron-2</t>
  </si>
  <si>
    <t>ChIJl2rBmK0yjoARLqTnwSRGfb4</t>
  </si>
  <si>
    <t>2655 Robert Fowler Way, San Jose, CA 95148, United States</t>
  </si>
  <si>
    <t>{"html_attributions":[],"result":{"address_components":[{"long_name":"2655","short_name":"2655","types":["street_number"]},{"long_name":"Robert Fowler Way","short_name":"Robert Fowler Way","types":["route"]},{"long_name":"Alum Rock","short_name":"Alum Rock","types":["neighborhood","political"]},{"long_name":"San Jose","short_name":"San Jose","types":["locality","political"]},{"long_name":"Santa Clara County","short_name":"Santa Clara County","types":["administrative_area_level_2","political"]},{"long_name":"California","short_name":"CA","types":["administrative_area_level_1","political"]},{"long_name":"United States","short_name":"US","types":["country","political"]},{"long_name":"95148","short_name":"95148","types":["postal_code"]}],"adr_address":"&lt;span class=\"street-address\"&gt;2655 Robert Fowler Way&lt;/span&gt;, &lt;span class=\"locality\"&gt;San Jose&lt;/span&gt;, &lt;span class=\"region\"&gt;CA&lt;/span&gt; &lt;span class=\"postal-code\"&gt;95148&lt;/span&gt;, &lt;span class=\"country-name\"&gt;USA&lt;/span&gt;","formatted_address":"2655 Robert Fowler Way, San Jose, CA 95148, USA","formatted_phone_number":"(408) 648-2008","geometry":{"location":{"lat":37.3386694,"lng":-121.8200515},"viewport":{"northeast":{"lat":37.3399432302915,"lng":-121.8186544697085},"southwest":{"lat":37.33724526970851,"lng":-121.8213524302915}}},"icon":"https://maps.gstatic.com/mapfiles/place_api/icons/v1/png_71/school-71.png","id":null,"international_phone_number":"+1 408-648-2008","name":"Squadron-2","place_id":"ChIJl2rBmK0yjoARLqTnwSRGfb4","rating":4.7,"reference":null,"reviews":[{"author_name":"swapnil lungade","author_url":"https://www.google.com/maps/contrib/115585057600352049624/reviews","language":"en","profile_photo_url":"https://lh3.googleusercontent.com/a-/AOh14GiVKPkwePNNnVvQEAi141-_GedR_Dsrn-YPvkA1=s128-c0x00000000-cc-rp-mo","rating":5,"relative_time_description":"4 months ago","text":"David was supercool, the breathtaking views of oceans and exciting flying experience was nice !!","time":1601151894},{"author_name":"Pradeep godavarthi","author_url":"https://www.google.com/maps/contrib/113207069715160810071/reviews","language":"en","profile_photo_url":"https://lh3.googleusercontent.com/a-/AOh14Ghz3VIiafZTSvZnJbXB16apoU6egEhgNiSpjZh0ius=s128-c0x00000000-cc-rp-mo-ba2","rating":1,"relative_time_description":"a year ago","text":"Why school management doesnt respond to email.. :( i want to join here","time":1563554959},{"author_name":"Indian Roar LLP \"Exponential Marketing Company\"","author_url":"https://www.google.com/maps/contrib/110064908852613279089/reviews","language":"en","profile_photo_url":"https://lh3.googleusercontent.com/a-/AOh14GjFKCM0hZW4akXrJXJToNP6hInAgaFeQG4q-sLwqQ=s128-c0x00000000-cc-rp-mo-ba2","rating":5,"relative_time_description":"2 years ago","text":"It was best time of my life","time":1519242680},{"author_name":"Farmer","author_url":"https://www.google.com/maps/contrib/100004961290306099272/reviews","language":"en","profile_photo_url":"https://lh3.googleusercontent.com/a-/AOh14GiWS_sWGkV73_9pyUvQjLEZQeBT5ZfoxKJwhuSI=s128-c0x00000000-cc-rp-mo","rating":5,"relative_time_description":"4 years ago","text":"Learn to fly here","time":1481168996},{"author_name":"ajay chavan","author_url":"https://www.google.com/maps/contrib/115250779333458460125/reviews","language":"en","profile_photo_url":"https://lh5.googleusercontent.com/-SfP636QtNpE/AAAAAAAAAAI/AAAAAAAAAAA/AMZuucmQC6g9d2GJcwdtG-cABZqc9vY-Pg/s128-c0x00000000-cc-rp-mo-ba2/photo.jpg","rating":5,"relative_time_description":"4 years ago","text":"Good instructors !","time":1477737333}],"types":["university","point_of_interest","establishment"],"url":"https://maps.google.com/?cid=13726204362981090350","utc_offset":-480,"vicinity":"2655 Robert Fowler Way, San Jose","website":"https://www.squadron2.com/"},"status":"OK"}</t>
  </si>
  <si>
    <t>&lt;span class="street-address"&gt;2655 Robert Fowler Way&lt;/span&gt;, &lt;span class="locality"&gt;San Jose&lt;/span&gt;, &lt;span class="region"&gt;CA&lt;/span&gt; &lt;span class="postal-code"&gt;95148&lt;/span&gt;, &lt;span class="country-name"&gt;USA&lt;/span&gt;</t>
  </si>
  <si>
    <t>(408) 648-2008</t>
  </si>
  <si>
    <t>+1 408-648-2008</t>
  </si>
  <si>
    <t>2655 Robert Fowler Way, San Jose</t>
  </si>
  <si>
    <t>https://www.squadron2.com/</t>
  </si>
  <si>
    <t>https://maps.googleapis.com/maps/api/place/findplacefromtext/json?input=%2B14082586321 &amp;inputtype=phonenumber&amp;fields=business_status,formatted_address,geometry,icon,name,permanently_closed,place_id,plus_code,types&amp;key=AIzaSyAUoR1hu32epmid_r-h7_AiXQWhNu3zr3U</t>
  </si>
  <si>
    <t>{"business_status":"OPERATIONAL","formatted_address":"2655 Robert Fowler Way, San Jose, CA 95148, USA","geometry":{"location":{"lat":37.3388513,"lng":-121.8200467},"viewport":{"northeast":{"lat":37.3400341802915,"lng":-121.8186544697085},"southwest":{"lat":37.3373362197085,"lng":-121.8213524302915}}},"icon":"https://maps.gstatic.com/mapfiles/place_api/icons/v1/png_71/school-71.png","name":"Air Accord","place_id":"ChIJl3aXmq0yjoARPLQOcyAOsD0","plus_code":{"compound_code":"85QH+GX San Jose, CA, USA","global_code":"849W85QH+GX"},"types":["university","point_of_interest","establishment"]}</t>
  </si>
  <si>
    <t>Air Accord</t>
  </si>
  <si>
    <t>ChIJl3aXmq0yjoARPLQOcyAOsD0</t>
  </si>
  <si>
    <t>2655 Robert Fowler Way, San Jose, CA 95148, USA</t>
  </si>
  <si>
    <t>{"html_attributions":[],"result":{"address_components":[{"long_name":"2655","short_name":"2655","types":["street_number"]},{"long_name":"Robert Fowler Way","short_name":"Robert Fowler Way","types":["route"]},{"long_name":"Alum Rock","short_name":"Alum Rock","types":["neighborhood","political"]},{"long_name":"San Jose","short_name":"San Jose","types":["locality","political"]},{"long_name":"Santa Clara County","short_name":"Santa Clara County","types":["administrative_area_level_2","political"]},{"long_name":"California","short_name":"CA","types":["administrative_area_level_1","political"]},{"long_name":"United States","short_name":"US","types":["country","political"]},{"long_name":"95148","short_name":"95148","types":["postal_code"]},{"long_name":"1016","short_name":"1016","types":["postal_code_suffix"]}],"adr_address":"&lt;span class=\"street-address\"&gt;2655 Robert Fowler Way&lt;/span&gt;, &lt;span class=\"locality\"&gt;San Jose&lt;/span&gt;, &lt;span class=\"region\"&gt;CA&lt;/span&gt; &lt;span class=\"postal-code\"&gt;95148-1016&lt;/span&gt;, &lt;span class=\"country-name\"&gt;USA&lt;/span&gt;","formatted_address":"2655 Robert Fowler Way, San Jose, CA 95148, USA","formatted_phone_number":"(408) 258-6321","geometry":{"location":{"lat":37.3388513,"lng":-121.8200467},"viewport":{"northeast":{"lat":37.3400341802915,"lng":-121.8186544697085},"southwest":{"lat":37.3373362197085,"lng":-121.8213524302915}}},"icon":"https://maps.gstatic.com/mapfiles/place_api/icons/v1/png_71/school-71.png","id":null,"international_phone_number":"+1 408-258-6321","name":"Air Accord","place_id":"ChIJl3aXmq0yjoARPLQOcyAOsD0","rating":null,"reference":null,"reviews":null,"types":["university","point_of_interest","establishment"],"url":"https://maps.google.com/?cid=4445068364746765372","utc_offset":-480,"vicinity":"2655 Robert Fowler Way, San Jose","website":"http://www.air-accord.com/"},"status":"OK"}</t>
  </si>
  <si>
    <t>&lt;span class="street-address"&gt;2655 Robert Fowler Way&lt;/span&gt;, &lt;span class="locality"&gt;San Jose&lt;/span&gt;, &lt;span class="region"&gt;CA&lt;/span&gt; &lt;span class="postal-code"&gt;95148-1016&lt;/span&gt;, &lt;span class="country-name"&gt;USA&lt;/span&gt;</t>
  </si>
  <si>
    <t>(408) 258-6321</t>
  </si>
  <si>
    <t>+1 408-258-6321</t>
  </si>
  <si>
    <t>http://www.air-accord.com/</t>
  </si>
  <si>
    <t>https://maps.googleapis.com/maps/api/place/findplacefromtext/json?input=CORPORATE%20AVIATION%20ASSOC%20INC%201250%20AVIATION%20AVENUE%20SUITE%20125%20SAN%20JOSE%20CA%2095110&amp;key=AIzaSyAUoR1hu32epmid_r-h7_AiXQWhNu3zr3U&amp;inputtype=textquery&amp;fields=business_status,formatted_address,geometry,icon,name,permanently_closed,place_id,plus_code,types</t>
  </si>
  <si>
    <t>{"business_status":"OPERATIONAL","formatted_address":"1250 Aviation Ave # 125, San Jose, CA 95110, United States","geometry":{"location":{"lat":37.3571027,"lng":-121.929937},"viewport":{"northeast":{"lat":37.35831627989273,"lng":-121.9285740701072},"southwest":{"lat":37.35561662010728,"lng":-121.9312737298927}}},"icon":"https://maps.gstatic.com/mapfiles/place_api/icons/v1/png_71/generic_business-71.png","name":"Corporate Air Technology","place_id":"ChIJ04PypbzLj4ARlopQik9bWww","plus_code":{"compound_code":"934C+R2 San Jose, California","global_code":"849W934C+R2"},"types":["point_of_interest","store","establishment"]}</t>
  </si>
  <si>
    <t>Corporate Air Technology</t>
  </si>
  <si>
    <t>ChIJ04PypbzLj4ARlopQik9bWww</t>
  </si>
  <si>
    <t>1250 Aviation Ave # 125, San Jose, CA 95110, United States</t>
  </si>
  <si>
    <t>{"html_attributions":[],"result":{"address_components":[{"long_name":"# 125","short_name":"# 125","types":["subpremise"]},{"long_name":"1250","short_name":"1250","types":["street_number"]},{"long_name":"Aviation Avenue","short_name":"Aviation Ave","types":["route"]},{"long_name":"North San Jose","short_name":"North San Jose","types":["neighborhood","political"]},{"long_name":"San Jose","short_name":"San Jose","types":["locality","political"]},{"long_name":"Santa Clara County","short_name":"Santa Clara County","types":["administrative_area_level_2","political"]},{"long_name":"California","short_name":"CA","types":["administrative_area_level_1","political"]},{"long_name":"United States","short_name":"US","types":["country","political"]},{"long_name":"95110","short_name":"95110","types":["postal_code"]},{"long_name":"1120","short_name":"1120","types":["postal_code_suffix"]}],"adr_address":"&lt;span class=\"street-address\"&gt;1250 Aviation Ave # 125&lt;/span&gt;, &lt;span class=\"locality\"&gt;San Jose&lt;/span&gt;, &lt;span class=\"region\"&gt;CA&lt;/span&gt; &lt;span class=\"postal-code\"&gt;95110-1120&lt;/span&gt;, &lt;span class=\"country-name\"&gt;USA&lt;/span&gt;","formatted_address":"1250 Aviation Ave # 125, San Jose, CA 95110, USA","formatted_phone_number":"(408) 977-0990","geometry":{"location":{"lat":37.3571027,"lng":-121.929937},"viewport":{"northeast":{"lat":37.3583154302915,"lng":-121.9285749197085},"southwest":{"lat":37.35561746970851,"lng":-121.9312728802915}}},"icon":"https://maps.gstatic.com/mapfiles/place_api/icons/v1/png_71/generic_business-71.png","id":null,"international_phone_number":"+1 408-977-0990","name":"Corporate Air Technology","place_id":"ChIJ04PypbzLj4ARlopQik9bWww","rating":5.0,"reference":null,"reviews":[{"author_name":"Vince Hoffart","author_url":"https://www.google.com/maps/contrib/112513796859799238207/reviews","language":"en","profile_photo_url":"https://lh3.googleusercontent.com/a-/AOh14GhlUHx822vO3cxN5J1XQgB2oUD_STgNBGo-Pjt3=s128-c0x00000000-cc-rp-mo","rating":5,"relative_time_description":"11 months ago","text":"Let me start by saying that Steve Frost of CAT has a great sense of humor and attitude. It’s not something you generally see in dealing with the high stress and costs world of dealing with aircraft, particularly jets. I purchased a plane that had the wrong pistons installed (lower compression) based upon a number of circumstances. Steve helped resolved a matter for me that was above and beyond when we see in today’s market. A true Professional, genuine guy and competent...I recommend CAT!","time":1584199240},{"author_name":"Old Dusty Goat","author_url":"https://www.google.com/maps/contrib/109837989163086444680/reviews","language":"en","profile_photo_url":"https://lh3.googleusercontent.com/a-/AOh14Gj0pPcCvqCQaV5W_PWDeNyxUX2lzQZ0dJjdtiqK8JY=s128-c0x00000000-cc-rp-mo-ba3","rating":5,"relative_time_description":"8 months ago","text":"If you own an airplane this is the place for maintenance and repair.","time":1592012253}],"types":["point_of_interest","store","establishment"],"url":"https://maps.google.com/?cid=890405748516883094","utc_offset":-480,"vicinity":"1250 Aviation Avenue # 125, San Jose","website":"http://corpairtech.com/"},"status":"OK"}</t>
  </si>
  <si>
    <t>&lt;span class="street-address"&gt;1250 Aviation Ave # 125&lt;/span&gt;, &lt;span class="locality"&gt;San Jose&lt;/span&gt;, &lt;span class="region"&gt;CA&lt;/span&gt; &lt;span class="postal-code"&gt;95110-1120&lt;/span&gt;, &lt;span class="country-name"&gt;USA&lt;/span&gt;</t>
  </si>
  <si>
    <t>(408) 977-0990</t>
  </si>
  <si>
    <t>+1 408-977-0990</t>
  </si>
  <si>
    <t>1250 Aviation Avenue # 125, San Jose</t>
  </si>
  <si>
    <t>http://corpairtech.com/</t>
  </si>
  <si>
    <t>https://maps.googleapis.com/maps/api/place/findplacefromtext/json?input=L%20A%20C%20AVIONICS%20INC%201250%20AVIATION%20AVENUE%20SUITE%20110%20SAN%20JOSE%20CA%2095110&amp;key=AIzaSyAUoR1hu32epmid_r-h7_AiXQWhNu3zr3U&amp;inputtype=textquery&amp;fields=business_status,formatted_address,geometry,icon,name,permanently_closed,place_id,plus_code,types</t>
  </si>
  <si>
    <t>electronics_store,point_of_interest,store,establishment</t>
  </si>
  <si>
    <t>{"business_status":"OPERATIONAL","formatted_address":"1250 Aviation Ave # 110, San Jose, CA 95110, United States","geometry":{"location":{"lat":37.3571027,"lng":-121.929937},"viewport":{"northeast":{"lat":37.35831627989273,"lng":-121.9285740701072},"southwest":{"lat":37.35561662010728,"lng":-121.9312737298927}}},"icon":"https://maps.gstatic.com/mapfiles/place_api/icons/v1/png_71/shopping-71.png","name":"Lac Avionics","place_id":"ChIJ04PypbzLj4ARSfYIbhb_G_A","plus_code":{"compound_code":"934C+R2 San Jose, California","global_code":"849W934C+R2"},"types":["electronics_store","point_of_interest","store","establishment"]}</t>
  </si>
  <si>
    <t>Lac Avionics</t>
  </si>
  <si>
    <t>ChIJ04PypbzLj4ARSfYIbhb_G_A</t>
  </si>
  <si>
    <t>1250 Aviation Ave # 110, San Jose, CA 95110, United States</t>
  </si>
  <si>
    <t>{"html_attributions":[],"result":{"address_components":[{"long_name":"# 110","short_name":"# 110","types":["subpremise"]},{"long_name":"1250","short_name":"1250","types":["street_number"]},{"long_name":"Aviation Avenue","short_name":"Aviation Ave","types":["route"]},{"long_name":"North San Jose","short_name":"North San Jose","types":["neighborhood","political"]},{"long_name":"San Jose","short_name":"San Jose","types":["locality","political"]},{"long_name":"Santa Clara County","short_name":"Santa Clara County","types":["administrative_area_level_2","political"]},{"long_name":"California","short_name":"CA","types":["administrative_area_level_1","political"]},{"long_name":"United States","short_name":"US","types":["country","political"]},{"long_name":"95110","short_name":"95110","types":["postal_code"]},{"long_name":"1133","short_name":"1133","types":["postal_code_suffix"]}],"adr_address":"&lt;span class=\"street-address\"&gt;1250 Aviation Ave # 110&lt;/span&gt;, &lt;span class=\"locality\"&gt;San Jose&lt;/span&gt;, &lt;span class=\"region\"&gt;CA&lt;/span&gt; &lt;span class=\"postal-code\"&gt;95110-1133&lt;/span&gt;, &lt;span class=\"country-name\"&gt;USA&lt;/span&gt;","formatted_address":"1250 Aviation Ave # 110, San Jose, CA 95110, USA","formatted_phone_number":"(408) 295-4144","geometry":{"location":{"lat":37.3571027,"lng":-121.929937},"viewport":{"northeast":{"lat":37.3583154302915,"lng":-121.9285749197085},"southwest":{"lat":37.35561746970851,"lng":-121.9312728802915}}},"icon":"https://maps.gstatic.com/mapfiles/place_api/icons/v1/png_71/shopping-71.png","id":null,"international_phone_number":"+1 408-295-4144","name":"Lac Avionics","place_id":"ChIJ04PypbzLj4ARSfYIbhb_G_A","rating":null,"reference":null,"reviews":null,"types":["electronics_store","point_of_interest","store","establishment"],"url":"https://maps.google.com/?cid=17301702865274336841","utc_offset":-480,"vicinity":"1250 Aviation Avenue # 110, San Jose","website":"http://www.lacavionics.com/"},"status":"OK"}</t>
  </si>
  <si>
    <t>&lt;span class="street-address"&gt;1250 Aviation Ave # 110&lt;/span&gt;, &lt;span class="locality"&gt;San Jose&lt;/span&gt;, &lt;span class="region"&gt;CA&lt;/span&gt; &lt;span class="postal-code"&gt;95110-1133&lt;/span&gt;, &lt;span class="country-name"&gt;USA&lt;/span&gt;</t>
  </si>
  <si>
    <t>(408) 295-4144</t>
  </si>
  <si>
    <t>+1 408-295-4144</t>
  </si>
  <si>
    <t>1250 Aviation Avenue # 110, San Jose</t>
  </si>
  <si>
    <t>http://www.lacavionics.com/</t>
  </si>
  <si>
    <t>https://maps.googleapis.com/maps/api/place/findplacefromtext/json?input=%2B19497561300 &amp;inputtype=phonenumber&amp;fields=business_status,formatted_address,geometry,icon,name,permanently_closed,place_id,plus_code,types&amp;key=AIzaSyAUoR1hu32epmid_r-h7_AiXQWhNu3zr3U</t>
  </si>
  <si>
    <t>{"business_status":"OPERATIONAL","formatted_address":"19531 Campus Dr, Santa Ana, CA 92707, USA","geometry":{"location":{"lat":33.6664554,"lng":-117.8713482},"viewport":{"northeast":{"lat":33.6677497302915,"lng":-117.8699206197085},"southwest":{"lat":33.6650517697085,"lng":-117.8726185802915}}},"icon":"https://maps.gstatic.com/mapfiles/place_api/icons/v1/png_71/generic_business-71.png","name":"Orange County Flight Center","place_id":"ChIJleRT-VXe3IARJ_sfY9kTwqM","plus_code":{"compound_code":"M48H+HF Santa Ana, CA, USA","global_code":"8554M48H+HF"},"types":["point_of_interest","establishment"]}</t>
  </si>
  <si>
    <t>Orange County Flight Center</t>
  </si>
  <si>
    <t>ChIJleRT-VXe3IARJ_sfY9kTwqM</t>
  </si>
  <si>
    <t>19531 Campus Dr, Santa Ana, CA 92707, USA</t>
  </si>
  <si>
    <t>{"html_attributions":[],"result":{"address_components":[{"long_name":"19531","short_name":"19531","types":["street_number"]},{"long_name":"Campus Drive","short_name":"Campus Dr","types":["route"]},{"long_name":"Santa Ana","short_name":"Santa Ana","types":["locality","political"]},{"long_name":"Orange County","short_name":"Orange County","types":["administrative_area_level_2","political"]},{"long_name":"California","short_name":"CA","types":["administrative_area_level_1","political"]},{"long_name":"United States","short_name":"US","types":["country","political"]},{"long_name":"92707","short_name":"92707","types":["postal_code"]},{"long_name":"5207","short_name":"5207","types":["postal_code_suffix"]}],"adr_address":"&lt;span class=\"street-address\"&gt;19531 Campus Dr&lt;/span&gt;, &lt;span class=\"locality\"&gt;Santa Ana&lt;/span&gt;, &lt;span class=\"region\"&gt;CA&lt;/span&gt; &lt;span class=\"postal-code\"&gt;92707-5207&lt;/span&gt;, &lt;span class=\"country-name\"&gt;USA&lt;/span&gt;","formatted_address":"19531 Campus Dr, Santa Ana, CA 92707, USA","formatted_phone_number":"(949) 756-1300","geometry":{"location":{"lat":33.6664554,"lng":-117.8713482},"viewport":{"northeast":{"lat":33.6677497302915,"lng":-117.8699206197085},"southwest":{"lat":33.6650517697085,"lng":-117.8726185802915}}},"icon":"https://maps.gstatic.com/mapfiles/place_api/icons/v1/png_71/generic_business-71.png","id":null,"international_phone_number":"+1 949-756-1300","name":"Orange County Flight Center","place_id":"ChIJleRT-VXe3IARJ_sfY9kTwqM","rating":4.6,"reference":null,"reviews":[{"author_name":"Chasity Owens","author_url":"https://www.google.com/maps/contrib/102414617652572145716/reviews","language":"en","profile_photo_url":"https://lh3.googleusercontent.com/a-/AOh14Gj7_sOJH_oC9o4i_PF5Kvzai03y13Am2U3UCwWO=s128-c0x00000000-cc-rp-mo","rating":5,"relative_time_description":"a year ago","text":"Bre Orr took me for a demo flight and I loved it. She was excellent! Definitely will be back!","time":1562108890},{"author_name":"Matt Coburn","author_url":"https://www.google.com/maps/contrib/109672351000270425235/reviews","language":"en","profile_photo_url":"https://lh3.googleusercontent.com/a-/AOh14GhcqexmTZJGRTxMANw-0JH-0YZOhQ2HreN9rVaOTw=s128-c0x00000000-cc-rp-mo","rating":5,"relative_time_description":"a year ago","text":"Barry (chief instructor) and Annie (manager) do a great job running this place.","time":1561805334},{"author_name":"mike lafirst","author_url":"https://www.google.com/maps/contrib/102452197565013749610/reviews","language":"en","profile_photo_url":"https://lh3.googleusercontent.com/a-/AOh14Gh7BmjevozCOr3L5T6yB7BfoR1DRG5AjDayUZCDAg=s128-c0x00000000-cc-rp-mo","rating":5,"relative_time_description":"2 years ago","text":"I recently got my pilot’s license in Santa Monica in a Sport Cruiser, so I needed to be checked out in a 172. Matt is always cool and eager to help schedule anything I need. I’ve flown with Mark a couple of times and he’s also a great guy. I’ve talked to Gary (the owner ... I believe) about purchasing a plane and although I’m not looking to spend a fortune, he treats me like I’m looking at a million dollar plane. These guys just love planes and flying. No one here has been anything but awesome so far.","time":1532630760},{"author_name":"Joshua Ferrara","author_url":"https://www.google.com/maps/contrib/108818954392691325024/reviews","language":"en","profile_photo_url":"https://lh3.googleusercontent.com/-R9et22ST5_Y/AAAAAAAAAAI/AAAAAAAABS4/AMZuuckDea4nfvk2TPZ0ivUT_8SBwNc5aw/s128-c0x00000000-cc-rp-mo/photo.jpg","rating":5,"relative_time_description":"3 years ago","text":"Went here the other day to take a part 107 knowledge test and was treated very well. I'd definitely recommend them.","time":1516664398},{"author_name":"Jessie Padgett","author_url":"https://www.google.com/maps/contrib/111632077292702550303/reviews","language":"en","profile_photo_url":"https://lh3.googleusercontent.com/a-/AOh14GgZNFR95bVf_-5CYv6T7zJsBkik6sDre3zj9mdrEw=s128-c0x00000000-cc-rp-mo","rating":2,"relative_time_description":"3 years ago","text":"My friend had a bad experience with Robert / Rob Perez. Robert was very rarely on time for appointments, spent much of the time on his phone, and cancelled appointments often (many times while my friend was on his way to OCFC). Thankfully he is no longer with OCFC, and would give this place 5 stars if they vetted their instructors more thoroughly.","time":1513203857}],"types":["point_of_interest","establishment"],"url":"https://maps.google.com/?cid=11800015798055992103","utc_offset":-480,"vicinity":"19531 Campus Drive, Santa Ana","website":"https://www.ocfc.com/"},"status":"OK"}</t>
  </si>
  <si>
    <t>&lt;span class="street-address"&gt;19531 Campus Dr&lt;/span&gt;, &lt;span class="locality"&gt;Santa Ana&lt;/span&gt;, &lt;span class="region"&gt;CA&lt;/span&gt; &lt;span class="postal-code"&gt;92707-5207&lt;/span&gt;, &lt;span class="country-name"&gt;USA&lt;/span&gt;</t>
  </si>
  <si>
    <t>(949) 756-1300</t>
  </si>
  <si>
    <t>+1 949-756-1300</t>
  </si>
  <si>
    <t>19531 Campus Drive, Santa Ana</t>
  </si>
  <si>
    <t>https://www.ocfc.com/</t>
  </si>
  <si>
    <t>https://maps.googleapis.com/maps/api/place/findplacefromtext/json?input=%2B19498528850 &amp;inputtype=phonenumber&amp;fields=business_status,formatted_address,geometry,icon,name,permanently_closed,place_id,plus_code,types&amp;key=AIzaSyAUoR1hu32epmid_r-h7_AiXQWhNu3zr3U</t>
  </si>
  <si>
    <t>{"business_status":"OPERATIONAL","formatted_address":"19531 Campus Dr #7, Santa Ana, CA 92707, USA","geometry":{"location":{"lat":33.6662965,"lng":-117.8713826},"viewport":{"northeast":{"lat":33.6676164302915,"lng":-117.8699918697085},"southwest":{"lat":33.6649184697085,"lng":-117.8726898302915}}},"icon":"https://maps.gstatic.com/mapfiles/place_api/icons/v1/png_71/school-71.png","name":"Sunrise Aviation","place_id":"ChIJR-QprlXe3IARNPwW6ujMwto","plus_code":{"compound_code":"M48H+GC Santa Ana, CA, USA","global_code":"8554M48H+GC"},"types":["university","point_of_interest","establishment"]}</t>
  </si>
  <si>
    <t>Sunrise Aviation</t>
  </si>
  <si>
    <t>ChIJR-QprlXe3IARNPwW6ujMwto</t>
  </si>
  <si>
    <t>19531 Campus Dr #7, Santa Ana, CA 92707, USA</t>
  </si>
  <si>
    <t>{"html_attributions":[],"result":{"address_components":[{"long_name":"7","short_name":"7","types":["subpremise"]},{"long_name":"19531","short_name":"19531","types":["street_number"]},{"long_name":"Campus Drive","short_name":"Campus Dr","types":["route"]},{"long_name":"Santa Ana","short_name":"Santa Ana","types":["locality","political"]},{"long_name":"Orange County","short_name":"Orange County","types":["administrative_area_level_2","political"]},{"long_name":"California","short_name":"CA","types":["administrative_area_level_1","political"]},{"long_name":"United States","short_name":"US","types":["country","political"]},{"long_name":"92707","short_name":"92707","types":["postal_code"]},{"long_name":"5207","short_name":"5207","types":["postal_code_suffix"]}],"adr_address":"&lt;span class=\"street-address\"&gt;19531 Campus Dr #7&lt;/span&gt;, &lt;span class=\"locality\"&gt;Santa Ana&lt;/span&gt;, &lt;span class=\"region\"&gt;CA&lt;/span&gt; &lt;span class=\"postal-code\"&gt;92707-5207&lt;/span&gt;, &lt;span class=\"country-name\"&gt;USA&lt;/span&gt;","formatted_address":"19531 Campus Dr #7, Santa Ana, CA 92707, USA","formatted_phone_number":"(949) 852-8850","geometry":{"location":{"lat":33.6662965,"lng":-117.8713826},"viewport":{"northeast":{"lat":33.6676164302915,"lng":-117.8699918697085},"southwest":{"lat":33.6649184697085,"lng":-117.8726898302915}}},"icon":"https://maps.gstatic.com/mapfiles/place_api/icons/v1/png_71/school-71.png","id":null,"international_phone_number":"+1 949-852-8850","name":"Sunrise Aviation","place_id":"ChIJR-QprlXe3IARNPwW6ujMwto","rating":4.3,"reference":null,"reviews":[{"author_name":"Brian Ramos","author_url":"https://www.google.com/maps/contrib/104102582399882788945/reviews","language":"en","profile_photo_url":"https://lh3.googleusercontent.com/a-/AOh14Gj4ehG-wSaBYBxAMLaTdsRq7g_aKxtOF1nOoQOyZPs=s128-c0x00000000-cc-rp-mo-ba5","rating":1,"relative_time_description":"7 months ago","text":"Although the quality of the instruction is probably good, their schedule is such that my training got continuously delayed for over 6 months before I asked to zero the balance on my account and they told me no.\n\nIf you work M-F, 8-5 they only are open Saturdays. The instructors are so booked on weekends that a missed lesson (VFR weather isn't VFR enough, flat tire, instructor surgery, instructor illness, instructor vacation- all real excuses given to me) means rescheduling a lesson a month or so out.\n\nThe scheduling is not conducive to learning. The airport is Class C and busy so for your hour of scheduled time, more of it is dealing with clearance delivery and taxi operations than actual flying. Don't go here unless you have no other option.","time":1593701481},{"author_name":"J Hathaway","author_url":"https://www.google.com/maps/contrib/110109794817865912644/reviews","language":"en","profile_photo_url":"https://lh4.googleusercontent.com/-orrACrcDa5s/AAAAAAAAAAI/AAAAAAAAAtw/AMZuuckQgLyhhCacxF3rUCsz9Pl0DTJn-w/s128-c0x00000000-cc-rp-mo/photo.jpg","rating":5,"relative_time_description":"10 months ago","text":"I learned to fly at Sunrise back in 2006. Great flight school and aircraft rental company! I am forever grateful to the people here.","time":1585257608},{"author_name":"Hannah Neill","author_url":"https://www.google.com/maps/contrib/115467819598311161123/reviews","language":"en","profile_photo_url":"https://lh3.googleusercontent.com/a-/AOh14GiuXMkc2LY1YI3Bw1lzzGzPweZxUp1ntme4NbIpeQ=s128-c0x00000000-cc-rp-mo","rating":5,"relative_time_description":"a year ago","text":"I had a great experience with Sunrise. I came in for a short basic aerobatics course (4 lessons) with Bill, and found he excelled at teaching. He was calm and thorough, very easy to listen to while upside down. Linda Kay at the front desk has been very helpful and friendly with organizing my lessons. I got extensive ground training from Michael Church too, who kept me intrigued and interested the entire time through the lessons. If you're someone like me who loves to learn and wants to soak up as much information as possible, go here. I felt like any possible question I had about aerobatics could be answered. Michael has been a pilot since the 60's...and that experience is very, very evident. I learned a lot in two days!","time":1568055175},{"author_name":"Mark Abrahamson","author_url":"https://www.google.com/maps/contrib/102936331554849007621/reviews","language":"en","profile_photo_url":"https://lh3.googleusercontent.com/-XMQeFMhRCk0/AAAAAAAAAAI/AAAAAAAAAAA/AMZuucmp2w-UoUGDWjddlqckGR0eRI7zGQ/s128-c0x00000000-cc-rp-mo/photo.jpg","rating":5,"relative_time_description":"2 months ago","text":"I soloed and licensed here in 1987-88. I still reference my syllabus from here. Stay with it and talk to your instructor about spin training....\nWORTH IT!","time":1607994992},{"author_name":"ron wallace","author_url":"https://www.google.com/maps/contrib/109286563042028489050/reviews","language":"en","profile_photo_url":"https://lh3.googleusercontent.com/a-/AOh14Gjkv2JWkq3YfC7tsahRQsqNYmkCyWN3TRDNMvcc_5s=s128-c0x00000000-cc-rp-mo-ba5","rating":5,"relative_time_description":"5 years ago","text":"I trained here in the 90s and continue to rent and stay current in their planes. The fleet has been updated with some DA-40s and a new simulator.  I still fly occasionally with Pam H. and I can't imagine a better instructor. The place has an old school feel with a lot of history, and you can really see that pilot proficiency is their highest goal. Bring some dog treats for the office mascot and he will love you forever.","time":1448513240}],"types":["university","point_of_interest","establishment"],"url":"https://maps.google.com/?cid=15763386946482011188","utc_offset":-480,"vicinity":"19531 Campus Drive #7, Santa Ana","website":"http://www.sunriseaviation.com/"},"status":"OK"}</t>
  </si>
  <si>
    <t>&lt;span class="street-address"&gt;19531 Campus Dr #7&lt;/span&gt;, &lt;span class="locality"&gt;Santa Ana&lt;/span&gt;, &lt;span class="region"&gt;CA&lt;/span&gt; &lt;span class="postal-code"&gt;92707-5207&lt;/span&gt;, &lt;span class="country-name"&gt;USA&lt;/span&gt;</t>
  </si>
  <si>
    <t>(949) 852-8850</t>
  </si>
  <si>
    <t>+1 949-852-8850</t>
  </si>
  <si>
    <t>19531 Campus Drive #7, Santa Ana</t>
  </si>
  <si>
    <t>http://www.sunriseaviation.com/</t>
  </si>
  <si>
    <t>https://maps.googleapis.com/maps/api/place/findplacefromtext/json?input=%2B19494742900&amp;inputtype=phonenumber&amp;fields=business_status,formatted_address,geometry,icon,name,permanently_closed,place_id,plus_code,types&amp;key=AIzaSyAUoR1hu32epmid_r-h7_AiXQWhNu3zr3U</t>
  </si>
  <si>
    <t>{"business_status":"OPERATIONAL","formatted_address":"19301 Campus Dr STE 250, Santa Ana, CA 92707, USA","geometry":{"location":{"lat":33.6714948,"lng":-117.8667716},"viewport":{"northeast":{"lat":33.6727170302915,"lng":-117.8653415197085},"southwest":{"lat":33.6700190697085,"lng":-117.8680394802915}}},"icon":"https://maps.gstatic.com/mapfiles/place_api/icons/v1/png_71/generic_business-71.png","name":"Paragon Airways","place_id":"ChIJF38ywvne3IARyX6H24aiXeM","plus_code":{"compound_code":"M4CM+H7 Santa Ana, CA, USA","global_code":"8554M4CM+H7"},"types":["point_of_interest","establishment"]}</t>
  </si>
  <si>
    <t>Paragon Airways</t>
  </si>
  <si>
    <t>ChIJF38ywvne3IARyX6H24aiXeM</t>
  </si>
  <si>
    <t>19301 Campus Dr STE 250, Santa Ana, CA 92707, USA</t>
  </si>
  <si>
    <t>{"html_attributions":[],"result":{"address_components":[{"long_name":"STE 250","short_name":"STE 250","types":["subpremise"]},{"long_name":"19301","short_name":"19301","types":["street_number"]},{"long_name":"Campus Drive","short_name":"Campus Dr","types":["route"]},{"long_name":"Santa Ana","short_name":"Santa Ana","types":["locality","political"]},{"long_name":"Orange County","short_name":"Orange County","types":["administrative_area_level_2","political"]},{"long_name":"California","short_name":"CA","types":["administrative_area_level_1","political"]},{"long_name":"United States","short_name":"US","types":["country","political"]},{"long_name":"92707","short_name":"92707","types":["postal_code"]},{"long_name":"5249","short_name":"5249","types":["postal_code_suffix"]}],"adr_address":"&lt;span class=\"street-address\"&gt;19301 Campus Dr STE 250&lt;/span&gt;, &lt;span class=\"locality\"&gt;Santa Ana&lt;/span&gt;, &lt;span class=\"region\"&gt;CA&lt;/span&gt; &lt;span class=\"postal-code\"&gt;92707-5249&lt;/span&gt;, &lt;span class=\"country-name\"&gt;USA&lt;/span&gt;","formatted_address":"19301 Campus Dr STE 250, Santa Ana, CA 92707, USA","formatted_phone_number":"(949) 474-2900","geometry":{"location":{"lat":33.6714948,"lng":-117.8667716},"viewport":{"northeast":{"lat":33.6727170302915,"lng":-117.8653415197085},"southwest":{"lat":33.6700190697085,"lng":-117.8680394802915}}},"icon":"https://maps.gstatic.com/mapfiles/place_api/icons/v1/png_71/generic_business-71.png","id":null,"international_phone_number":"+1 949-474-2900","name":"Paragon Airways","place_id":"ChIJF38ywvne3IARyX6H24aiXeM","rating":3.7,"reference":null,"reviews":[{"author_name":"Steve Cederquist","author_url":"https://www.google.com/maps/contrib/100977105456221345078/reviews","language":"en","profile_photo_url":"https://lh3.googleusercontent.com/a-/AOh14Giqd5Q-YK0RIKUme5F9S7nYOq8nKSnGahRXsLWdXYs=s128-c0x00000000-cc-rp-mo-ba4","rating":5,"relative_time_description":"2 years ago","text":"The most professional Private Aircraft company I've ever flown with.\n\nGreat job !!! 10 stars if I was able.","time":1520702454},{"author_name":"Victor Ward","author_url":"https://www.google.com/maps/contrib/106591648600610950859/reviews","language":"en","profile_photo_url":"https://lh3.googleusercontent.com/a-/AOh14Gg60ry4zucx0A8AB-TgefqDUJoA7sig8hOJ03BO=s128-c0x00000000-cc-rp-mo","rating":1,"relative_time_description":"a year ago","text":"This place was very rude and the lady lied to me about the paperwork. Then they told me I would have to wait on my money a few days to get a refund and they cancelled my flight. There excuse was our employee was misunderstood. Very poor customer service!","time":1567874850},{"author_name":"Laurie Rock","author_url":"https://www.google.com/maps/contrib/100722895179127869206/reviews","language":null,"profile_photo_url":"https://lh3.googleusercontent.com/a-/AOh14GiBMx0Slr7uSU2QTzoTHEw4tNNNoFDEma3XZie5jg=s128-c0x00000000-cc-rp-mo","rating":5,"relative_time_description":"a year ago","text":"","time":1578427328}],"types":["point_of_interest","establishment"],"url":"https://maps.google.com/?cid=16383429719536139977","utc_offset":-480,"vicinity":"19301 Campus Drive STE 250, Santa Ana","website":"http://www.paragonairways.com/"},"status":"OK"}</t>
  </si>
  <si>
    <t>&lt;span class="street-address"&gt;19301 Campus Dr STE 250&lt;/span&gt;, &lt;span class="locality"&gt;Santa Ana&lt;/span&gt;, &lt;span class="region"&gt;CA&lt;/span&gt; &lt;span class="postal-code"&gt;92707-5249&lt;/span&gt;, &lt;span class="country-name"&gt;USA&lt;/span&gt;</t>
  </si>
  <si>
    <t>(949) 474-2900</t>
  </si>
  <si>
    <t>+1 949-474-2900</t>
  </si>
  <si>
    <t>19301 Campus Drive STE 250, Santa Ana</t>
  </si>
  <si>
    <t>http://www.paragonairways.com/</t>
  </si>
  <si>
    <t>https://maps.googleapis.com/maps/api/place/findplacefromtext/json?input=%2B19492501359&amp;inputtype=phonenumber&amp;fields=business_status,formatted_address,geometry,icon,name,permanently_closed,place_id,plus_code,types&amp;key=AIzaSyAUoR1hu32epmid_r-h7_AiXQWhNu3zr3U</t>
  </si>
  <si>
    <t>{"business_status":"OPERATIONAL","formatted_address":"19301 Campus Dr #202, Santa Ana, CA 92707, USA","geometry":{"location":{"lat":33.6714948,"lng":-117.8667716},"viewport":{"northeast":{"lat":33.6727170302915,"lng":-117.8653415197085},"southwest":{"lat":33.6700190697085,"lng":-117.8680394802915}}},"icon":"https://maps.gstatic.com/mapfiles/place_api/icons/v1/png_71/generic_business-71.png","name":"Mira Vista Aviation","place_id":"ChIJ3TgV5_ne3IARgFF3-ssjEJc","plus_code":{"compound_code":"M4CM+H7 Santa Ana, CA, USA","global_code":"8554M4CM+H7"},"types":["point_of_interest","establishment"]}</t>
  </si>
  <si>
    <t>Mira Vista Aviation</t>
  </si>
  <si>
    <t>ChIJ3TgV5_ne3IARgFF3-ssjEJc</t>
  </si>
  <si>
    <t>19301 Campus Dr #202, Santa Ana, CA 92707, USA</t>
  </si>
  <si>
    <t>{"html_attributions":[],"result":{"address_components":[{"long_name":"202","short_name":"202","types":["subpremise"]},{"long_name":"19301","short_name":"19301","types":["street_number"]},{"long_name":"Campus Drive","short_name":"Campus Dr","types":["route"]},{"long_name":"Santa Ana","short_name":"Santa Ana","types":["locality","political"]},{"long_name":"Orange County","short_name":"Orange County","types":["administrative_area_level_2","political"]},{"long_name":"California","short_name":"CA","types":["administrative_area_level_1","political"]},{"long_name":"United States","short_name":"US","types":["country","political"]},{"long_name":"92707","short_name":"92707","types":["postal_code"]}],"adr_address":"&lt;span class=\"street-address\"&gt;19301 Campus Dr #202&lt;/span&gt;, &lt;span class=\"locality\"&gt;Santa Ana&lt;/span&gt;, &lt;span class=\"region\"&gt;CA&lt;/span&gt; &lt;span class=\"postal-code\"&gt;92707&lt;/span&gt;, &lt;span class=\"country-name\"&gt;USA&lt;/span&gt;","formatted_address":"19301 Campus Dr #202, Santa Ana, CA 92707, USA","formatted_phone_number":"(949) 250-1359","geometry":{"location":{"lat":33.6714948,"lng":-117.8667716},"viewport":{"northeast":{"lat":33.6727170302915,"lng":-117.8653415197085},"southwest":{"lat":33.6700190697085,"lng":-117.8680394802915}}},"icon":"https://maps.gstatic.com/mapfiles/place_api/icons/v1/png_71/generic_business-71.png","id":null,"international_phone_number":"+1 949-250-1359","name":"Mira Vista Aviation","place_id":"ChIJ3TgV5_ne3IARgFF3-ssjEJc","rating":5.0,"reference":null,"reviews":[{"author_name":"Lindsay Lindsey","author_url":"https://www.google.com/maps/contrib/114209130151154500940/reviews","language":"en","profile_photo_url":"https://lh3.googleusercontent.com/a-/AOh14Gi_fvE3GSAO4epnt_aKizTnbl29mW_OGyiGadftvg=s128-c0x00000000-cc-rp-mo","rating":5,"relative_time_description":"a year ago","text":"It’s the only company I fly with when I fly private.","time":1553637603}],"types":["point_of_interest","establishment"],"url":"https://maps.google.com/?cid=10885239658341945728","utc_offset":-480,"vicinity":"19301 Campus Drive #202, Santa Ana","website":"http://www.mvjet.com/"},"status":"OK"}</t>
  </si>
  <si>
    <t>&lt;span class="street-address"&gt;19301 Campus Dr #202&lt;/span&gt;, &lt;span class="locality"&gt;Santa Ana&lt;/span&gt;, &lt;span class="region"&gt;CA&lt;/span&gt; &lt;span class="postal-code"&gt;92707&lt;/span&gt;, &lt;span class="country-name"&gt;USA&lt;/span&gt;</t>
  </si>
  <si>
    <t>+1 949-250-1359</t>
  </si>
  <si>
    <t>19301 Campus Drive #202, Santa Ana</t>
  </si>
  <si>
    <t>http://www.mvjet.com/</t>
  </si>
  <si>
    <t>https://maps.googleapis.com/maps/api/place/findplacefromtext/json?input=%2B19498510966&amp;inputtype=phonenumber&amp;fields=business_status,formatted_address,geometry,icon,name,permanently_closed,place_id,plus_code,types&amp;key=AIzaSyAUoR1hu32epmid_r-h7_AiXQWhNu3zr3U</t>
  </si>
  <si>
    <t>{"business_status":"OPERATIONAL","formatted_address":"19301 Campus Dr, Santa Ana, CA 92707, USA","geometry":{"location":{"lat":33.6707521,"lng":-117.8660132},"viewport":{"northeast":{"lat":33.67213888029149,"lng":-117.8647033197085},"southwest":{"lat":33.66944091970849,"lng":-117.8674012802915}}},"icon":"https://maps.gstatic.com/mapfiles/place_api/icons/v1/png_71/generic_business-71.png","name":"Regency Air LLC","place_id":"ChIJF38ywvne3IAR1NQZ5mHXH14","plus_code":{"compound_code":"M4CM+8H Santa Ana, CA, USA","global_code":"8554M4CM+8H"},"types":["point_of_interest","establishment"]}</t>
  </si>
  <si>
    <t>Regency Air LLC</t>
  </si>
  <si>
    <t>ChIJF38ywvne3IAR1NQZ5mHXH14</t>
  </si>
  <si>
    <t>19301 Campus Dr, Santa Ana, CA 92707, USA</t>
  </si>
  <si>
    <t>{"html_attributions":[],"result":{"address_components":[{"long_name":"19301","short_name":"19301","types":["street_number"]},{"long_name":"Campus Drive","short_name":"Campus Dr","types":["route"]},{"long_name":"Santa Ana","short_name":"Santa Ana","types":["locality","political"]},{"long_name":"Orange County","short_name":"Orange County","types":["administrative_area_level_2","political"]},{"long_name":"California","short_name":"CA","types":["administrative_area_level_1","political"]},{"long_name":"United States","short_name":"US","types":["country","political"]},{"long_name":"92707","short_name":"92707","types":["postal_code"]},{"long_name":"5235","short_name":"5235","types":["postal_code_suffix"]}],"adr_address":"&lt;span class=\"street-address\"&gt;19301 Campus Dr&lt;/span&gt;, &lt;span class=\"locality\"&gt;Santa Ana&lt;/span&gt;, &lt;span class=\"region\"&gt;CA&lt;/span&gt; &lt;span class=\"postal-code\"&gt;92707-5235&lt;/span&gt;, &lt;span class=\"country-name\"&gt;USA&lt;/span&gt;","formatted_address":"19301 Campus Dr, Santa Ana, CA 92707, USA","formatted_phone_number":"(949) 851-0966","geometry":{"location":{"lat":33.6707521,"lng":-117.8660132},"viewport":{"northeast":{"lat":33.67213888029149,"lng":-117.8647033197085},"southwest":{"lat":33.66944091970849,"lng":-117.8674012802915}}},"icon":"https://maps.gstatic.com/mapfiles/place_api/icons/v1/png_71/generic_business-71.png","id":null,"international_phone_number":"+1 949-851-0966","name":"Regency Air LLC","place_id":"ChIJF38ywvne3IAR1NQZ5mHXH14","rating":null,"reference":null,"reviews":null,"types":["point_of_interest","establishment"],"url":"https://maps.google.com/?cid=6782376379315508436","utc_offset":-480,"vicinity":"19301 Campus Drive, Santa Ana","website":"https://regencyair.com/"},"status":"OK"}</t>
  </si>
  <si>
    <t>&lt;span class="street-address"&gt;19301 Campus Dr&lt;/span&gt;, &lt;span class="locality"&gt;Santa Ana&lt;/span&gt;, &lt;span class="region"&gt;CA&lt;/span&gt; &lt;span class="postal-code"&gt;92707-5235&lt;/span&gt;, &lt;span class="country-name"&gt;USA&lt;/span&gt;</t>
  </si>
  <si>
    <t>+1 949-851-0966</t>
  </si>
  <si>
    <t>19301 Campus Drive, Santa Ana</t>
  </si>
  <si>
    <t>https://regencyair.com/</t>
  </si>
  <si>
    <t>https://maps.googleapis.com/maps/api/place/findplacefromtext/json?input=%2B19498528340&amp;inputtype=phonenumber&amp;fields=business_status,formatted_address,geometry,icon,name,permanently_closed,place_id,plus_code,types&amp;key=AIzaSyAUoR1hu32epmid_r-h7_AiXQWhNu3zr3U</t>
  </si>
  <si>
    <t>{"business_status":"OPERATIONAL","formatted_address":"19711 Campus Dr #200, Santa Ana, CA 92707, USA","geometry":{"location":{"lat":33.6655526,"lng":-117.8726473},"viewport":{"northeast":{"lat":33.6668591302915,"lng":-117.8713392197085},"southwest":{"lat":33.6641611697085,"lng":-117.8740371802915}}},"icon":"https://maps.gstatic.com/mapfiles/place_api/icons/v1/png_71/generic_business-71.png","name":"West Coast Aviation Services","place_id":"ChIJGbFp-VXe3IARMwvV_LzfeBU","plus_code":{"compound_code":"M48G+6W Santa Ana, CA, USA","global_code":"8554M48G+6W"},"types":["point_of_interest","establishment"]}</t>
  </si>
  <si>
    <t>ChIJGbFp-VXe3IARMwvV_LzfeBU</t>
  </si>
  <si>
    <t>19711 Campus Dr #200, Santa Ana, CA 92707, USA</t>
  </si>
  <si>
    <t>{"html_attributions":[],"result":{"address_components":[{"long_name":"200","short_name":"200","types":["subpremise"]},{"long_name":"19711","short_name":"19711","types":["street_number"]},{"long_name":"Campus Drive","short_name":"Campus Dr","types":["route"]},{"long_name":"Santa Ana","short_name":"Santa Ana","types":["locality","political"]},{"long_name":"Orange County","short_name":"Orange County","types":["administrative_area_level_2","political"]},{"long_name":"California","short_name":"CA","types":["administrative_area_level_1","political"]},{"long_name":"United States","short_name":"US","types":["country","political"]},{"long_name":"92707","short_name":"92707","types":["postal_code"]}],"adr_address":"&lt;span class=\"street-address\"&gt;19711 Campus Dr #200&lt;/span&gt;, &lt;span class=\"locality\"&gt;Santa Ana&lt;/span&gt;, &lt;span class=\"region\"&gt;CA&lt;/span&gt; &lt;span class=\"postal-code\"&gt;92707&lt;/span&gt;, &lt;span class=\"country-name\"&gt;USA&lt;/span&gt;","formatted_address":"19711 Campus Dr #200, Santa Ana, CA 92707, USA","formatted_phone_number":"(949) 852-8340","geometry":{"location":{"lat":33.6655526,"lng":-117.8726473},"viewport":{"northeast":{"lat":33.6668591302915,"lng":-117.8713392197085},"southwest":{"lat":33.6641611697085,"lng":-117.8740371802915}}},"icon":"https://maps.gstatic.com/mapfiles/place_api/icons/v1/png_71/generic_business-71.png","id":null,"international_phone_number":"+1 949-852-8340","name":"West Coast Aviation Services","place_id":"ChIJGbFp-VXe3IARMwvV_LzfeBU","rating":4.8,"reference":null,"reviews":[{"author_name":"Thomas Durant","author_url":"https://www.google.com/maps/contrib/105091497252124928074/reviews","language":"en","profile_photo_url":"https://lh3.googleusercontent.com/a-/AOh14Gi2hFvGpijU8Zx7TbQE6AkA5E804uqsUdEL57Fi=s128-c0x00000000-cc-rp-mo","rating":5,"relative_time_description":"3 weeks ago","text":"Great local company!!!","time":1611720885},{"author_name":"Ethan Charpentier","author_url":"https://www.google.com/maps/contrib/104680323843447127569/reviews","language":"en","profile_photo_url":"https://lh3.googleusercontent.com/a-/AOh14GjLYNsdJ9cUI2GdUsXeP6OiKEwJXmQpiY0oeyv5Ew=s128-c0x00000000-cc-rp-mo-ba3","rating":5,"relative_time_description":"4 years ago","text":"Great","time":1478488725},{"author_name":"Chuck Henry","author_url":"https://www.google.com/maps/contrib/105833502623602204216/reviews","language":null,"profile_photo_url":"https://lh3.googleusercontent.com/a-/AOh14GgL_vq59VOyeOb4-PTM98xb6JPELFm0WdqmF9OM=s128-c0x00000000-cc-rp-mo","rating":4,"relative_time_description":"4 years ago","text":"","time":1472095803},{"author_name":"Bryan Treser","author_url":"https://www.google.com/maps/contrib/102521466933322169075/reviews","language":null,"profile_photo_url":"https://lh4.googleusercontent.com/-ubMWjKoFSq4/AAAAAAAAAAI/AAAAAAAAAAA/AMZuuckqiEJQfrr3mmTutEUmbwWfGq8JTQ/s128-c0x00000000-cc-rp-mo-ba2/photo.jpg","rating":5,"relative_time_description":"a year ago","text":"","time":1554591962},{"author_name":"Patrick Standel","author_url":"https://www.google.com/maps/contrib/108225162798382234400/reviews","language":null,"profile_photo_url":"https://lh3.googleusercontent.com/a-/AOh14GjXIhcoAAAs9glyXw007mSEVo5OlPFb4CDyC0Wf7Q=s128-c0x00000000-cc-rp-mo","rating":5,"relative_time_description":"a year ago","text":"","time":1579033931}],"types":["point_of_interest","establishment"],"url":"https://maps.google.com/?cid=1547232474790431539","utc_offset":-480,"vicinity":"19711 Campus Drive #200, Santa Ana","website":"http://www.wcas.aero/"},"status":"OK"}</t>
  </si>
  <si>
    <t>&lt;span class="street-address"&gt;19711 Campus Dr #200&lt;/span&gt;, &lt;span class="locality"&gt;Santa Ana&lt;/span&gt;, &lt;span class="region"&gt;CA&lt;/span&gt; &lt;span class="postal-code"&gt;92707&lt;/span&gt;, &lt;span class="country-name"&gt;USA&lt;/span&gt;</t>
  </si>
  <si>
    <t>+1 949-852-8340</t>
  </si>
  <si>
    <t>19711 Campus Drive #200, Santa Ana</t>
  </si>
  <si>
    <t>http://www.wcas.aero/</t>
  </si>
  <si>
    <t>https://maps.googleapis.com/maps/api/place/findplacefromtext/json?input=MARTIN%20AVIATION%20L%20P%2019300%20IKE%20JONES%20ROAD%20%20SANTA%20ANA%20CA%2092707&amp;key=AIzaSyAUoR1hu32epmid_r-h7_AiXQWhNu3zr3U&amp;inputtype=textquery&amp;fields=business_status,formatted_address,geometry,icon,name,permanently_closed,place_id,plus_code,types</t>
  </si>
  <si>
    <t>{"business_status":"OPERATIONAL","formatted_address":"19300 Ike Jones Rd, Santa Ana, CA 92707, United States","geometry":{"location":{"lat":33.6742286,"lng":-117.8728233},"viewport":{"northeast":{"lat":33.67557842989272,"lng":-117.8714734701073},"southwest":{"lat":33.67287877010727,"lng":-117.8741731298928}}},"icon":"https://maps.gstatic.com/mapfiles/place_api/icons/v1/png_71/generic_business-71.png","name":"Martin Aviation","place_id":"ChIJ2bOHhPze3IARqpe_AkG6kcw","plus_code":{"compound_code":"M4FG+MV Santa Ana, California","global_code":"8554M4FG+MV"},"types":["point_of_interest","store","establishment"]}</t>
  </si>
  <si>
    <t>Martin Aviation</t>
  </si>
  <si>
    <t>ChIJ2bOHhPze3IARqpe_AkG6kcw</t>
  </si>
  <si>
    <t>19300 Ike Jones Rd, Santa Ana, CA 92707, United States</t>
  </si>
  <si>
    <t>{"html_attributions":[],"result":{"address_components":[{"long_name":"19300","short_name":"19300","types":["street_number"]},{"long_name":"Ike Jones Road","short_name":"Ike Jones Rd","types":["route"]},{"long_name":"Santa Ana","short_name":"Santa Ana","types":["locality","political"]},{"long_name":"Orange County","short_name":"Orange County","types":["administrative_area_level_2","political"]},{"long_name":"California","short_name":"CA","types":["administrative_area_level_1","political"]},{"long_name":"United States","short_name":"US","types":["country","political"]},{"long_name":"92707","short_name":"92707","types":["postal_code"]}],"adr_address":"&lt;span class=\"street-address\"&gt;19300 Ike Jones Rd&lt;/span&gt;, &lt;span class=\"locality\"&gt;Santa Ana&lt;/span&gt;, &lt;span class=\"region\"&gt;CA&lt;/span&gt; &lt;span class=\"postal-code\"&gt;92707&lt;/span&gt;, &lt;span class=\"country-name\"&gt;USA&lt;/span&gt;","formatted_address":"19300 Ike Jones Rd, Santa Ana, CA 92707, USA","formatted_phone_number":"(714) 210-2945","geometry":{"location":{"lat":33.67422860000001,"lng":-117.8728233},"viewport":{"northeast":{"lat":33.6755775802915,"lng":-117.8714743197085},"southwest":{"lat":33.6728796197085,"lng":-117.8741722802915}}},"icon":"https://maps.gstatic.com/mapfiles/place_api/icons/v1/png_71/generic_business-71.png","id":null,"international_phone_number":"+1 714-210-2945","name":"Martin Aviation","place_id":"ChIJ2bOHhPze3IARqpe_AkG6kcw","rating":4.8,"reference":null,"reviews":[{"author_name":"G Moore","author_url":"https://www.google.com/maps/contrib/110601544393790581752/reviews","language":"en","profile_photo_url":"https://lh4.googleusercontent.com/-Aj4vwX314ZM/AAAAAAAAAAI/AAAAAAAAAAA/AMZuucmEjT3iJS9yAv4JbLKNaaSpGy8Kjw/s128-c0x00000000-cc-rp-mo/photo.jpg","rating":5,"relative_time_description":"a week ago","text":"Excellent museum of period aircraft, cars, motorcycles, and other displays.  Good signage, history, nice people.  Can get quite close to displays. Good views of active runways as well.","time":1612739116},{"author_name":"John Ferrari","author_url":"https://www.google.com/maps/contrib/104528263436352997791/reviews","language":"en","profile_photo_url":"https://lh5.googleusercontent.com/-fEe60m9C3nY/AAAAAAAAAAI/AAAAAAAAAAA/AMZuucmRnNFlLGZ3ws1EFbtOa5JhM3Fe5A/s128-c0x00000000-cc-rp-mo/photo.jpg","rating":5,"relative_time_description":"in the last week","text":"This is an incredible museum! Skip the docent gave us an incredible one on one tour. He is very knowledgeable and informative. Thank you Skip!","time":1613461858},{"author_name":"Hap Wood","author_url":"https://www.google.com/maps/contrib/115688186835760200149/reviews","language":"en","profile_photo_url":"https://lh6.googleusercontent.com/-tE9O-cSo9kE/AAAAAAAAAAI/AAAAAAAAAAA/AMZuucmpyEXdgbl1hkS5aozKhgJUfedCWw/s128-c0x00000000-cc-rp-mo/photo.jpg","rating":5,"relative_time_description":"a week ago","text":"Wonderful tour with David Speakman of the World War II aircraft and capital a n d motorcycles and the incredible vintage vehicles.  At the end opportunity for photo in front of aircraft.","time":1612715976},{"author_name":"Shawn Willis","author_url":"https://www.google.com/maps/contrib/104351443108705072870/reviews","language":"en","profile_photo_url":"https://lh3.googleusercontent.com/a-/AOh14Gj3EE7jEVWlwo_NIUtPLdanYblhPohkt_uW1mchFNQ=s128-c0x00000000-cc-rp-mo-ba3","rating":5,"relative_time_description":"3 months ago","text":"Great little museum. Theve got some really neat stuff. You can get around the whole place pretty quick, but the docents always have fun stories and the items change as well.","time":1605044868},{"author_name":"Daner Reider","author_url":"https://www.google.com/maps/contrib/111792364258352298927/reviews","language":"en","profile_photo_url":"https://lh4.googleusercontent.com/-whxjfoECiws/AAAAAAAAAAI/AAAAAAAAAAA/AMZuuclQ0DFlSde7d1Rk8KWNfTdUZJyD9Q/s128-c0x00000000-cc-rp-mo/photo.jpg","rating":5,"relative_time_description":"5 months ago","text":"Multiple visits to Lyon Air Museum.\nNever disappointed as it is a very patriotic environment with working airplanes from WW Ii as well as very informative exhibits.\nHave had my grandsons there and will definitely visit again.","time":1600545143}],"types":["point_of_interest","store","establishment"],"url":"https://maps.google.com/?cid=14740767843742095274","utc_offset":-480,"vicinity":"19300 Ike Jones Road, Santa Ana","website":"http://martin-aviation.com/"},"status":"OK"}</t>
  </si>
  <si>
    <t>&lt;span class="street-address"&gt;19300 Ike Jones Rd&lt;/span&gt;, &lt;span class="locality"&gt;Santa Ana&lt;/span&gt;, &lt;span class="region"&gt;CA&lt;/span&gt; &lt;span class="postal-code"&gt;92707&lt;/span&gt;, &lt;span class="country-name"&gt;USA&lt;/span&gt;</t>
  </si>
  <si>
    <t>(714) 210-2945</t>
  </si>
  <si>
    <t>+1 714-210-2945</t>
  </si>
  <si>
    <t>19300 Ike Jones Road, Santa Ana</t>
  </si>
  <si>
    <t>http://martin-aviation.com/</t>
  </si>
  <si>
    <t>https://maps.googleapis.com/maps/api/place/findplacefromtext/json?input=AMERICAN%20AIRCRAFT%20MAINTENANCE%20INC%2019711-B%20CAMPUS%20DRIVE%20%20SANTA%20ANA%20CA%2092707&amp;key=AIzaSyAUoR1hu32epmid_r-h7_AiXQWhNu3zr3U&amp;inputtype=textquery&amp;fields=business_status,formatted_address,geometry,icon,name,permanently_closed,place_id,plus_code,types</t>
  </si>
  <si>
    <t>{"business_status":"OPERATIONAL","formatted_address":"19711 Campus Dr B, Santa Ana, CA 92707, United States","geometry":{"location":{"lat":33.6660928,"lng":-117.8718956},"viewport":{"northeast":{"lat":33.66715172989272,"lng":-117.8709949701073},"southwest":{"lat":33.66445207010728,"lng":-117.8736946298927}}},"icon":"https://maps.gstatic.com/mapfiles/place_api/icons/v1/png_71/shopping-71.png","name":"American Aircraft Maintenance","place_id":"ChIJleRT-VXe3IARZBkYFIAkDJo","plus_code":{"compound_code":"M48H+C6 Santa Ana, California","global_code":"8554M48H+C6"},"types":["point_of_interest","store","establishment"]}</t>
  </si>
  <si>
    <t>American Aircraft Maintenance</t>
  </si>
  <si>
    <t>ChIJleRT-VXe3IARZBkYFIAkDJo</t>
  </si>
  <si>
    <t>19711 Campus Dr B, Santa Ana, CA 92707, United States</t>
  </si>
  <si>
    <t>{"html_attributions":[],"result":{"address_components":[{"long_name":"B","short_name":"B","types":["subpremise"]},{"long_name":"19711","short_name":"19711","types":["street_number"]},{"long_name":"Campus Drive","short_name":"Campus Dr","types":["route"]},{"long_name":"Santa Ana","short_name":"Santa Ana","types":["locality","political"]},{"long_name":"Orange County","short_name":"Orange County","types":["administrative_area_level_2","political"]},{"long_name":"California","short_name":"CA","types":["administrative_area_level_1","political"]},{"long_name":"United States","short_name":"US","types":["country","political"]},{"long_name":"92707","short_name":"92707","types":["postal_code"]},{"long_name":"5203","short_name":"5203","types":["postal_code_suffix"]}],"adr_address":"&lt;span class=\"street-address\"&gt;19711 Campus Dr B&lt;/span&gt;, &lt;span class=\"locality\"&gt;Santa Ana&lt;/span&gt;, &lt;span class=\"region\"&gt;CA&lt;/span&gt; &lt;span class=\"postal-code\"&gt;92707-5203&lt;/span&gt;, &lt;span class=\"country-name\"&gt;USA&lt;/span&gt;","formatted_address":"19711 Campus Dr B, Santa Ana, CA 92707, USA","formatted_phone_number":"(949) 852-8420","geometry":{"location":{"lat":33.6660928,"lng":-117.8718956},"viewport":{"northeast":{"lat":33.6671508802915,"lng":-117.8709958197085},"southwest":{"lat":33.6644529197085,"lng":-117.8736937802915}}},"icon":"https://maps.gstatic.com/mapfiles/place_api/icons/v1/png_71/shopping-71.png","id":null,"international_phone_number":"+1 949-852-8420","name":"American Aircraft Maintenance","place_id":"ChIJleRT-VXe3IARZBkYFIAkDJo","rating":3.9,"reference":null,"reviews":[{"author_name":"Daniel Crawford","author_url":"https://www.google.com/maps/contrib/114901068946943424666/reviews","language":"en","profile_photo_url":"https://lh3.googleusercontent.com/a-/AOh14GgWibGzkr8NOrIQd4SK4qgvHpqVhtmdIPYBh4cr1wI=s128-c0x00000000-cc-rp-mo","rating":5,"relative_time_description":"8 months ago","text":"Have had our aircraft serviced here multiple times with great results. Management goes above and beyond to help satisfy their customers. Also, take that one star review with a grain of salt, reviewer has three reviews and they are almost identical.","time":1591650367},{"author_name":"S Stone","author_url":"https://www.google.com/maps/contrib/114134422321841543364/reviews","language":"en","profile_photo_url":"https://lh3.googleusercontent.com/a-/AOh14GhpmoUHtKGRjTHSQ6B1-_fp0JHkfYzcpbw3ly1P=s128-c0x00000000-cc-rp-mo","rating":5,"relative_time_description":"7 months ago","text":"Way to go AAM, keep the good works and professional service! Can’t be more happier with my PA-28’s pre buy inspection. Life saver! Trustworthy company! Highly recommend!","time":1594383145},{"author_name":"Wayne Harris","author_url":"https://www.google.com/maps/contrib/104572788944624718384/reviews","language":"en","profile_photo_url":"https://lh3.googleusercontent.com/a-/AOh14GjIGuuz68MENOHcUKabWoABtvcqMXJYVXobyHfT=s128-c0x00000000-cc-rp-mo","rating":1,"relative_time_description":"3 months ago","text":"We supplied parts to American Aircraft Maintenance requesting payment in full upon delivery.  This was over two months ago.  We get the run around every time we call.  One balk at payment was  an NSF check.  If this company is not honorable enough to pay their debts...can you trust them with you aircraft?","time":1605055712},{"author_name":"Love Planes","author_url":"https://www.google.com/maps/contrib/105916675593298608716/reviews","language":"en","profile_photo_url":"https://lh3.googleusercontent.com/a-/AOh14Gh9CFZvyGwZsqccNHPLH-T7GJV7oAECv-MsWEkoug=s128-c0x00000000-cc-rp-mo","rating":5,"relative_time_description":"7 months ago","text":"I have been AAM’s customer since 2010, they always take good care of me and my little 172. Good folks and reliable, I am a huge fun AAM!","time":1594381565},{"author_name":"Mike Dealin","author_url":"https://www.google.com/maps/contrib/107329105879570503799/reviews","language":"en","profile_photo_url":"https://lh5.googleusercontent.com/-aZ1VfcJnp9U/AAAAAAAAAAI/AAAAAAAAAAA/AMZuucmAj4btI8EqCM7ZA6rvxr2B0jLAsQ/s128-c0x00000000-cc-rp-mo/photo.jpg","rating":1,"relative_time_description":"10 months ago","text":"This is the most incompetent group of business people and mechanics you will ever come across. The main person in charge Lina is a criminal. Lina will manipulate and fraudulently misrepresent repairs and costs. We trusted AAM to work on our Bonanza and what should have taken 2-3 weeks took them 5 months.  We are in the midst of a 6 figure lawsuit for damages.\n\nFrom our research, we are one of several clients who have filed claims or complaints against this group. Please do not waste your money, time, and energy and find another mechanic.\n\nSincerely,\n\nMichael D.","time":1586466313}],"types":["point_of_interest","store","establishment"],"url":"https://maps.google.com/?cid=11100287314072967524","utc_offset":-480,"vicinity":"19711 Campus Drive B, Santa Ana","website":"http://aviation4s.com/"},"status":"OK"}</t>
  </si>
  <si>
    <t>&lt;span class="street-address"&gt;19711 Campus Dr B&lt;/span&gt;, &lt;span class="locality"&gt;Santa Ana&lt;/span&gt;, &lt;span class="region"&gt;CA&lt;/span&gt; &lt;span class="postal-code"&gt;92707-5203&lt;/span&gt;, &lt;span class="country-name"&gt;USA&lt;/span&gt;</t>
  </si>
  <si>
    <t>(949) 852-8420</t>
  </si>
  <si>
    <t>+1 949-852-8420</t>
  </si>
  <si>
    <t>19711 Campus Drive B, Santa Ana</t>
  </si>
  <si>
    <t>http://aviation4s.com/</t>
  </si>
  <si>
    <t>https://maps.googleapis.com/maps/api/place/findplacefromtext/json?input=LEADING%20EDGE%20AVIONICS%20INC%2019300%20Ike%20Jones%20Road%20%20Santa%20Ana%20CA%2092707&amp;key=AIzaSyAUoR1hu32epmid_r-h7_AiXQWhNu3zr3U&amp;inputtype=textquery&amp;fields=business_status,formatted_address,geometry,icon,name,permanently_closed,place_id,plus_code,types</t>
  </si>
  <si>
    <t>{"business_status":"OPERATIONAL","formatted_address":"19300 Ike Jones Dr, Santa Ana, CA 92707, United States","geometry":{"location":{"lat":33.6744828,"lng":-117.8724982},"viewport":{"northeast":{"lat":33.67540347989272,"lng":-117.8716465701073},"southwest":{"lat":33.67270382010727,"lng":-117.8743462298927}}},"icon":"https://maps.gstatic.com/mapfiles/place_api/icons/v1/png_71/generic_business-71.png","name":"Leading Edge Avionics","place_id":"ChIJGbFp-VXe3IARIg2BYY8oryU","plus_code":{"compound_code":"M4FH+Q2 Santa Ana, California","global_code":"8554M4FH+Q2"},"types":["point_of_interest","establishment"]}</t>
  </si>
  <si>
    <t>Leading Edge Avionics</t>
  </si>
  <si>
    <t>ChIJGbFp-VXe3IARIg2BYY8oryU</t>
  </si>
  <si>
    <t>19300 Ike Jones Dr, Santa Ana, CA 92707, United States</t>
  </si>
  <si>
    <t>{"html_attributions":[],"result":{"address_components":[{"long_name":"19300","short_name":"19300","types":["street_number"]},{"long_name":"Ike Jones Drive","short_name":"Ike Jones Dr","types":["route"]},{"long_name":"Santa Ana","short_name":"Santa Ana","types":["locality","political"]},{"long_name":"Orange County","short_name":"Orange County","types":["administrative_area_level_2","political"]},{"long_name":"California","short_name":"CA","types":["administrative_area_level_1","political"]},{"long_name":"United States","short_name":"US","types":["country","political"]},{"long_name":"92707","short_name":"92707","types":["postal_code"]}],"adr_address":"&lt;span class=\"street-address\"&gt;19300 Ike Jones Dr&lt;/span&gt;, &lt;span class=\"locality\"&gt;Santa Ana&lt;/span&gt;, &lt;span class=\"region\"&gt;CA&lt;/span&gt; &lt;span class=\"postal-code\"&gt;92707&lt;/span&gt;, &lt;span class=\"country-name\"&gt;USA&lt;/span&gt;","formatted_address":"19300 Ike Jones Dr, Santa Ana, CA 92707, USA","formatted_phone_number":"(714) 955-6151","geometry":{"location":{"lat":33.6744828,"lng":-117.8724982},"viewport":{"northeast":{"lat":33.67540263029149,"lng":-117.8716474197085},"southwest":{"lat":33.67270466970849,"lng":-117.8743453802915}}},"icon":"https://maps.gstatic.com/mapfiles/place_api/icons/v1/png_71/generic_business-71.png","id":null,"international_phone_number":"+1 714-955-6151","name":"Leading Edge Avionics","place_id":"ChIJGbFp-VXe3IARIg2BYY8oryU","rating":3.2,"reference":null,"reviews":[{"author_name":"Mike Manclark","author_url":"https://www.google.com/maps/contrib/105107687896841742069/reviews","language":"en","profile_photo_url":"https://lh3.googleusercontent.com/a-/AOh14GgeqwXl9w6jTbEpARdKZAaOlyLlp3kPlRUV9Ah4G8k=s128-c0x00000000-cc-rp-mo-ba4","rating":5,"relative_time_description":"2 years ago","text":"They have done over 7 aircraft for me and have done a great job!! The staff is highly experienced and professional","time":1543622255},{"author_name":"D P","author_url":"https://www.google.com/maps/contrib/107668208424852071383/reviews","language":"en","profile_photo_url":"https://lh3.googleusercontent.com/a-/AOh14GiJCNP28IhuXXu3-P0q286soxLBnj64LBLznPEM=s128-c0x00000000-cc-rp-mo","rating":1,"relative_time_description":"2 years ago","text":"Although I was told by three other pilots not to use Leading Edge Avionics. Because the price you get is always inflated some how at the end. I told them I’ve worked with Scott Gregory before and had a good experience. Well they were right Scott Promises things he can’t even remember. I was trading in my 430 transponder and he was going to give me $4000 each I thought! I told him two other shops we’re going to give me $5000 each and the other one $6000 each for trade in. I had two transponders. Well Scott changed his trade in value to $5500. I thought that was fair and we continued on doing the work.  I bought a JPI 960, Garman 750, Garman 650, Garman audio panel GMA 35C remote, Garman G5, Garman GTX 345R and a JPI EDM 960 with fuel flow. We agreed that my mechanic would do ahead and hook up the probes and calibrate the fuel for the JPI. Well Scott filled out the paperwork wrong for JPI, That cost me 10 hours of my mechanics time to correct the problem. But leading edge will not stand behind their mistakes. To my surprise when I got my bill Scott took avantage of me and only give me $2750 per transponder. Every time I tried to bring this up to Scott he skirts around me and had Maggie call me from accounting. I was told that the owner Katherine said “We cannot do any more adjustments on invoices since we are way over on the job hour and it’ll just have to be the way it came out” I’m sure the job went way over because of the mistakes that were made by Scott and Leading Edge. One of the mistakes could’ve been deadly, when they tried to stack The right and left engine JPI warning gages on top of each other. I called the manufacture JPI and they said there is no way that they sould do that it is not safe. those of you that Fly twins know we want to identify the out engine immediately. By the way after three months my airplane is still not complete. If you really feel you’re still going to use these jokers after this asked for Zack he seems to know his stuff and Tim and Mike who are great avionic mechanics, they must shake their head daily dealing with Scott. I’m sure Scott would be fired if he was not 10% owner","time":1538259388},{"author_name":"David Klasing Esq CPA","author_url":"https://www.google.com/maps/contrib/106224261089439233663/reviews","language":"en","profile_photo_url":"https://lh3.googleusercontent.com/a-/AOh14GiwBR3GaEQLZ2nqbPOZwBODUQiZbjy-hu6TaLvSwg=s128-c0x00000000-cc-rp-mo","rating":5,"relative_time_description":"2 years ago","text":"I have been a loyal customer of first, Western Avionics and now, Leading Edge Avionics for about four years now.   They are extremely popular at John Wayne and almost always have a back log of current work. But… like any agency that is phenomenal at what they do…  Well worth the wait and do not disappoint.  I have had them perform all of my normal maintenance and have had them even make substantial improvements to my avionics.   Scott Gregory and his crew of loyal and talented and safety focused techs are always very interested in what my goals are for my avionics based on the missions I fly and the manner in which I want to fly them and safety is goal number one.    When I first went to see them I had steam gauges and a non WAAS Garmin 530.    I was going after my IFR rating and was absolutely paranoid about losing attitude information in IMC, CFIT, Mid Air Collisions, icing and a host of other gotcha’s.   I was intent upon making my airplane and myself as a pilot as safe as possible.    To that end Scott recommended an Upgrade of my 530 so it was WAAS certified.   With that he recommended a GDL 88, Flight Stream 210 and a few other modifications.   The end result is that I had the ability of syncing my IPAD through foreflight to the Garmin 530 with handy features like rubber banking around a storm cell,  real time weather products, Collision Alerts,  Terrain Alerts, TFR alerts, Synthetic Vision, ADS B in and out and auto uploading of my flight plan to the Garmin 530 which saves hours of tedious knob turning.\n\nIn my next round of upgrades I had this phenomenal outfit install a Garmin GFC 500 autopilot.   The system is absolutely incredible.   I now have a fully slaved Magnetometer driven HSI and a backup attitude indicator that functions as a fully redundant AHRS via two Garmin G5’s.  The installation took longer than expected because of unforeseen installation challenges endured by Leading Edge.   They kept their verbal promise of a cap on labor for the installation that contractually they did not have to honor.   The installation led to a few unforeseen squawks in my avionics and they were Johnny on the spot with making the necessary repairs in the debugging stage after the installation.\n\nMy plane on autopilot feels just as smooth as a 737.  The system is absolutely incredible and the auto leveling capability, ESP and overspeed and under speed protection makes single pilot IFR so much more doable.   Shooting fully coupled approaches could not be easier and frankly the autopilot flies the plane much more accurately than I have ever been able to on my own.\n\nOverall – I highly recommend this company.  They are experts at what they do, honest, reliable and stand behind their work product.  Their expertise in the industry is unsurpassed and if you have to wait for them…  They are well worth the wait.    Additionally they are not the cheapest folks in the game but I’m a firm believer in you get what you pay for.    Their manager, Tim Jones, kept me well informed during the install and they went above the call of duty to make sure I was totally satisfied.  I was welcome to drop by and take a look at their progress without advanced notice at will.  I was always made to feel welcome and they answered all of my questions without hesitation.\n\nP.S. Just this morning I was met at my plane by a tech named Mike from leading edge at 6:30 in the morning that states he had been there since 4:30 AM making sure my plane was safe for this morning’s IFR trip out to Bakersfield and back…  Absolutely above and beyond.   He was there testing that the few squawk’s I had regarding my autopilot install were fixed to my satisfaction.  He wanted to test that my second radio could be read 5/5 by the tower and that it had tested just fine on his hand held.  He stated “this is not special treatment – we are this contentious with all our customers…  Amazing\n\nDave Klasing Esq. M.S.-Tax CPA","time":1530301023},{"author_name":"Mark McDonald","author_url":"https://www.google.com/maps/contrib/107169362511544518615/reviews","language":"en","profile_photo_url":"https://lh3.googleusercontent.com/a-/AOh14Ggf8pq_fG7s3VQTZfYy9dsyMk9AT8zgXavCwLZ9-Zk=s128-c0x00000000-cc-rp-mo","rating":1,"relative_time_description":"3 years ago","text":"I hired this company to install 2 used MX300 Nav/Coms, a glideslope indicator and a glideslope receiver in a 1976 Cessna 172. Their quote for the complete install job was $5000.  Some of the equipment i provided needed repair before it could be installed, something that added about $1000 to the job.  No problem.  However, my final invoice was a staggering $8823.21.  The $5000 estimate for labor to install the equipment jumped to $7628.21 with absolutely no explanation for the jump in labor of $2628.21 (21 unaccounted for labor hours).  The total install time was an amazing 59 hours!  I never gave approval for all of the extra, and still unexplained labor hours.  I simply received the final invoice and it was promptly charged to my card.   By law, automotive repair facilities can not deviate from an estimate without customer's prior approval.  I am confident the rules are the same for avionics shops.\nLeading Edge never notified my of a need for 21 extra hours of labor at $125/hr. before performing it.  So, if you get a quote for work, expect your final bill to be more then 50% higher than the estimate, and with no advance notice.  Be very careful.","time":1509812159},{"author_name":"Jason Schmitz","author_url":"https://www.google.com/maps/contrib/103516071614816656819/reviews","language":"en","profile_photo_url":"https://lh3.googleusercontent.com/a-/AOh14GimZdxKhpeq30pr5Ls4aqXDsWouK04sgNC3SXAb=s128-c0x00000000-cc-rp-mo-ba5","rating":4,"relative_time_description":"4 years ago","text":"Good location.","time":1462800989}],"types":["point_of_interest","establishment"],"url":"https://maps.google.com/?cid=2715433696608980258","utc_offset":-480,"vicinity":"19300 Ike Jones Drive, Santa Ana","website":"http://www.leavionics.com/"},"status":"OK"}</t>
  </si>
  <si>
    <t>&lt;span class="street-address"&gt;19300 Ike Jones Dr&lt;/span&gt;, &lt;span class="locality"&gt;Santa Ana&lt;/span&gt;, &lt;span class="region"&gt;CA&lt;/span&gt; &lt;span class="postal-code"&gt;92707&lt;/span&gt;, &lt;span class="country-name"&gt;USA&lt;/span&gt;</t>
  </si>
  <si>
    <t>(714) 955-6151</t>
  </si>
  <si>
    <t>+1 714-955-6151</t>
  </si>
  <si>
    <t>19300 Ike Jones Drive, Santa Ana</t>
  </si>
  <si>
    <t>http://www.leavionics.com/</t>
  </si>
  <si>
    <t>https://maps.googleapis.com/maps/api/place/findplacefromtext/json?input=KIM%20DAVIDSON%20AVIATION%20INC%202701%20AIRPORT%20AVE.%20%20SANTA%20MONICA%20CA%2090405&amp;key=AIzaSyAUoR1hu32epmid_r-h7_AiXQWhNu3zr3U&amp;inputtype=textquery&amp;fields=business_status,formatted_address,geometry,icon,name,permanently_closed,place_id,plus_code,types</t>
  </si>
  <si>
    <t>{"business_status":"OPERATIONAL","formatted_address":"2701 Airport Ave, Santa Monica, CA 90405, United States","geometry":{"location":{"lat":34.0126431,"lng":-118.4522867},"viewport":{"northeast":{"lat":34.01392162989272,"lng":-118.4508689201073},"southwest":{"lat":34.01122197010728,"lng":-118.4535685798927}}},"icon":"https://maps.gstatic.com/mapfiles/place_api/icons/v1/png_71/generic_business-71.png","name":"Kim Davidson Aviation Inc","place_id":"ChIJZW1UbeO6woARUh3Ly28YaPw","plus_code":{"compound_code":"2G7X+33 Santa Monica, California","global_code":"85632G7X+33"},"types":["point_of_interest","establishment"]}</t>
  </si>
  <si>
    <t>Kim Davidson Aviation Inc</t>
  </si>
  <si>
    <t>ChIJZW1UbeO6woARUh3Ly28YaPw</t>
  </si>
  <si>
    <t>2701 Airport Ave, Santa Monica, CA 90405, United States</t>
  </si>
  <si>
    <t>{"html_attributions":[],"result":{"address_components":[{"long_name":"2701","short_name":"2701","types":["street_number"]},{"long_name":"Airport Avenue","short_name":"Airport Ave","types":["route"]},{"long_name":"Sunset Park","short_name":"Sunset Park","types":["neighborhood","political"]},{"long_name":"Santa Monica","short_name":"Santa Monica","types":["locality","political"]},{"long_name":"Los Angeles County","short_name":"Los Angeles County","types":["administrative_area_level_2","political"]},{"long_name":"California","short_name":"CA","types":["administrative_area_level_1","political"]},{"long_name":"United States","short_name":"US","types":["country","political"]},{"long_name":"90405","short_name":"90405","types":["postal_code"]},{"long_name":"6105","short_name":"6105","types":["postal_code_suffix"]}],"adr_address":"&lt;span class=\"street-address\"&gt;2701 Airport Ave&lt;/span&gt;, &lt;span class=\"locality\"&gt;Santa Monica&lt;/span&gt;, &lt;span class=\"region\"&gt;CA&lt;/span&gt; &lt;span class=\"postal-code\"&gt;90405-6105&lt;/span&gt;, &lt;span class=\"country-name\"&gt;USA&lt;/span&gt;","formatted_address":"2701 Airport Ave, Santa Monica, CA 90405, USA","formatted_phone_number":"(310) 391-6293","geometry":{"location":{"lat":34.0126431,"lng":-118.4522867},"viewport":{"northeast":{"lat":34.0139207802915,"lng":-118.4508697697085},"southwest":{"lat":34.0112228197085,"lng":-118.4535677302915}}},"icon":"https://maps.gstatic.com/mapfiles/place_api/icons/v1/png_71/generic_business-71.png","id":null,"international_phone_number":"+1 310-391-6293","name":"Kim Davidson Aviation Inc","place_id":"ChIJZW1UbeO6woARUh3Ly28YaPw","rating":5.0,"reference":null,"reviews":[{"author_name":"DJ Jenkins","author_url":"https://www.google.com/maps/contrib/104388519311838605427/reviews","language":"en","profile_photo_url":"https://lh4.googleusercontent.com/-nKyMhDpfV8E/AAAAAAAAAAI/AAAAAAAAAAA/AMZuucmQ_SN7Kgn8eNanBnUJzbmBeFCitQ/s128-c0x00000000-cc-rp-mo/photo.jpg","rating":5,"relative_time_description":"2 months ago","text":"Truly a class act. Kim is the best they come, and his team is just the same! Best service in the business.  Don’t hesitate to schedule your service with Davidson’s shop, and know you are getting the best in the biz!!!!","time":1606936117},{"author_name":"Gino Sesto","author_url":"https://www.google.com/maps/contrib/117781100504418417164/reviews","language":"en","profile_photo_url":"https://lh3.googleusercontent.com/a-/AOh14GjM02hH8tdEKilXjPrAIu1Pwgic3JTzply6pbIA6Q=s128-c0x00000000-cc-rp-mo-ba3","rating":5,"relative_time_description":"a year ago","text":"Straight up professional.  Been recently super impressed by these guys.  Going above and beyond to help out their customers.  I want to say I really appreciate it!","time":1556325515},{"author_name":"Heidi Davidson","author_url":"https://www.google.com/maps/contrib/110718457006823222763/reviews","language":"en","profile_photo_url":"https://lh5.googleusercontent.com/-2iOragHacvY/AAAAAAAAAAI/AAAAAAAAAAA/AMZuuckxszQ2mPoZSQpS-trzglhc6vNINA/s128-c0x00000000-cc-rp-mo/photo.jpg","rating":5,"relative_time_description":"2 years ago","text":"Best service ever","time":1537508188},{"author_name":"Gabe Lakatosh","author_url":"https://www.google.com/maps/contrib/112222947575928834808/reviews","language":null,"profile_photo_url":"https://lh3.googleusercontent.com/a-/AOh14Gh4GRhvFKgjTniAKSxqbt4wVaxqEzX2euKFDiWJ=s128-c0x00000000-cc-rp-mo-ba4","rating":5,"relative_time_description":"6 months ago","text":"","time":1595806153}],"types":["point_of_interest","establishment"],"url":"https://maps.google.com/?cid=18187813963575270738","utc_offset":-480,"vicinity":"2701 Airport Avenue, Santa Monica","website":"http://www.kdasmo.com/"},"status":"OK"}</t>
  </si>
  <si>
    <t>&lt;span class="street-address"&gt;2701 Airport Ave&lt;/span&gt;, &lt;span class="locality"&gt;Santa Monica&lt;/span&gt;, &lt;span class="region"&gt;CA&lt;/span&gt; &lt;span class="postal-code"&gt;90405-6105&lt;/span&gt;, &lt;span class="country-name"&gt;USA&lt;/span&gt;</t>
  </si>
  <si>
    <t>(310) 391-6293</t>
  </si>
  <si>
    <t>+1 310-391-6293</t>
  </si>
  <si>
    <t>2701 Airport Avenue, Santa Monica</t>
  </si>
  <si>
    <t>http://www.kdasmo.com/</t>
  </si>
  <si>
    <t>https://maps.googleapis.com/maps/api/place/findplacefromtext/json?input=%2B18187878500 &amp;inputtype=phonenumber&amp;fields=business_status,formatted_address,geometry,icon,name,permanently_closed,place_id,plus_code,types&amp;key=AIzaSyAUoR1hu32epmid_r-h7_AiXQWhNu3zr3U</t>
  </si>
  <si>
    <t>{"business_status":"OPERATIONAL","formatted_address":"7240 Hayvenhurst Pl #247, Van Nuys, CA 91406, USA","geometry":{"location":{"lat":34.2040976,"lng":-118.4921482},"viewport":{"northeast":{"lat":34.2054461302915,"lng":-118.4909348197085},"southwest":{"lat":34.2027481697085,"lng":-118.4936327802915}}},"icon":"https://maps.gstatic.com/mapfiles/place_api/icons/v1/png_71/school-71.png","name":"Mach 1 Aviation","place_id":"ChIJdzAi__uZwoARfgDqdi1xJ9U","plus_code":{"compound_code":"6G35+J4 Van Nuys, Los Angeles, CA, USA","global_code":"85636G35+J4"},"types":["university","point_of_interest","establishment"]}</t>
  </si>
  <si>
    <t>Mach 1 Aviation</t>
  </si>
  <si>
    <t>ChIJdzAi__uZwoARfgDqdi1xJ9U</t>
  </si>
  <si>
    <t>7240 Hayvenhurst Pl #247, Van Nuys, CA 91406, USA</t>
  </si>
  <si>
    <t>{"html_attributions":[],"result":{"address_components":[{"long_name":"247","short_name":"247","types":["subpremise"]},{"long_name":"7240","short_name":"7240","types":["street_number"]},{"long_name":"Hayvenhurst Place","short_name":"Hayvenhurst Pl","types":["route"]},{"long_name":"Van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States","short_name":"US","types":["country","political"]},{"long_name":"91406","short_name":"91406","types":["postal_code"]}],"adr_address":"&lt;span class=\"street-address\"&gt;7240 Hayvenhurst Pl #247&lt;/span&gt;, &lt;span class=\"locality\"&gt;Van Nuys&lt;/span&gt;, &lt;span class=\"region\"&gt;CA&lt;/span&gt; &lt;span class=\"postal-code\"&gt;91406&lt;/span&gt;, &lt;span class=\"country-name\"&gt;USA&lt;/span&gt;","formatted_address":"7240 Hayvenhurst Pl #247, Van Nuys, CA 91406, USA","formatted_phone_number":"(818) 787-8500","geometry":{"location":{"lat":34.2040976,"lng":-118.4921482},"viewport":{"northeast":{"lat":34.2054461302915,"lng":-118.4909348197085},"southwest":{"lat":34.2027481697085,"lng":-118.4936327802915}}},"icon":"https://maps.gstatic.com/mapfiles/place_api/icons/v1/png_71/school-71.png","id":null,"international_phone_number":"+1 818-787-8500","name":"Mach 1 Aviation","place_id":"ChIJdzAi__uZwoARfgDqdi1xJ9U","rating":4.7,"reference":null,"reviews":[{"author_name":"dario miceli","author_url":"https://www.google.com/maps/contrib/100397630348529624493/reviews","language":"en","profile_photo_url":"https://lh4.googleusercontent.com/-4aUsKRNVRTo/AAAAAAAAAAI/AAAAAAAAAAA/AMZuucmAP9g46U3lo8CJSCirlLrfvXYUEQ/s128-c0x00000000-cc-rp-mo/photo.jpg","rating":5,"relative_time_description":"3 weeks ago","text":"Mach 1 Aviation is an amazing flight school. I flew with Kyle in the summer of 2020 and can't say enough good things. The instruction was professional, the planes were meticulously maintained and the front desk staff was kind and helpful. Highly recommended!","time":1611185767},{"author_name":"Charles Raffini","author_url":"https://www.google.com/maps/contrib/108612018659141943160/reviews","language":"en","profile_photo_url":"https://lh6.googleusercontent.com/-_huijrVLD88/AAAAAAAAAAI/AAAAAAAAAAA/AMZuucknYdWuYSqnc82HVnvChWW28WxdXg/s128-c0x00000000-cc-rp-mo/photo.jpg","rating":5,"relative_time_description":"7 months ago","text":"Have been lucky enough to get ratings at some of the best flight schools in the country (Riddle, Flight Safety) and Mach 1 meets, if not exceeds, the quality of instruction at these places. Their instructors (particular shout out to Alex) are remarkable and they have me on track and feeling good about my upcoming Commercial exams. Best fleet that I know of in the area - C152 up to to SR22, all very well maintained. Would recommend Mach 1 to anyone seeking to begin or continue their flight training.","time":1594698640},{"author_name":"Alejandro Victorero","author_url":"https://www.google.com/maps/contrib/108248262702406038293/reviews","language":"en","profile_photo_url":"https://lh3.googleusercontent.com/a-/AOh14Gjn5HPjFnoRl0fVEPqeApPV9JXZN5THmg2X0MDv_g=s128-c0x00000000-cc-rp-mo","rating":5,"relative_time_description":"2 months ago","text":"Mach 1 is everything you hope an elite flight school would be. Excellent service and treatment. Rigorously maintained aircraft which includes several Cirrus SR 20 / 22. Spotless installations. Truly great instructors. My personal experience has been much better than expected. My instructor, Anita, is extremely good, profesional and knowledgeable. You truly feel that they care about you learning things the right way and making you a safe and proficient pilot. Located at KVNY, you learn in a fast paced airport environment that prepares you to fly anywhere in the world. SoCal weather and sunsets make it the best location, period.","time":1607928225},{"author_name":"Andrew Gerberi","author_url":"https://www.google.com/maps/contrib/113259530702128611637/reviews","language":"en","profile_photo_url":"https://lh3.googleusercontent.com/a-/AOh14Gj6hTXG_YJQM_iMSABWgMAXj-bKXEVeOkfGtnU2EbU=s128-c0x00000000-cc-rp-mo","rating":5,"relative_time_description":"6 months ago","text":"Alex and the team at Mach 1 Aviation set a high standard for what a flight school and flight instruction should be. Well maintained aircraft, thorough instruction, and a great location make Mach 1 a perfect fit up at their home base in VNY. I look forward to continuing my pursuit of aviation with Mach 1 and highly recommend them for anyone either just getting started or further along in their pilot experience. Big shout out for their awesome Cirrus fleet!","time":1595773813},{"author_name":"Jason Kay","author_url":"https://www.google.com/maps/contrib/102343362030922413015/reviews","language":"en","profile_photo_url":"https://lh3.googleusercontent.com/a-/AOh14Gjw4yJisax5tc_6PBxS1L-BtvIgSgmfXhnFANr-OA=s128-c0x00000000-cc-rp-mo","rating":5,"relative_time_description":"6 years ago","text":"I have been flying with Mach 1 since their inception. The staff is always friendly, the instructors are top-notch and I love their aircraft! The online scheduling of aircraft and instructors is great too... Very user friendly. When taking passengers on flights, they always compliment on how professional and impressive the facility is as we walk to the plane.","time":1398962828}],"types":["university","point_of_interest","establishment"],"url":"https://maps.google.com/?cid=15359369494252879998","utc_offset":-480,"vicinity":"7240 Hayvenhurst Place #247, Van Nuys","website":"http://www.flymach1.com/"},"status":"OK"}</t>
  </si>
  <si>
    <t>&lt;span class="street-address"&gt;7240 Hayvenhurst Pl #247&lt;/span&gt;, &lt;span class="locality"&gt;Van Nuys&lt;/span&gt;, &lt;span class="region"&gt;CA&lt;/span&gt; &lt;span class="postal-code"&gt;91406&lt;/span&gt;, &lt;span class="country-name"&gt;USA&lt;/span&gt;</t>
  </si>
  <si>
    <t>(818) 787-8500</t>
  </si>
  <si>
    <t>+1 818-787-8500</t>
  </si>
  <si>
    <t>7240 Hayvenhurst Place #247, Van Nuys</t>
  </si>
  <si>
    <t>http://www.flymach1.com/</t>
  </si>
  <si>
    <t>https://maps.googleapis.com/maps/api/place/findplacefromtext/json?input=%2B18189897900&amp;inputtype=phonenumber&amp;fields=business_status,formatted_address,geometry,icon,name,permanently_closed,place_id,plus_code,types&amp;key=AIzaSyAUoR1hu32epmid_r-h7_AiXQWhNu3zr3U</t>
  </si>
  <si>
    <t>{"business_status":"OPERATIONAL","formatted_address":"7120 Hayvenhurst Ave # 309, Van Nuys, CA 91406, USA","geometry":{"location":{"lat":34.20003779999999,"lng":-118.492084},"viewport":{"northeast":{"lat":34.20138618029149,"lng":-118.4905911197085},"southwest":{"lat":34.19868821970849,"lng":-118.4932890802915}}},"icon":"https://maps.gstatic.com/mapfiles/place_api/icons/v1/png_71/generic_business-71.png","name":"Chrysler Aviation Inc","place_id":"ChIJMfkSVOOZwoARp1DmPAu66M4","plus_code":{"compound_code":"6G25+25 Van Nuys, Los Angeles, CA, USA","global_code":"85636G25+25"},"types":["point_of_interest","establishment"]}</t>
  </si>
  <si>
    <t>Chrysler Aviation Inc</t>
  </si>
  <si>
    <t>ChIJMfkSVOOZwoARp1DmPAu66M4</t>
  </si>
  <si>
    <t>7120 Hayvenhurst Ave # 309, Van Nuys, CA 91406, USA</t>
  </si>
  <si>
    <t>{"html_attributions":[],"result":{"address_components":[{"long_name":"# 309","short_name":"# 309","types":["subpremise"]},{"long_name":"7120","short_name":"7120","types":["street_number"]},{"long_name":"Hayvenhurst Avenue","short_name":"Hayvenhurst Ave","types":["route"]},{"long_name":"Van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States","short_name":"US","types":["country","political"]},{"long_name":"91406","short_name":"91406","types":["postal_code"]},{"long_name":"3836","short_name":"3836","types":["postal_code_suffix"]}],"adr_address":"&lt;span class=\"street-address\"&gt;7120 Hayvenhurst Ave # 309&lt;/span&gt;, &lt;span class=\"locality\"&gt;Van Nuys&lt;/span&gt;, &lt;span class=\"region\"&gt;CA&lt;/span&gt; &lt;span class=\"postal-code\"&gt;91406-3836&lt;/span&gt;, &lt;span class=\"country-name\"&gt;USA&lt;/span&gt;","formatted_address":"7120 Hayvenhurst Ave # 309, Van Nuys, CA 91406, USA","formatted_phone_number":"(818) 989-7900","geometry":{"location":{"lat":34.20003779999999,"lng":-118.492084},"viewport":{"northeast":{"lat":34.20138618029149,"lng":-118.4905911197085},"southwest":{"lat":34.19868821970849,"lng":-118.4932890802915}}},"icon":"https://maps.gstatic.com/mapfiles/place_api/icons/v1/png_71/generic_business-71.png","id":null,"international_phone_number":"+1 818-989-7900","name":"Chrysler Aviation Inc","place_id":"ChIJMfkSVOOZwoARp1DmPAu66M4","rating":null,"reference":null,"reviews":null,"types":["point_of_interest","establishment"],"url":"https://maps.google.com/?cid=14909371123839160487","utc_offset":-480,"vicinity":"7120 Hayvenhurst Avenue # 309, Van Nuys","website":"http://www.chrysleraviation.com/"},"status":"OK"}</t>
  </si>
  <si>
    <t>&lt;span class="street-address"&gt;7120 Hayvenhurst Ave # 309&lt;/span&gt;, &lt;span class="locality"&gt;Van Nuys&lt;/span&gt;, &lt;span class="region"&gt;CA&lt;/span&gt; &lt;span class="postal-code"&gt;91406-3836&lt;/span&gt;, &lt;span class="country-name"&gt;USA&lt;/span&gt;</t>
  </si>
  <si>
    <t>+1 818-989-7900</t>
  </si>
  <si>
    <t>7120 Hayvenhurst Avenue # 309, Van Nuys</t>
  </si>
  <si>
    <t>http://www.chrysleraviation.com/</t>
  </si>
  <si>
    <t>https://maps.googleapis.com/maps/api/place/findplacefromtext/json?input=%2B18189892900&amp;inputtype=phonenumber&amp;fields=business_status,formatted_address,geometry,icon,name,permanently_closed,place_id,plus_code,types&amp;key=AIzaSyAUoR1hu32epmid_r-h7_AiXQWhNu3zr3U</t>
  </si>
  <si>
    <t>{"business_status":"OPERATIONAL","formatted_address":"7435 Valjean Ave, Van Nuys, CA 91406, USA","geometry":{"location":{"lat":34.20599790000001,"lng":-118.4864597},"viewport":{"northeast":{"lat":34.20716048029151,"lng":-118.4849657697085},"southwest":{"lat":34.20446251970851,"lng":-118.4876637302915}}},"icon":"https://maps.gstatic.com/mapfiles/place_api/icons/v1/png_71/generic_business-71.png","name":"Clay Lacy Aviation - Van Nuys","place_id":"ChIJswhjGVaXwoARM9n6GHqPvqE","plus_code":{"compound_code":"6G47+9C Van Nuys, Los Angeles, CA, USA","global_code":"85636G47+9C"},"types":["point_of_interest","store","establishment"]}</t>
  </si>
  <si>
    <t>Clay Lacy Aviation - Van Nuys</t>
  </si>
  <si>
    <t>ChIJswhjGVaXwoARM9n6GHqPvqE</t>
  </si>
  <si>
    <t>7435 Valjean Ave, Van Nuys, CA 91406, USA</t>
  </si>
  <si>
    <t>{"html_attributions":[],"result":{"address_components":[{"long_name":"7435","short_name":"7435","types":["street_number"]},{"long_name":"Valjean Avenue","short_name":"Valjean Ave","types":["route"]},{"long_name":"Van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States","short_name":"US","types":["country","political"]},{"long_name":"91406","short_name":"91406","types":["postal_code"]}],"adr_address":"&lt;span class=\"street-address\"&gt;7435 Valjean Ave&lt;/span&gt;, &lt;span class=\"locality\"&gt;Van Nuys&lt;/span&gt;, &lt;span class=\"region\"&gt;CA&lt;/span&gt; &lt;span class=\"postal-code\"&gt;91406&lt;/span&gt;, &lt;span class=\"country-name\"&gt;USA&lt;/span&gt;","formatted_address":"7435 Valjean Ave, Van Nuys, CA 91406, USA","formatted_phone_number":"(818) 989-2900","geometry":{"location":{"lat":34.20599790000001,"lng":-118.4864597},"viewport":{"northeast":{"lat":34.20716048029151,"lng":-118.4849657697085},"southwest":{"lat":34.20446251970851,"lng":-118.4876637302915}}},"icon":"https://maps.gstatic.com/mapfiles/place_api/icons/v1/png_71/generic_business-71.png","id":null,"international_phone_number":"+1 818-989-2900","name":"Clay Lacy Aviation - Van Nuys","place_id":"ChIJswhjGVaXwoARM9n6GHqPvqE","rating":3.9,"reference":null,"reviews":[{"author_name":"a b","author_url":"https://www.google.com/maps/contrib/114458764210786719720/reviews","language":"en","profile_photo_url":"https://lh3.googleusercontent.com/a-/AOh14GgcxMsOn_UQn5K-fFrFqPwvl0OLPcilAgLj0Arj=s128-c0x00000000-cc-rp-mo","rating":1,"relative_time_description":"a month ago","text":"Horribly experience flying with them. Was treated poorly and unprofessionally. I recommend anywhere else.","time":1609841261},{"author_name":"Daniel Claros","author_url":"https://www.google.com/maps/contrib/116141953943304314167/reviews","language":"en","profile_photo_url":"https://lh4.googleusercontent.com/-zq9M_ydqMjs/AAAAAAAAAAI/AAAAAAAAAAA/AMZuuckMgeG7_qzKIg0xsX5bZs2ZNIwjqw/s128-c0x00000000-cc-rp-mo/photo.jpg","rating":1,"relative_time_description":"a week ago","text":"EMPLOYEES ARE A BUNCH OF UNEDUCATED NO MANNERS DIRTY LOOKING CHEAP LOWLIFES","time":1612863030},{"author_name":"Don Kracl","author_url":"https://www.google.com/maps/contrib/117924890907486116726/reviews","language":"en","profile_photo_url":"https://lh3.googleusercontent.com/a-/AOh14Gg_Jyes2O_0N0MbrPCtn9UJiQpjkB4M5Lq5nHJoSw=s128-c0x00000000-cc-rp-mo-ba4","rating":5,"relative_time_description":"a month ago","text":"Very busy! But they provide excellent customer service to get you in and out to the best of their ability","time":1608468535},{"author_name":"David Fairfax","author_url":"https://www.google.com/maps/contrib/114494520333444042062/reviews","language":"en","profile_photo_url":"https://lh3.googleusercontent.com/-Cx_dmCOt2uI/AAAAAAAAAAI/AAAAAAAAAAA/AMZuucnGvuRIZdc0QNCOHnXrva0dj4FExQ/s128-c0x00000000-cc-rp-mo-ba4/photo.jpg","rating":5,"relative_time_description":"2 months ago","text":"Ashley was so helpful! Staff is always Great.","time":1607985299},{"author_name":"Jessica Satterfield","author_url":"https://www.google.com/maps/contrib/117800920357177403521/reviews","language":"en","profile_photo_url":"https://lh3.googleusercontent.com/a-/AOh14GjXlp466eLSJlw2VE0I1_NPSWiA05RxOC1BqXBGrg=s128-c0x00000000-cc-rp-mo","rating":5,"relative_time_description":"6 months ago","text":"Would recommend! Staff was so sweet and the flights were smooth. I was a bit nervous bc of all the bad reviews. But the more I read them, the more I realized they were not written by people who actually used Clay Lacy Aviation. From what I can tell there was an incident that happened with some employees and the general public. Oh and someone owes someone $500 lol. But it was not reflective of the service I received. Great experience!","time":1596598797}],"types":["point_of_interest","store","establishment"],"url":"https://maps.google.com/?cid=11654910640249297203","utc_offset":-480,"vicinity":"7435 Valjean Avenue, Van Nuys","website":"http://www.claylacy.com/"},"status":"OK"}</t>
  </si>
  <si>
    <t>&lt;span class="street-address"&gt;7435 Valjean Ave&lt;/span&gt;, &lt;span class="locality"&gt;Van Nuys&lt;/span&gt;, &lt;span class="region"&gt;CA&lt;/span&gt; &lt;span class="postal-code"&gt;91406&lt;/span&gt;, &lt;span class="country-name"&gt;USA&lt;/span&gt;</t>
  </si>
  <si>
    <t>+1 818-989-2900</t>
  </si>
  <si>
    <t>7435 Valjean Avenue, Van Nuys</t>
  </si>
  <si>
    <t>http://www.claylacy.com/</t>
  </si>
  <si>
    <t>https://maps.googleapis.com/maps/api/place/findplacefromtext/json?input=%2B18189880029&amp;inputtype=phonenumber&amp;fields=business_status,formatted_address,geometry,icon,name,permanently_closed,place_id,plus_code,types&amp;key=AIzaSyAUoR1hu32epmid_r-h7_AiXQWhNu3zr3U</t>
  </si>
  <si>
    <t>{"business_status":"OPERATIONAL","formatted_address":"Aviation Plaza, Sherman Way suite 210, Van Nuys, CA 91406, USA","geometry":{"location":{"lat":34.20149000000001,"lng":-118.491779},"viewport":{"northeast":{"lat":34.2027110302915,"lng":-118.4904281697085},"southwest":{"lat":34.2000130697085,"lng":-118.4931261302915}}},"icon":"https://maps.gstatic.com/mapfiles/place_api/icons/v1/png_71/generic_business-71.png","name":"Dreamline Aviation, LLC","place_id":"ChIJpe_JnvyZwoARMe7-7uLOvXw","plus_code":{"compound_code":"6G25+H7 Van Nuys, Los Angeles, CA, USA","global_code":"85636G25+H7"},"types":["point_of_interest","establishment"]}</t>
  </si>
  <si>
    <t>ChIJpe_JnvyZwoARMe7-7uLOvXw</t>
  </si>
  <si>
    <t>Aviation Plaza, Sherman Way suite 210, Van Nuys, CA 91406, USA</t>
  </si>
  <si>
    <t>{"html_attributions":[],"result":{"address_components":[{"long_name":"suite 210","short_name":"suite 210","types":["subpremise"]},{"long_name":"Aviation Plaza","short_name":"Aviation Plaza","types":["premise"]},{"long_name":"Sherman Way","short_name":"Sherman Way","types":["route"]},{"long_name":"Van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States","short_name":"US","types":["country","political"]},{"long_name":"91406","short_name":"91406","types":["postal_code"]}],"adr_address":"&lt;span class=\"extended-address\"&gt;Aviation Plaza&lt;/span&gt;, &lt;span class=\"street-address\"&gt;Sherman Way suite 210&lt;/span&gt;, &lt;span class=\"locality\"&gt;Van Nuys&lt;/span&gt;, &lt;span class=\"region\"&gt;CA&lt;/span&gt; &lt;span class=\"postal-code\"&gt;91406&lt;/span&gt;, &lt;span class=\"country-name\"&gt;USA&lt;/span&gt;","formatted_address":"Aviation Plaza, Sherman Way suite 210, Van Nuys, CA 91406, USA","formatted_phone_number":"(818) 988-0029","geometry":{"location":{"lat":34.20149000000001,"lng":-118.491779},"viewport":{"northeast":{"lat":34.2027110302915,"lng":-118.4904281697085},"southwest":{"lat":34.2000130697085,"lng":-118.4931261302915}}},"icon":"https://maps.gstatic.com/mapfiles/place_api/icons/v1/png_71/generic_business-71.png","id":null,"international_phone_number":"+1 818-988-0029","name":"Dreamline Aviation, LLC","place_id":"ChIJpe_JnvyZwoARMe7-7uLOvXw","rating":5.0,"reference":null,"reviews":[{"author_name":"Jody Cohn","author_url":"https://www.google.com/maps/contrib/108615057149857007929/reviews","language":null,"profile_photo_url":"https://lh3.googleusercontent.com/a-/AOh14Gj1LqgJHR2fsJqMO_IljqY0Z6C62YfLzugZHWTasw=s128-c0x00000000-cc-rp-mo-ba3","rating":5,"relative_time_description":"a year ago","text":"","time":1554235505},{"author_name":"Tom","author_url":"https://www.google.com/maps/contrib/110756241219371220974/reviews","language":null,"profile_photo_url":"https://lh3.googleusercontent.com/-a40SJ88kAio/AAAAAAAAAAI/AAAAAAAAAAA/AMZuucnQPZBLo2P8UcoQA4gYoqtopnw0bQ/s128-c0x00000000-cc-rp-mo-ba3/photo.jpg","rating":5,"relative_time_description":"a year ago","text":"","time":1564283627}],"types":["point_of_interest","establishment"],"url":"https://maps.google.com/?cid=8988567905368993329","utc_offset":-480,"vicinity":"Aviation Plaza, Sherman Way suite 210, Van Nuys","website":"http://www.dreamlineaviation.com/"},"status":"OK"}</t>
  </si>
  <si>
    <t>&lt;span class="extended-address"&gt;Aviation Plaza&lt;/span&gt;, &lt;span class="street-address"&gt;Sherman Way suite 210&lt;/span&gt;, &lt;span class="locality"&gt;Van Nuys&lt;/span&gt;, &lt;span class="region"&gt;CA&lt;/span&gt; &lt;span class="postal-code"&gt;91406&lt;/span&gt;, &lt;span class="country-name"&gt;USA&lt;/span&gt;</t>
  </si>
  <si>
    <t>+1 818-988-0029</t>
  </si>
  <si>
    <t>Aviation Plaza, Sherman Way suite 210, Van Nuys</t>
  </si>
  <si>
    <t>https://maps.googleapis.com/maps/api/place/findplacefromtext/json?input=Golden%20State%20Jet%2C%20LLC%207240%20Hayvenhurst%20Place%20Suite%20146%20Van%20Nuys%20CA%2091406&amp;key=AIzaSyAUoR1hu32epmid_r-h7_AiXQWhNu3zr3U&amp;inputtype=textquery&amp;fields=business_status,formatted_address,geometry,icon,name,permanently_closed,place_id,plus_code,types</t>
  </si>
  <si>
    <t>{"business_status":"OPERATIONAL","formatted_address":"7415 Hayvenhurst Pl, Van Nuys, CA 91406, United States","geometry":{"location":{"lat":34.2060306,"lng":-118.4927402},"viewport":{"northeast":{"lat":34.20734612989273,"lng":-118.4912345701073},"southwest":{"lat":34.20464647010728,"lng":-118.4939342298927}}},"icon":"https://maps.gstatic.com/mapfiles/place_api/icons/v1/png_71/generic_business-71.png","name":"Golden State Jet","place_id":"ChIJWShrCfyZwoAReOkUIZu6iGU","plus_code":{"compound_code":"6G44+CW Van Nuys, Los Angeles, CA","global_code":"85636G44+CW"},"types":["point_of_interest","establishment"]}</t>
  </si>
  <si>
    <t>Golden State Jet</t>
  </si>
  <si>
    <t>ChIJWShrCfyZwoAReOkUIZu6iGU</t>
  </si>
  <si>
    <t>7415 Hayvenhurst Pl, Van Nuys, CA 91406, United States</t>
  </si>
  <si>
    <t>{"html_attributions":[],"result":{"address_components":[{"long_name":"7415","short_name":"7415","types":["street_number"]},{"long_name":"Hayvenhurst Place","short_name":"Hayvenhurst Pl","types":["route"]},{"long_name":"Van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States","short_name":"US","types":["country","political"]},{"long_name":"91406","short_name":"91406","types":["postal_code"]}],"adr_address":"&lt;span class=\"street-address\"&gt;7415 Hayvenhurst Pl&lt;/span&gt;, &lt;span class=\"locality\"&gt;Van Nuys&lt;/span&gt;, &lt;span class=\"region\"&gt;CA&lt;/span&gt; &lt;span class=\"postal-code\"&gt;91406&lt;/span&gt;, &lt;span class=\"country-name\"&gt;USA&lt;/span&gt;","formatted_address":"7415 Hayvenhurst Pl, Van Nuys, CA 91406, USA","formatted_phone_number":"(818) 988-2888","geometry":{"location":{"lat":34.2060306,"lng":-118.4927402},"viewport":{"northeast":{"lat":34.20734528029151,"lng":-118.4912354197085},"southwest":{"lat":34.20464731970851,"lng":-118.4939333802915}}},"icon":"https://maps.gstatic.com/mapfiles/place_api/icons/v1/png_71/generic_business-71.png","id":null,"international_phone_number":"+1 818-988-2888","name":"Golden State Jet","place_id":"ChIJWShrCfyZwoAReOkUIZu6iGU","rating":5.0,"reference":null,"reviews":[{"author_name":"travis marg","author_url":"https://www.google.com/maps/contrib/104657237418447115575/reviews","language":"en","profile_photo_url":"https://lh6.googleusercontent.com/-KpUwtCe6fJw/AAAAAAAAAAI/AAAAAAAAAAA/AMZuucnAeQ0jvt-5V-gbv7-uVfAbN44wcA/s128-c0x00000000-cc-rp-mo/photo.jpg","rating":5,"relative_time_description":"4 years ago","text":"Grate flight pilots are supper nice","time":1460770797}],"types":["point_of_interest","establishment"],"url":"https://maps.google.com/?cid=7316302770101086584","utc_offset":-480,"vicinity":"7415 Hayvenhurst Place, Van Nuys","website":"http://www.goldenstatejet.com/"},"status":"OK"}</t>
  </si>
  <si>
    <t>&lt;span class="street-address"&gt;7415 Hayvenhurst Pl&lt;/span&gt;, &lt;span class="locality"&gt;Van Nuys&lt;/span&gt;, &lt;span class="region"&gt;CA&lt;/span&gt; &lt;span class="postal-code"&gt;91406&lt;/span&gt;, &lt;span class="country-name"&gt;USA&lt;/span&gt;</t>
  </si>
  <si>
    <t>(818) 988-2888</t>
  </si>
  <si>
    <t>+1 818-988-2888</t>
  </si>
  <si>
    <t>7415 Hayvenhurst Place, Van Nuys</t>
  </si>
  <si>
    <t>http://www.goldenstatejet.com/</t>
  </si>
  <si>
    <t>https://maps.googleapis.com/maps/api/place/findplacefromtext/json?input=%2B18189020229&amp;inputtype=phonenumber&amp;fields=business_status,formatted_address,geometry,icon,name,permanently_closed,place_id,plus_code,types&amp;key=AIzaSyAUoR1hu32epmid_r-h7_AiXQWhNu3zr3U</t>
  </si>
  <si>
    <t>{"business_status":"OPERATIONAL","formatted_address":"16303 Waterman Dr, Van Nuys, CA 91406, USA","geometry":{"location":{"lat":34.2153129,"lng":-118.487628},"viewport":{"northeast":{"lat":34.2165266302915,"lng":-118.4863182697085},"southwest":{"lat":34.21382866970851,"lng":-118.4890162302915}}},"icon":"https://maps.gstatic.com/mapfiles/place_api/icons/v1/png_71/generic_business-71.png","name":"Briles Wing &amp; Helicopter Inc","place_id":"ChIJB0JeHQGawoARTdjhsmysak8","plus_code":{"compound_code":"6G86+4W Van Nuys, Los Angeles, CA, USA","global_code":"85636G86+4W"},"types":["point_of_interest","establishment"]}</t>
  </si>
  <si>
    <t>Briles Wing &amp; Helicopter Inc</t>
  </si>
  <si>
    <t>ChIJB0JeHQGawoARTdjhsmysak8</t>
  </si>
  <si>
    <t>16303 Waterman Dr, Van Nuys, CA 91406, USA</t>
  </si>
  <si>
    <t>{"html_attributions":[],"result":{"address_components":[{"long_name":"16303","short_name":"16303","types":["street_number"]},{"long_name":"Waterman Drive","short_name":"Waterman Dr","types":["route"]},{"long_name":"Van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States","short_name":"US","types":["country","political"]},{"long_name":"91406","short_name":"91406","types":["postal_code"]},{"long_name":"1222","short_name":"1222","types":["postal_code_suffix"]}],"adr_address":"&lt;span class=\"street-address\"&gt;16303 Waterman Dr&lt;/span&gt;, &lt;span class=\"locality\"&gt;Van Nuys&lt;/span&gt;, &lt;span class=\"region\"&gt;CA&lt;/span&gt; &lt;span class=\"postal-code\"&gt;91406-1222&lt;/span&gt;, &lt;span class=\"country-name\"&gt;USA&lt;/span&gt;","formatted_address":"16303 Waterman Dr, Van Nuys, CA 91406, USA","formatted_phone_number":"(818) 902-0229","geometry":{"location":{"lat":34.2153129,"lng":-118.487628},"viewport":{"northeast":{"lat":34.2165266302915,"lng":-118.4863182697085},"southwest":{"lat":34.21382866970851,"lng":-118.4890162302915}}},"icon":"https://maps.gstatic.com/mapfiles/place_api/icons/v1/png_71/generic_business-71.png","id":null,"international_phone_number":"+1 818-902-0229","name":"Briles Wing &amp; Helicopter Inc","place_id":"ChIJB0JeHQGawoARTdjhsmysak8","rating":null,"reference":null,"reviews":null,"types":["point_of_interest","establishment"],"url":"https://maps.google.com/?cid=5722575859385227341","utc_offset":-480,"vicinity":"16303 Waterman Drive, Van Nuys","website":null},"status":"OK"}</t>
  </si>
  <si>
    <t>&lt;span class="street-address"&gt;16303 Waterman Dr&lt;/span&gt;, &lt;span class="locality"&gt;Van Nuys&lt;/span&gt;, &lt;span class="region"&gt;CA&lt;/span&gt; &lt;span class="postal-code"&gt;91406-1222&lt;/span&gt;, &lt;span class="country-name"&gt;USA&lt;/span&gt;</t>
  </si>
  <si>
    <t>(818) 902-0229</t>
  </si>
  <si>
    <t>+1 818-902-0229</t>
  </si>
  <si>
    <t>16303 Waterman Drive, Van Nuys</t>
  </si>
  <si>
    <t>https://maps.googleapis.com/maps/api/place/findplacefromtext/json?input=Jet%20Aviation%20Flight%20Services%2C%20Inc.%207415%20Hayvenhurst%20Place%20%20Van%20Nuys%20CA%2091406&amp;key=AIzaSyAUoR1hu32epmid_r-h7_AiXQWhNu3zr3U&amp;inputtype=textquery&amp;fields=business_status,formatted_address,geometry,icon,name,permanently_closed,place_id,plus_code,types</t>
  </si>
  <si>
    <t>{"business_status":"OPERATIONAL","formatted_address":"7415 Hayvenhurst Pl, Van Nuys, CA 91406, United States","geometry":{"location":{"lat":34.2060062,"lng":-118.4925567},"viewport":{"northeast":{"lat":34.20733392989272,"lng":-118.4911428201073},"southwest":{"lat":34.20463427010728,"lng":-118.4938424798927}}},"icon":"https://maps.gstatic.com/mapfiles/place_api/icons/v1/png_71/generic_business-71.png","name":"Castle &amp; Cooke Aviation","place_id":"ChIJjWbz0viZwoAR_tLtuhPkLxI","plus_code":{"compound_code":"6G44+CX Van Nuys, Los Angeles, CA","global_code":"85636G44+CX"},"types":["point_of_interest","establishment"]}</t>
  </si>
  <si>
    <t>ChIJjWbz0viZwoAR_tLtuhPkLxI</t>
  </si>
  <si>
    <t>{"html_attributions":[],"result":{"address_components":[{"long_name":"7415","short_name":"7415","types":["street_number"]},{"long_name":"Hayvenhurst Place","short_name":"Hayvenhurst Pl","types":["route"]},{"long_name":"Van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States","short_name":"US","types":["country","political"]},{"long_name":"91406","short_name":"91406","types":["postal_code"]},{"long_name":"2822","short_name":"2822","types":["postal_code_suffix"]}],"adr_address":"&lt;span class=\"street-address\"&gt;7415 Hayvenhurst Pl&lt;/span&gt;, &lt;span class=\"locality\"&gt;Van Nuys&lt;/span&gt;, &lt;span class=\"region\"&gt;CA&lt;/span&gt; &lt;span class=\"postal-code\"&gt;91406-2822&lt;/span&gt;, &lt;span class=\"country-name\"&gt;USA&lt;/span&gt;","formatted_address":"7415 Hayvenhurst Pl, Van Nuys, CA 91406, USA","formatted_phone_number":"(818) 988-8385","geometry":{"location":{"lat":34.2060062,"lng":-118.4925567},"viewport":{"northeast":{"lat":34.20733308029151,"lng":-118.4911436697085},"southwest":{"lat":34.20463511970851,"lng":-118.4938416302915}}},"icon":"https://maps.gstatic.com/mapfiles/place_api/icons/v1/png_71/generic_business-71.png","id":null,"international_phone_number":"+1 818-988-8385","name":"Castle &amp; Cooke Aviation","place_id":"ChIJjWbz0viZwoAR_tLtuhPkLxI","rating":4.6,"reference":null,"reviews":[{"author_name":"Fred G","author_url":"https://www.google.com/maps/contrib/102475957155427874666/reviews","language":"en","profile_photo_url":"https://lh3.googleusercontent.com/a-/AOh14Gh798QRFKHPZKGnHzmlZ1gcmI18bdCy2jNpSvoFUw=s128-c0x00000000-cc-rp-mo","rating":5,"relative_time_description":"3 weeks ago","text":"Love the people respectful and good to work with.","time":1611419333},{"author_name":"Jeff Green","author_url":"https://www.google.com/maps/contrib/113539147386117500686/reviews","language":"en","profile_photo_url":"https://lh6.googleusercontent.com/-6OOzKwekn4E/AAAAAAAAAAI/AAAAAAAAAAA/AMZuucmRfM8I0q4E2LvM__03X8E839g-CA/s128-c0x00000000-cc-rp-mo-ba5/photo.jpg","rating":1,"relative_time_description":"2 months ago","text":"Very poor quality service and low quality facilities.","time":1607186885},{"author_name":"Patrick Welsh","author_url":"https://www.google.com/maps/contrib/103845081041241755938/reviews","language":"en","profile_photo_url":"https://lh5.googleusercontent.com/-IdErUcQ1-go/AAAAAAAAAAI/AAAAAAAAAAA/AMZuucnYG4LPnFWJJ-P9bxbcmeRBHcw6FQ/s128-c0x00000000-cc-rp-mo-ba2/photo.jpg","rating":5,"relative_time_description":"a year ago","text":"The only way to go when you're flying private jet","time":1575654836},{"author_name":"Philip Minter","author_url":"https://www.google.com/maps/contrib/102991267054597417391/reviews","language":"en","profile_photo_url":"https://lh3.googleusercontent.com/a-/AOh14GjJeRl6vegv-i_3a6JgnP3NQcyB8I-uj8qDPGA2Fbk=s128-c0x00000000-cc-rp-mo-ba3","rating":4,"relative_time_description":"a year ago","text":"Great crew and when they build the new hangers they will have a top notch setup. Easy to fly in and out if you do it enough the crew tends to remember you.","time":1554490526},{"author_name":"Jerrod Kornish","author_url":"https://www.google.com/maps/contrib/116987573862252466609/reviews","language":"en","profile_photo_url":"https://lh4.googleusercontent.com/-BPjlkx_MDg8/AAAAAAAAAAI/AAAAAAAAAAA/AMZuuckfUgU3ZlCJmyGOSeWW1QFxlTWaPg/s128-c0x00000000-cc-rp-mo/photo.jpg","rating":5,"relative_time_description":"2 years ago","text":"Nice environment,  people are friendly, very well organized.","time":1537763862}],"types":["point_of_interest","establishment"],"url":"https://maps.google.com/?cid=1310516789979763454","utc_offset":-480,"vicinity":"7415 Hayvenhurst Place, Van Nuys","website":"https://www.castlecookeaviation.com/"},"status":"OK"}</t>
  </si>
  <si>
    <t>&lt;span class="street-address"&gt;7415 Hayvenhurst Pl&lt;/span&gt;, &lt;span class="locality"&gt;Van Nuys&lt;/span&gt;, &lt;span class="region"&gt;CA&lt;/span&gt; &lt;span class="postal-code"&gt;91406-2822&lt;/span&gt;, &lt;span class="country-name"&gt;USA&lt;/span&gt;</t>
  </si>
  <si>
    <t>+1 818-988-8385</t>
  </si>
  <si>
    <t>https://www.castlecookeaviation.com/</t>
  </si>
  <si>
    <t>https://maps.googleapis.com/maps/api/place/findplacefromtext/json?input=%2B18184420096&amp;inputtype=phonenumber&amp;fields=business_status,formatted_address,geometry,icon,name,permanently_closed,place_id,plus_code,types&amp;key=AIzaSyAUoR1hu32epmid_r-h7_AiXQWhNu3zr3U</t>
  </si>
  <si>
    <t>{"business_status":"OPERATIONAL","formatted_address":"14861 N Scottsdale Rd #109, Scottsdale, AZ 85254, USA","geometry":{"location":{"lat":33.62128829999999,"lng":-111.9241632},"viewport":{"northeast":{"lat":33.6227160802915,"lng":-111.9229119197085},"southwest":{"lat":33.6200181197085,"lng":-111.9256098802915}}},"icon":"https://maps.gstatic.com/mapfiles/place_api/icons/v1/png_71/generic_business-71.png","name":"Jet Edge","place_id":"ChIJjzCldEF0K4cRJbEuArRwLqI","plus_code":{"compound_code":"J3CG+G8 Scottsdale, AZ, USA","global_code":"855CJ3CG+G8"},"types":["point_of_interest","establishment"]}</t>
  </si>
  <si>
    <t>Jet Edge</t>
  </si>
  <si>
    <t>ChIJjzCldEF0K4cRJbEuArRwLqI</t>
  </si>
  <si>
    <t>14861 N Scottsdale Rd #109, Scottsdale, AZ 85254, USA</t>
  </si>
  <si>
    <t>{"html_attributions":[],"result":{"address_components":[{"long_name":"109","short_name":"109","types":["subpremise"]},{"long_name":"14861","short_name":"14861","types":["street_number"]},{"long_name":"North Scottsdale Road","short_name":"N Scottsdale Rd","types":["route"]},{"long_name":"Thunderbird Industrial Airpark","short_name":"Thunderbird Industrial Airpark","types":["neighborhood","political"]},{"long_name":"Scottsdale","short_name":"Scottsdale","types":["locality","political"]},{"long_name":"Maricopa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States","short_name":"US","types":["country","political"]},{"long_name":"85254","short_name":"85254","types":["postal_code"]}],"adr_address":"&lt;span class=\"street-address\"&gt;14861 N Scottsdale Rd #109&lt;/span&gt;, &lt;span class=\"locality\"&gt;Scottsdale&lt;/span&gt;, &lt;span class=\"region\"&gt;AZ&lt;/span&gt; &lt;span class=\"postal-code\"&gt;85254&lt;/span&gt;, &lt;span class=\"country-name\"&gt;USA&lt;/span&gt;","formatted_address":"14861 N Scottsdale Rd #109, Scottsdale, AZ 85254, USA","formatted_phone_number":"(818) 442-0096","geometry":{"location":{"lat":33.62128829999999,"lng":-111.9241632},"viewport":{"northeast":{"lat":33.6227160802915,"lng":-111.9229119197085},"southwest":{"lat":33.6200181197085,"lng":-111.9256098802915}}},"icon":"https://maps.gstatic.com/mapfiles/place_api/icons/v1/png_71/generic_business-71.png","id":null,"international_phone_number":"+1 818-442-0096","name":"Jet Edge","place_id":"ChIJjzCldEF0K4cRJbEuArRwLqI","rating":null,"reference":null,"reviews":null,"types":["point_of_interest","establishment"],"url":"https://maps.google.com/?cid=11686402001506054437","utc_offset":-420,"vicinity":"14861 North Scottsdale Road #109, Scottsdale","website":"https://www.flyjetedge.com/"},"status":"OK"}</t>
  </si>
  <si>
    <t>&lt;span class="street-address"&gt;14861 N Scottsdale Rd #109&lt;/span&gt;, &lt;span class="locality"&gt;Scottsdale&lt;/span&gt;, &lt;span class="region"&gt;AZ&lt;/span&gt; &lt;span class="postal-code"&gt;85254&lt;/span&gt;, &lt;span class="country-name"&gt;USA&lt;/span&gt;</t>
  </si>
  <si>
    <t>(818) 442-0096</t>
  </si>
  <si>
    <t>+1 818-442-0096</t>
  </si>
  <si>
    <t>14861 North Scottsdale Road #109, Scottsdale</t>
  </si>
  <si>
    <t>https://www.flyjetedge.com/</t>
  </si>
  <si>
    <t>https://maps.googleapis.com/maps/api/place/findplacefromtext/json?input=%2B18187872205&amp;inputtype=phonenumber&amp;fields=business_status,formatted_address,geometry,icon,name,permanently_closed,place_id,plus_code,types&amp;key=AIzaSyAUoR1hu32epmid_r-h7_AiXQWhNu3zr3U</t>
  </si>
  <si>
    <t>{"business_status":"OPERATIONAL","formatted_address":"7415 Hayvenhurst Pl, Van Nuys, CA 91406, USA","geometry":{"location":{"lat":34.2052859,"lng":-118.4927249},"viewport":{"northeast":{"lat":34.2069731302915,"lng":-118.4912277697085},"southwest":{"lat":34.2042751697085,"lng":-118.4939257302915}}},"icon":"https://maps.gstatic.com/mapfiles/place_api/icons/v1/png_71/generic_business-71.png","name":"M B Airways Inc","place_id":"ChIJ-YBXUvmZwoAR8Kl-WSkbAhM","plus_code":{"compound_code":"6G44+4W Van Nuys, Los Angeles, CA, USA","global_code":"85636G44+4W"},"types":["point_of_interest","establishment"]}</t>
  </si>
  <si>
    <t>M B Airways Inc</t>
  </si>
  <si>
    <t>ChIJ-YBXUvmZwoAR8Kl-WSkbAhM</t>
  </si>
  <si>
    <t>7415 Hayvenhurst Pl, Van Nuys, CA 91406, USA</t>
  </si>
  <si>
    <t>{"html_attributions":[],"result":{"address_components":[{"long_name":"7415","short_name":"7415","types":["street_number"]},{"long_name":"Hayvenhurst Place","short_name":"Hayvenhurst Pl","types":["route"]},{"long_name":"Van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States","short_name":"US","types":["country","political"]},{"long_name":"91406","short_name":"91406","types":["postal_code"]},{"long_name":"2822","short_name":"2822","types":["postal_code_suffix"]}],"adr_address":"&lt;span class=\"street-address\"&gt;7415 Hayvenhurst Pl&lt;/span&gt;, &lt;span class=\"locality\"&gt;Van Nuys&lt;/span&gt;, &lt;span class=\"region\"&gt;CA&lt;/span&gt; &lt;span class=\"postal-code\"&gt;91406-2822&lt;/span&gt;, &lt;span class=\"country-name\"&gt;USA&lt;/span&gt;","formatted_address":"7415 Hayvenhurst Pl, Van Nuys, CA 91406, USA","formatted_phone_number":"(818) 787-2205","geometry":{"location":{"lat":34.2052859,"lng":-118.4927249},"viewport":{"northeast":{"lat":34.2069731302915,"lng":-118.4912277697085},"southwest":{"lat":34.2042751697085,"lng":-118.4939257302915}}},"icon":"https://maps.gstatic.com/mapfiles/place_api/icons/v1/png_71/generic_business-71.png","id":null,"international_phone_number":"+1 818-787-2205","name":"M B Airways Inc","place_id":"ChIJ-YBXUvmZwoAR8Kl-WSkbAhM","rating":null,"reference":null,"reviews":null,"types":["point_of_interest","establishment"],"url":"https://maps.google.com/?cid=1369687101083134448","utc_offset":-480,"vicinity":"7415 Hayvenhurst Place, Van Nuys","website":"https://www.mbairways.com/"},"status":"OK"}</t>
  </si>
  <si>
    <t>(818) 787-2205</t>
  </si>
  <si>
    <t>+1 818-787-2205</t>
  </si>
  <si>
    <t>https://www.mbairways.com/</t>
  </si>
  <si>
    <t>https://maps.googleapis.com/maps/api/place/findplacefromtext/json?input=%2B18187426666&amp;inputtype=phonenumber&amp;fields=business_status,formatted_address,geometry,icon,name,permanently_closed,place_id,plus_code,types&amp;key=AIzaSyAUoR1hu32epmid_r-h7_AiXQWhNu3zr3U</t>
  </si>
  <si>
    <t>{"business_status":"OPERATIONAL","formatted_address":"Waterman Dr, Van Nuys, CA 91406, USA","geometry":{"location":{"lat":34.21481139999999,"lng":-118.4861216},"viewport":{"northeast":{"lat":34.2161909802915,"lng":-118.4847636697085},"southwest":{"lat":34.2134930197085,"lng":-118.4874616302915}}},"icon":"https://maps.gstatic.com/mapfiles/place_api/icons/v1/png_71/generic_business-71.png","name":"Pegasus Passenger Lobby","place_id":"ChIJk8pz0rSRwoARIyxjakf8u2E","plus_code":{"compound_code":"6G77+WH Van Nuys, Los Angeles, CA, USA","global_code":"85636G77+WH"},"types":["point_of_interest","establishment"]}</t>
  </si>
  <si>
    <t>Pegasus Passenger Lobby</t>
  </si>
  <si>
    <t>ChIJk8pz0rSRwoARIyxjakf8u2E</t>
  </si>
  <si>
    <t>Waterman Dr, Van Nuys, CA 91406, USA</t>
  </si>
  <si>
    <t>{"html_attributions":[],"result":{"address_components":[{"long_name":"Waterman Drive","short_name":"Waterman Dr","types":["route"]},{"long_name":"Van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States","short_name":"US","types":["country","political"]},{"long_name":"91406","short_name":"91406","types":["postal_code"]}],"adr_address":"&lt;span class=\"street-address\"&gt;Waterman Dr&lt;/span&gt;, &lt;span class=\"locality\"&gt;Van Nuys&lt;/span&gt;, &lt;span class=\"region\"&gt;CA&lt;/span&gt; &lt;span class=\"postal-code\"&gt;91406&lt;/span&gt;, &lt;span class=\"country-name\"&gt;USA&lt;/span&gt;","formatted_address":"Waterman Dr, Van Nuys, CA 91406, USA","formatted_phone_number":"(818) 742-6666","geometry":{"location":{"lat":34.21481139999999,"lng":-118.4861216},"viewport":{"northeast":{"lat":34.2161909802915,"lng":-118.4847636697085},"southwest":{"lat":34.2134930197085,"lng":-118.4874616302915}}},"icon":"https://maps.gstatic.com/mapfiles/place_api/icons/v1/png_71/generic_business-71.png","id":null,"international_phone_number":"+1 818-742-6666","name":"Pegasus Passenger Lobby","place_id":"ChIJk8pz0rSRwoARIyxjakf8u2E","rating":null,"reference":null,"reviews":null,"types":["point_of_interest","establishment"],"url":"https://maps.google.com/?cid=7042499825981664291","utc_offset":-480,"vicinity":"Waterman Drive, Van Nuys","website":"https://pegjet.com/"},"status":"OK"}</t>
  </si>
  <si>
    <t>&lt;span class="street-address"&gt;Waterman Dr&lt;/span&gt;, &lt;span class="locality"&gt;Van Nuys&lt;/span&gt;, &lt;span class="region"&gt;CA&lt;/span&gt; &lt;span class="postal-code"&gt;91406&lt;/span&gt;, &lt;span class="country-name"&gt;USA&lt;/span&gt;</t>
  </si>
  <si>
    <t>(818) 742-6666</t>
  </si>
  <si>
    <t>+1 818-742-6666</t>
  </si>
  <si>
    <t>Waterman Drive, Van Nuys</t>
  </si>
  <si>
    <t>https://pegjet.com/</t>
  </si>
  <si>
    <t>https://maps.googleapis.com/maps/api/place/findplacefromtext/json?input=Planet%20Nine%20Private%20Air%2C%20LLC%207415%20Hayvenhurst%20Place%20Suite%20255%20Van%20Nuys%20CA%2091406&amp;key=AIzaSyAUoR1hu32epmid_r-h7_AiXQWhNu3zr3U&amp;inputtype=textquery&amp;fields=business_status,formatted_address,geometry,icon,name,permanently_closed,place_id,plus_code,types</t>
  </si>
  <si>
    <t>{"business_status":"OPERATIONAL","formatted_address":"7415 Hayvenhurst Pl, Lake Balboa, CA 91406, United States","geometry":{"location":{"lat":34.2060306,"lng":-118.4927402},"viewport":{"northeast":{"lat":34.20734612989273,"lng":-118.4912345701073},"southwest":{"lat":34.20464647010728,"lng":-118.4939342298927}}},"icon":"https://maps.gstatic.com/mapfiles/place_api/icons/v1/png_71/generic_business-71.png","name":"Planet Nine Private Air, LLC","place_id":"ChIJUWUaSfmZwoARnXoctiFJwWY","plus_code":null,"types":["point_of_interest","establishment"]}</t>
  </si>
  <si>
    <t>ChIJUWUaSfmZwoARnXoctiFJwWY</t>
  </si>
  <si>
    <t>7415 Hayvenhurst Pl, Lake Balboa, CA 91406, United States</t>
  </si>
  <si>
    <t>{"html_attributions":[],"result":{"address_components":[{"long_name":"7415","short_name":"7415","types":["street_number"]},{"long_name":"Hayvenhurst Place","short_name":"Hayvenhurst Pl","types":["route"]},{"long_name":"Lake Balboa","short_name":"Lake Balboa","types":["neighborhood","political"]},{"long_name":"Los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States","short_name":"US","types":["country","political"]},{"long_name":"91406","short_name":"91406","types":["postal_code"]}],"adr_address":"&lt;span class=\"street-address\"&gt;7415 Hayvenhurst Pl&lt;/span&gt;, &lt;span class=\"locality\"&gt;Lake Balboa&lt;/span&gt;, &lt;span class=\"region\"&gt;CA&lt;/span&gt; &lt;span class=\"postal-code\"&gt;91406&lt;/span&gt;, &lt;span class=\"country-name\"&gt;USA&lt;/span&gt;","formatted_address":"7415 Hayvenhurst Pl, Lake Balboa, CA 91406, USA","formatted_phone_number":"(855) 629-9997","geometry":{"location":{"lat":34.2060306,"lng":-118.4927402},"viewport":{"northeast":{"lat":34.20734528029151,"lng":-118.4912354197085},"southwest":{"lat":34.20464731970851,"lng":-118.4939333802915}}},"icon":"https://maps.gstatic.com/mapfiles/place_api/icons/v1/png_71/generic_business-71.png","id":null,"international_phone_number":"+1 855-629-9997","name":"Planet Nine Private Air, LLC","place_id":"ChIJUWUaSfmZwoARnXoctiFJwWY","rating":null,"reference":null,"reviews":null,"types":["point_of_interest","establishment"],"url":"https://maps.google.com/?cid=7404279671511874205","utc_offset":-480,"vicinity":"7415 Hayvenhurst Place, Lake Balboa","website":"https://www.flyplanet9.com/contact"},"status":"OK"}</t>
  </si>
  <si>
    <t>&lt;span class="street-address"&gt;7415 Hayvenhurst Pl&lt;/span&gt;, &lt;span class="locality"&gt;Lake Balboa&lt;/span&gt;, &lt;span class="region"&gt;CA&lt;/span&gt; &lt;span class="postal-code"&gt;91406&lt;/span&gt;, &lt;span class="country-name"&gt;USA&lt;/span&gt;</t>
  </si>
  <si>
    <t>(855) 629-9997</t>
  </si>
  <si>
    <t>+1 855-629-9997</t>
  </si>
  <si>
    <t>7415 Hayvenhurst Place, Lake Balboa</t>
  </si>
  <si>
    <t>https://www.flyplanet9.com/contact</t>
  </si>
  <si>
    <t>https://maps.googleapis.com/maps/api/place/findplacefromtext/json?input=%2B18189882931&amp;inputtype=phonenumber&amp;fields=business_status,formatted_address,geometry,icon,name,permanently_closed,place_id,plus_code,types&amp;key=AIzaSyAUoR1hu32epmid_r-h7_AiXQWhNu3zr3U</t>
  </si>
  <si>
    <t>{"business_status":"OPERATIONAL","formatted_address":"7415 Hayvenhurst Pl, Van Nuys, CA 91406, USA","geometry":{"location":{"lat":34.2052859,"lng":-118.4927249},"viewport":{"northeast":{"lat":34.2069731302915,"lng":-118.4912277697085},"southwest":{"lat":34.2042751697085,"lng":-118.4939257302915}}},"icon":"https://maps.gstatic.com/mapfiles/place_api/icons/v1/png_71/generic_business-71.png","name":"Style Aviation Services","place_id":"ChIJjWbz0viZwoARohjR2yvsLEY","plus_code":{"compound_code":"6G44+4W Van Nuys, Los Angeles, CA, USA","global_code":"85636G44+4W"},"types":["point_of_interest","establishment"]}</t>
  </si>
  <si>
    <t>Style Aviation Services</t>
  </si>
  <si>
    <t>ChIJjWbz0viZwoARohjR2yvsLEY</t>
  </si>
  <si>
    <t>{"html_attributions":[],"result":{"address_components":[{"long_name":"7415","short_name":"7415","types":["street_number"]},{"long_name":"Hayvenhurst Place","short_name":"Hayvenhurst Pl","types":["route"]},{"long_name":"Van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States","short_name":"US","types":["country","political"]},{"long_name":"91406","short_name":"91406","types":["postal_code"]},{"long_name":"2822","short_name":"2822","types":["postal_code_suffix"]}],"adr_address":"&lt;span class=\"street-address\"&gt;7415 Hayvenhurst Pl&lt;/span&gt;, &lt;span class=\"locality\"&gt;Van Nuys&lt;/span&gt;, &lt;span class=\"region\"&gt;CA&lt;/span&gt; &lt;span class=\"postal-code\"&gt;91406-2822&lt;/span&gt;, &lt;span class=\"country-name\"&gt;USA&lt;/span&gt;","formatted_address":"7415 Hayvenhurst Pl, Van Nuys, CA 91406, USA","formatted_phone_number":"(818) 988-2931","geometry":{"location":{"lat":34.2052859,"lng":-118.4927249},"viewport":{"northeast":{"lat":34.2069731302915,"lng":-118.4912277697085},"southwest":{"lat":34.2042751697085,"lng":-118.4939257302915}}},"icon":"https://maps.gstatic.com/mapfiles/place_api/icons/v1/png_71/generic_business-71.png","id":null,"international_phone_number":"+1 818-988-2931","name":"Style Aviation Services","place_id":"ChIJjWbz0viZwoARohjR2yvsLEY","rating":null,"reference":null,"reviews":null,"types":["point_of_interest","establishment"],"url":"https://maps.google.com/?cid=5056676154745886882","utc_offset":-480,"vicinity":"7415 Hayvenhurst Place, Van Nuys","website":"http://www.styleair.com/"},"status":"OK"}</t>
  </si>
  <si>
    <t>+1 818-988-2931</t>
  </si>
  <si>
    <t>http://www.styleair.com/</t>
  </si>
  <si>
    <t>https://maps.googleapis.com/maps/api/place/findplacefromtext/json?input=%2B18189046900&amp;inputtype=phonenumber&amp;fields=business_status,formatted_address,geometry,icon,name,permanently_closed,place_id,plus_code,types&amp;key=AIzaSyAUoR1hu32epmid_r-h7_AiXQWhNu3zr3U</t>
  </si>
  <si>
    <t>{"business_status":"OPERATIONAL","formatted_address":"2828 Donald Douglas Loop N, Santa Monica, CA 90405, USA","geometry":{"location":{"lat":34.0166347,"lng":-118.4530628},"viewport":{"northeast":{"lat":34.01808793029149,"lng":-118.4518061197085},"southwest":{"lat":34.0153899697085,"lng":-118.4545040802915}}},"icon":"https://maps.gstatic.com/mapfiles/place_api/icons/v1/png_71/generic_business-71.png","name":"Trans-Exec Air Services Inc","place_id":"ChIJB2gwDR27woARIhRbuVv2Hxo","plus_code":{"compound_code":"2G8W+MQ Santa Monica, CA, USA","global_code":"85632G8W+MQ"},"types":["point_of_interest","establishment"]}</t>
  </si>
  <si>
    <t>Trans-Exec Air Services Inc</t>
  </si>
  <si>
    <t>ChIJB2gwDR27woARIhRbuVv2Hxo</t>
  </si>
  <si>
    <t>2828 Donald Douglas Loop N, Santa Monica, CA 90405, USA</t>
  </si>
  <si>
    <t>{"html_attributions":[],"result":{"address_components":[{"long_name":"2828","short_name":"2828","types":["street_number"]},{"long_name":"Donald Douglas Loop North","short_name":"Donald Douglas Loop N","types":["route"]},{"long_name":"Sunset Park","short_name":"Sunset Park","types":["neighborhood","political"]},{"long_name":"Santa Monica","short_name":"Santa Monica","types":["locality","political"]},{"long_name":"Los Angeles County","short_name":"Los Angeles County","types":["administrative_area_level_2","political"]},{"long_name":"California","short_name":"CA","types":["administrative_area_level_1","political"]},{"long_name":"United States","short_name":"US","types":["country","political"]},{"long_name":"90405","short_name":"90405","types":["postal_code"]},{"long_name":"2956","short_name":"2956","types":["postal_code_suffix"]}],"adr_address":"&lt;span class=\"street-address\"&gt;2828 Donald Douglas Loop N&lt;/span&gt;, &lt;span class=\"locality\"&gt;Santa Monica&lt;/span&gt;, &lt;span class=\"region\"&gt;CA&lt;/span&gt; &lt;span class=\"postal-code\"&gt;90405-2956&lt;/span&gt;, &lt;span class=\"country-name\"&gt;USA&lt;/span&gt;","formatted_address":"2828 Donald Douglas Loop N, Santa Monica, CA 90405, USA","formatted_phone_number":"(310) 399-9435","geometry":{"location":{"lat":34.0166347,"lng":-118.4530628},"viewport":{"northeast":{"lat":34.01808793029149,"lng":-118.4518061197085},"southwest":{"lat":34.0153899697085,"lng":-118.4545040802915}}},"icon":"https://maps.gstatic.com/mapfiles/place_api/icons/v1/png_71/generic_business-71.png","id":null,"international_phone_number":"+1 310-399-9435","name":"Trans-Exec Air Services Inc","place_id":"ChIJB2gwDR27woARIhRbuVv2Hxo","rating":null,"reference":null,"reviews":null,"types":["point_of_interest","establishment"],"url":"https://maps.google.com/?cid=1882494043076367394","utc_offset":-480,"vicinity":"2828 Donald Douglas Loop North, Santa Monica","website":"http://www.transexec.com/"},"status":"OK"}</t>
  </si>
  <si>
    <t>&lt;span class="street-address"&gt;2828 Donald Douglas Loop N&lt;/span&gt;, &lt;span class="locality"&gt;Santa Monica&lt;/span&gt;, &lt;span class="region"&gt;CA&lt;/span&gt; &lt;span class="postal-code"&gt;90405-2956&lt;/span&gt;, &lt;span class="country-name"&gt;USA&lt;/span&gt;</t>
  </si>
  <si>
    <t>(310) 399-9435</t>
  </si>
  <si>
    <t>+1 310-399-9435</t>
  </si>
  <si>
    <t>2828 Donald Douglas Loop North, Santa Monica</t>
  </si>
  <si>
    <t>http://www.transexec.com/</t>
  </si>
  <si>
    <t>https://maps.googleapis.com/maps/api/place/findplacefromtext/json?input=%2B18772475387&amp;inputtype=phonenumber&amp;fields=business_status,formatted_address,geometry,icon,name,permanently_closed,place_id,plus_code,types&amp;key=AIzaSyAUoR1hu32epmid_r-h7_AiXQWhNu3zr3U</t>
  </si>
  <si>
    <t>{"business_status":"OPERATIONAL","formatted_address":"7426 Hayvenhurst Ave, Van Nuys, CA 91406, USA","geometry":{"location":{"lat":34.2055081,"lng":-118.4942037},"viewport":{"northeast":{"lat":34.2068569302915,"lng":-118.4929554697085},"southwest":{"lat":34.2041589697085,"lng":-118.4956534302915}}},"icon":"https://maps.gstatic.com/mapfiles/place_api/icons/v1/png_71/generic_business-71.png","name":"24/7 Jet","place_id":"ChIJ676PbvmZwoARAVKCVdj_HHA","plus_code":{"compound_code":"6G44+68 Van Nuys, Los Angeles, CA, USA","global_code":"85636G44+68"},"types":["point_of_interest","establishment"]}</t>
  </si>
  <si>
    <t>24/7 Jet</t>
  </si>
  <si>
    <t>ChIJ676PbvmZwoARAVKCVdj_HHA</t>
  </si>
  <si>
    <t>7426 Hayvenhurst Ave, Van Nuys, CA 91406, USA</t>
  </si>
  <si>
    <t>{"html_attributions":[],"result":{"address_components":[{"long_name":"7426","short_name":"7426","types":["street_number"]},{"long_name":"Hayvenhurst Avenue","short_name":"Hayvenhurst Ave","types":["route"]},{"long_name":"Van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States","short_name":"US","types":["country","political"]},{"long_name":"91406","short_name":"91406","types":["postal_code"]}],"adr_address":"&lt;span class=\"street-address\"&gt;7426 Hayvenhurst Ave&lt;/span&gt;, &lt;span class=\"locality\"&gt;Van Nuys&lt;/span&gt;, &lt;span class=\"region\"&gt;CA&lt;/span&gt; &lt;span class=\"postal-code\"&gt;91406&lt;/span&gt;, &lt;span class=\"country-name\"&gt;USA&lt;/span&gt;","formatted_address":"7426 Hayvenhurst Ave, Van Nuys, CA 91406, USA","formatted_phone_number":"(877) 247-5387","geometry":{"location":{"lat":34.2055081,"lng":-118.4942037},"viewport":{"northeast":{"lat":34.2068569302915,"lng":-118.4929554697085},"southwest":{"lat":34.2041589697085,"lng":-118.4956534302915}}},"icon":"https://maps.gstatic.com/mapfiles/place_api/icons/v1/png_71/generic_business-71.png","id":null,"international_phone_number":"+1 877-247-5387","name":"24/7 Jet","place_id":"ChIJ676PbvmZwoARAVKCVdj_HHA","rating":5.0,"reference":null,"reviews":[{"author_name":"S P","author_url":"https://www.google.com/maps/contrib/114133935442097359148/reviews","language":"en","profile_photo_url":"https://lh3.googleusercontent.com/a-/AOh14GiiJ6NcCXRv0ICOTvbHt4oJPBsOZk3R92a8XPYPcw=s128-c0x00000000-cc-rp-mo-ba2","rating":5,"relative_time_description":"a month ago","text":"My family has been flying with 24/7 jets for the last 5 year’s. Mahad is my go to guy for any trips domestic or international. Thank you guys","time":1609165620},{"author_name":"Hamza Dar","author_url":"https://www.google.com/maps/contrib/118406148852421821783/reviews","language":null,"profile_photo_url":"https://lh3.googleusercontent.com/a-/AOh14Ggei5N8b7ucasSDheXakULCf3wybMv6oGih3anT=s128-c0x00000000-cc-rp-mo","rating":5,"relative_time_description":"a year ago","text":"","time":1578815798}],"types":["point_of_interest","establishment"],"url":"https://maps.google.com/?cid=8078613136208450049","utc_offset":-480,"vicinity":"7426 Hayvenhurst Avenue, Van Nuys","website":"http://247jet.com/"},"status":"OK"}</t>
  </si>
  <si>
    <t>&lt;span class="street-address"&gt;7426 Hayvenhurst Ave&lt;/span&gt;, &lt;span class="locality"&gt;Van Nuys&lt;/span&gt;, &lt;span class="region"&gt;CA&lt;/span&gt; &lt;span class="postal-code"&gt;91406&lt;/span&gt;, &lt;span class="country-name"&gt;USA&lt;/span&gt;</t>
  </si>
  <si>
    <t>+1 877-247-5387</t>
  </si>
  <si>
    <t>7426 Hayvenhurst Avenue, Van Nuys</t>
  </si>
  <si>
    <t>http://247jet.com/</t>
  </si>
  <si>
    <t>https://maps.googleapis.com/maps/api/place/findplacefromtext/json?input=%2B18189888385&amp;inputtype=phonenumber&amp;fields=business_status,formatted_address,geometry,icon,name,permanently_closed,place_id,plus_code,types&amp;key=AIzaSyAUoR1hu32epmid_r-h7_AiXQWhNu3zr3U</t>
  </si>
  <si>
    <t>{"business_status":"OPERATIONAL","formatted_address":"16461 Sherman Way, Van Nuys, CA 91406, USA","geometry":{"location":{"lat":34.2085282,"lng":-118.4921351},"viewport":{"northeast":{"lat":34.2098943302915,"lng":-118.4909309197085},"southwest":{"lat":34.2071963697085,"lng":-118.4936288802915}}},"icon":"https://maps.gstatic.com/mapfiles/place_api/icons/v1/png_71/generic_business-71.png","name":"Castle &amp; Cooke North Ramp","place_id":"ChIJSXoWM_-ZwoARLwX6m4OWyro","plus_code":{"compound_code":"6G55+C4 Van Nuys, Los Angeles, CA, USA","global_code":"85636G55+C4"},"types":["point_of_interest","establishment"]}</t>
  </si>
  <si>
    <t>Castle &amp; Cooke North Ramp</t>
  </si>
  <si>
    <t>ChIJSXoWM_-ZwoARLwX6m4OWyro</t>
  </si>
  <si>
    <t>16461 Sherman Way, Van Nuys, CA 91406, USA</t>
  </si>
  <si>
    <t>{"html_attributions":[],"result":{"address_components":[{"long_name":"16461","short_name":"16461","types":["street_number"]},{"long_name":"Sherman Way","short_name":"Sherman Way","types":["route"]},{"long_name":"Van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States","short_name":"US","types":["country","political"]},{"long_name":"91406","short_name":"91406","types":["postal_code"]}],"adr_address":"&lt;span class=\"street-address\"&gt;16461 Sherman Way&lt;/span&gt;, &lt;span class=\"locality\"&gt;Van Nuys&lt;/span&gt;, &lt;span class=\"region\"&gt;CA&lt;/span&gt; &lt;span class=\"postal-code\"&gt;91406&lt;/span&gt;, &lt;span class=\"country-name\"&gt;USA&lt;/span&gt;","formatted_address":"16461 Sherman Way, Van Nuys, CA 91406, USA","formatted_phone_number":"(818) 988-8385","geometry":{"location":{"lat":34.2085282,"lng":-118.4921351},"viewport":{"northeast":{"lat":34.2098943302915,"lng":-118.4909309197085},"southwest":{"lat":34.2071963697085,"lng":-118.4936288802915}}},"icon":"https://maps.gstatic.com/mapfiles/place_api/icons/v1/png_71/generic_business-71.png","id":null,"international_phone_number":"+1 818-988-8385","name":"Castle &amp; Cooke North Ramp","place_id":"ChIJSXoWM_-ZwoARLwX6m4OWyro","rating":5.0,"reference":null,"reviews":[{"author_name":"Matthew Edler","author_url":"https://www.google.com/maps/contrib/105677552150087635534/reviews","language":null,"profile_photo_url":"https://lh6.googleusercontent.com/-HUzmv100W2o/AAAAAAAAAAI/AAAAAAAAAAA/AMZuuck0FECkAwD4oKMMzQn-h8U8NT2HUA/s128-c0x00000000-cc-rp-mo/photo.jpg","rating":5,"relative_time_description":"11 months ago","text":"","time":1584509180}],"types":["point_of_interest","establishment"],"url":"https://maps.google.com/?cid=13459735928351884591","utc_offset":-480,"vicinity":"16461 Sherman Way, Van Nuys","website":"https://www.castlecookeaviation.com/van-nuys-ca/"},"status":"OK"}</t>
  </si>
  <si>
    <t>&lt;span class="street-address"&gt;16461 Sherman Way&lt;/span&gt;, &lt;span class="locality"&gt;Van Nuys&lt;/span&gt;, &lt;span class="region"&gt;CA&lt;/span&gt; &lt;span class="postal-code"&gt;91406&lt;/span&gt;, &lt;span class="country-name"&gt;USA&lt;/span&gt;</t>
  </si>
  <si>
    <t>16461 Sherman Way, Van Nuys</t>
  </si>
  <si>
    <t>https://www.castlecookeaviation.com/van-nuys-ca/</t>
  </si>
  <si>
    <t>https://maps.googleapis.com/maps/api/place/findplacefromtext/json?input=%2B18187852577&amp;inputtype=phonenumber&amp;fields=business_status,formatted_address,geometry,icon,name,permanently_closed,place_id,plus_code,types&amp;key=AIzaSyAUoR1hu32epmid_r-h7_AiXQWhNu3zr3U</t>
  </si>
  <si>
    <t>furniture_store,home_goods_store,point_of_interest,store,establishment</t>
  </si>
  <si>
    <t>{"business_status":"OPERATIONAL","formatted_address":"16122 Saticoy St, Van Nuys, CA 91406, USA","geometry":{"location":{"lat":34.20819180000001,"lng":-118.4844778},"viewport":{"northeast":{"lat":34.2095490802915,"lng":-118.4831038197085},"southwest":{"lat":34.2068511197085,"lng":-118.4858017802915}}},"icon":"https://maps.gstatic.com/mapfiles/place_api/icons/v1/png_71/shopping-71.png","name":"Extraord-N-Air","place_id":"ChIJQSeTpPiZwoARuY2w7Z5s4e4","plus_code":{"compound_code":"6G58+76 Van Nuys, Los Angeles, CA, USA","global_code":"85636G58+76"},"types":["furniture_store","home_goods_store","point_of_interest","store","establishment"]}</t>
  </si>
  <si>
    <t>Extraord-N-Air</t>
  </si>
  <si>
    <t>ChIJQSeTpPiZwoARuY2w7Z5s4e4</t>
  </si>
  <si>
    <t>16122 Saticoy St, Van Nuys, CA 91406, USA</t>
  </si>
  <si>
    <t>{"html_attributions":[],"result":{"address_components":[{"long_name":"16122","short_name":"16122","types":["street_number"]},{"long_name":"Saticoy Street","short_name":"Saticoy St","types":["route"]},{"long_name":"Van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States","short_name":"US","types":["country","political"]},{"long_name":"91406","short_name":"91406","types":["postal_code"]},{"long_name":"2914","short_name":"2914","types":["postal_code_suffix"]}],"adr_address":"&lt;span class=\"street-address\"&gt;16122 Saticoy St&lt;/span&gt;, &lt;span class=\"locality\"&gt;Van Nuys&lt;/span&gt;, &lt;span class=\"region\"&gt;CA&lt;/span&gt; &lt;span class=\"postal-code\"&gt;91406-2914&lt;/span&gt;, &lt;span class=\"country-name\"&gt;USA&lt;/span&gt;","formatted_address":"16122 Saticoy St, Van Nuys, CA 91406, USA","formatted_phone_number":"(818) 785-2577","geometry":{"location":{"lat":34.20819180000001,"lng":-118.4844778},"viewport":{"northeast":{"lat":34.2095490802915,"lng":-118.4831038197085},"southwest":{"lat":34.2068511197085,"lng":-118.4858017802915}}},"icon":"https://maps.gstatic.com/mapfiles/place_api/icons/v1/png_71/shopping-71.png","id":null,"international_phone_number":"+1 818-785-2577","name":"Extraord-N-Air","place_id":"ChIJQSeTpPiZwoARuY2w7Z5s4e4","rating":5.0,"reference":null,"reviews":[{"author_name":"Juan Torres","author_url":"https://www.google.com/maps/contrib/102001628945625840223/reviews","language":"en","profile_photo_url":"https://lh5.googleusercontent.com/-vFNtAN6d8GU/AAAAAAAAAAI/AAAAAAAAAAA/AMZuuclFvJI7FIuvZRoZV6NsR-nURWIqew/s128-c0x00000000-cc-rp-mo/photo.jpg","rating":5,"relative_time_description":"2 years ago","text":"Juts quality and service on time","time":1547851817},{"author_name":"Leon Cerna","author_url":"https://www.google.com/maps/contrib/116493129828672306147/reviews","language":null,"profile_photo_url":"https://lh5.googleusercontent.com/-wf1qKvEzzVc/AAAAAAAAAAI/AAAAAAAAAAA/AMZuucl9zG7BR6gNZo3PGFMj4zufMGOxZg/s128-c0x00000000-cc-rp-mo-ba2/photo.jpg","rating":5,"relative_time_description":"2 years ago","text":"","time":1528585896}],"types":["furniture_store","home_goods_store","point_of_interest","store","establishment"],"url":"https://maps.google.com/?cid=17213158680635149753","utc_offset":-480,"vicinity":"16122 Saticoy Street, Van Nuys","website":"https://www.extraordnair.com/"},"status":"OK"}</t>
  </si>
  <si>
    <t>&lt;span class="street-address"&gt;16122 Saticoy St&lt;/span&gt;, &lt;span class="locality"&gt;Van Nuys&lt;/span&gt;, &lt;span class="region"&gt;CA&lt;/span&gt; &lt;span class="postal-code"&gt;91406-2914&lt;/span&gt;, &lt;span class="country-name"&gt;USA&lt;/span&gt;</t>
  </si>
  <si>
    <t>+1 818-785-2577</t>
  </si>
  <si>
    <t>16122 Saticoy Street, Van Nuys</t>
  </si>
  <si>
    <t>https://www.extraordnair.com/</t>
  </si>
  <si>
    <t>https://maps.googleapis.com/maps/api/place/findplacefromtext/json?input=%2B18189336509&amp;inputtype=phonenumber&amp;fields=business_status,formatted_address,geometry,icon,name,permanently_closed,place_id,plus_code,types&amp;key=AIzaSyAUoR1hu32epmid_r-h7_AiXQWhNu3zr3U</t>
  </si>
  <si>
    <t>{"business_status":"OPERATIONAL","formatted_address":"16700 Roscoe Blvd Hangar C, Van Nuys, CA 91406, USA","geometry":{"location":{"lat":34.2193483,"lng":-118.4961384},"viewport":{"northeast":{"lat":34.22083068029149,"lng":-118.4946459697085},"southwest":{"lat":34.2181327197085,"lng":-118.4973439302915}}},"icon":"https://maps.gstatic.com/mapfiles/place_api/icons/v1/png_71/generic_business-71.png","name":"Jetworx","place_id":"ChIJkZ1InVWXwoARUSeMd6K4q9Q","plus_code":{"compound_code":"6G93+PG Van Nuys, Los Angeles, CA, USA","global_code":"85636G93+PG"},"types":["point_of_interest","establishment"]}</t>
  </si>
  <si>
    <t>Jetworx</t>
  </si>
  <si>
    <t>ChIJkZ1InVWXwoARUSeMd6K4q9Q</t>
  </si>
  <si>
    <t>16700 Roscoe Blvd Hangar C, Van Nuys, CA 91406, USA</t>
  </si>
  <si>
    <t>{"html_attributions":[],"result":{"address_components":[{"long_name":"Van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States","short_name":"US","types":["country","political"]},{"long_name":"91406","short_name":"91406","types":["postal_code"]}],"adr_address":"16700 Roscoe Blvd Hangar C, &lt;span class=\"locality\"&gt;Van Nuys&lt;/span&gt;, &lt;span class=\"region\"&gt;CA&lt;/span&gt; &lt;span class=\"postal-code\"&gt;91406&lt;/span&gt;, &lt;span class=\"country-name\"&gt;USA&lt;/span&gt;","formatted_address":"16700 Roscoe Blvd Hangar C, Van Nuys, CA 91406, USA","formatted_phone_number":"(818) 933-6509","geometry":{"location":{"lat":34.2193483,"lng":-118.4961384},"viewport":{"northeast":{"lat":34.22083068029149,"lng":-118.4946459697085},"southwest":{"lat":34.2181327197085,"lng":-118.4973439302915}}},"icon":"https://maps.gstatic.com/mapfiles/place_api/icons/v1/png_71/generic_business-71.png","id":null,"international_phone_number":"+1 818-933-6509","name":"Jetworx","place_id":"ChIJkZ1InVWXwoARUSeMd6K4q9Q","rating":5.0,"reference":null,"reviews":[{"author_name":"Siemen Peter","author_url":"https://www.google.com/maps/contrib/103073596975408056413/reviews","language":null,"profile_photo_url":"https://lh3.googleusercontent.com/a-/AOh14GgaPv_uKpD2vZxzk54A7f6U_wBxKYNDuSthN3tS7g=s128-c0x00000000-cc-rp-mo-ba2","rating":5,"relative_time_description":"3 years ago","text":"","time":1513173188}],"types":["point_of_interest","establishment"],"url":"https://maps.google.com/?cid=15324545164988131153","utc_offset":-480,"vicinity":"16700 Roscoe Blvd Hangar C, Van Nuys","website":"http://www.jetworx.com/"},"status":"OK"}</t>
  </si>
  <si>
    <t>16700 Roscoe Blvd Hangar C, &lt;span class="locality"&gt;Van Nuys&lt;/span&gt;, &lt;span class="region"&gt;CA&lt;/span&gt; &lt;span class="postal-code"&gt;91406&lt;/span&gt;, &lt;span class="country-name"&gt;USA&lt;/span&gt;</t>
  </si>
  <si>
    <t>+1 818-933-6509</t>
  </si>
  <si>
    <t>16700 Roscoe Blvd Hangar C, Van Nuys</t>
  </si>
  <si>
    <t>http://www.jetworx.com/</t>
  </si>
  <si>
    <t>https://maps.googleapis.com/maps/api/place/findplacefromtext/json?input=%2B18183761606&amp;inputtype=phonenumber&amp;fields=business_status,formatted_address,geometry,icon,name,permanently_closed,place_id,plus_code,types&amp;key=AIzaSyAUoR1hu32epmid_r-h7_AiXQWhNu3zr3U</t>
  </si>
  <si>
    <t>{"business_status":"OPERATIONAL","formatted_address":"16101 Saticoy St, Van Nuys, CA 91406, USA","geometry":{"location":{"lat":34.2096312,"lng":-118.4858351},"viewport":{"northeast":{"lat":34.21072313029151,"lng":-118.4844829697085},"southwest":{"lat":34.20802516970851,"lng":-118.4871809302915}}},"icon":"https://maps.gstatic.com/mapfiles/place_api/icons/v1/png_71/generic_business-71.png","name":"Mike Boal Designs","place_id":"ChIJBRtnylWXwoAR6GVeAiL2zbY","plus_code":{"compound_code":"6G57+VM Van Nuys, Los Angeles, CA, USA","global_code":"85636G57+VM"},"types":["point_of_interest","establishment"]}</t>
  </si>
  <si>
    <t>ChIJBRtnylWXwoAR6GVeAiL2zbY</t>
  </si>
  <si>
    <t>16101 Saticoy St, Van Nuys, CA 91406, USA</t>
  </si>
  <si>
    <t>{"html_attributions":[],"result":{"address_components":[{"long_name":"16101","short_name":"16101","types":["street_number"]},{"long_name":"Saticoy Street","short_name":"Saticoy St","types":["route"]},{"long_name":"Van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States","short_name":"US","types":["country","political"]},{"long_name":"91406","short_name":"91406","types":["postal_code"]},{"long_name":"2915","short_name":"2915","types":["postal_code_suffix"]}],"adr_address":"&lt;span class=\"street-address\"&gt;16101 Saticoy St&lt;/span&gt;, &lt;span class=\"locality\"&gt;Van Nuys&lt;/span&gt;, &lt;span class=\"region\"&gt;CA&lt;/span&gt; &lt;span class=\"postal-code\"&gt;91406-2915&lt;/span&gt;, &lt;span class=\"country-name\"&gt;USA&lt;/span&gt;","formatted_address":"16101 Saticoy St, Van Nuys, CA 91406, USA","formatted_phone_number":"(818) 376-1606","geometry":{"location":{"lat":34.2096312,"lng":-118.4858351},"viewport":{"northeast":{"lat":34.21072313029151,"lng":-118.4844829697085},"southwest":{"lat":34.20802516970851,"lng":-118.4871809302915}}},"icon":"https://maps.gstatic.com/mapfiles/place_api/icons/v1/png_71/generic_business-71.png","id":null,"international_phone_number":"+1 818-376-1606","name":"Mike Boal Designs","place_id":"ChIJBRtnylWXwoAR6GVeAiL2zbY","rating":null,"reference":null,"reviews":null,"types":["point_of_interest","establishment"],"url":"https://maps.google.com/?cid=13172455111057630696","utc_offset":-480,"vicinity":"16101 Saticoy Street, Van Nuys","website":"https://mikeboaldesigns.com/"},"status":"OK"}</t>
  </si>
  <si>
    <t>&lt;span class="street-address"&gt;16101 Saticoy St&lt;/span&gt;, &lt;span class="locality"&gt;Van Nuys&lt;/span&gt;, &lt;span class="region"&gt;CA&lt;/span&gt; &lt;span class="postal-code"&gt;91406-2915&lt;/span&gt;, &lt;span class="country-name"&gt;USA&lt;/span&gt;</t>
  </si>
  <si>
    <t>+1 818-376-1606</t>
  </si>
  <si>
    <t>16101 Saticoy Street, Van Nuys</t>
  </si>
  <si>
    <t>https://mikeboaldesigns.com/</t>
  </si>
  <si>
    <t>https://maps.googleapis.com/maps/api/place/findplacefromtext/json?input=%2B18184426500&amp;inputtype=phonenumber&amp;fields=business_status,formatted_address,geometry,icon,name,permanently_closed,place_id,plus_code,types&amp;key=AIzaSyAUoR1hu32epmid_r-h7_AiXQWhNu3zr3U</t>
  </si>
  <si>
    <t>tourist_attraction,point_of_interest,establishment</t>
  </si>
  <si>
    <t>{"business_status":"OPERATIONAL","formatted_address":"Waterman Dr, Van Nuys, CA 91406, USA","geometry":{"location":{"lat":34.2151031,"lng":-118.4884099},"viewport":{"northeast":{"lat":34.2164297802915,"lng":-118.4870603697085},"southwest":{"lat":34.2137318197085,"lng":-118.4897583302915}}},"icon":"https://maps.gstatic.com/mapfiles/place_api/icons/v1/png_71/generic_business-71.png","name":"Van Nuys Airport Observation Area","place_id":"ChIJ1Uf2wgCawoARh0-sbLLuukY","plus_code":{"compound_code":"6G86+2J Van Nuys, Los Angeles, CA, USA","global_code":"85636G86+2J"},"types":["tourist_attraction","point_of_interest","establishment"]}</t>
  </si>
  <si>
    <t>Van Nuys Airport Observation Area</t>
  </si>
  <si>
    <t>ChIJ1Uf2wgCawoARh0-sbLLuukY</t>
  </si>
  <si>
    <t>{"html_attributions":[],"result":{"address_components":[{"long_name":"Waterman Drive","short_name":"Waterman Dr","types":["route"]},{"long_name":"Van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States","short_name":"US","types":["country","political"]},{"long_name":"91406","short_name":"91406","types":["postal_code"]}],"adr_address":"&lt;span class=\"street-address\"&gt;Waterman Dr&lt;/span&gt;, &lt;span class=\"locality\"&gt;Van Nuys&lt;/span&gt;, &lt;span class=\"region\"&gt;CA&lt;/span&gt; &lt;span class=\"postal-code\"&gt;91406&lt;/span&gt;, &lt;span class=\"country-name\"&gt;USA&lt;/span&gt;","formatted_address":"Waterman Dr, Van Nuys, CA 91406, USA","formatted_phone_number":"(818) 442-6500","geometry":{"location":{"lat":34.2151031,"lng":-118.4884099},"viewport":{"northeast":{"lat":34.2164297802915,"lng":-118.4870603697085},"southwest":{"lat":34.2137318197085,"lng":-118.4897583302915}}},"icon":"https://maps.gstatic.com/mapfiles/place_api/icons/v1/png_71/generic_business-71.png","id":null,"international_phone_number":"+1 818-442-6500","name":"Van Nuys Airport Observation Area","place_id":"ChIJ1Uf2wgCawoARh0-sbLLuukY","rating":4.7,"reference":null,"reviews":[{"author_name":"Farhat Hye","author_url":"https://www.google.com/maps/contrib/113486548588076458990/reviews","language":"en","profile_photo_url":"https://lh3.googleusercontent.com/a-/AOh14GjWouthDOcNsXULLpI_CmS44XsTHVnYm6Dy1p7vlQ=s128-c0x00000000-cc-rp-mo","rating":4,"relative_time_description":"a month ago","text":"My son loves to see airplane so we take him there. But sometimes there are a lot of people. You have to be careful because the children runs around and the car comes and goes so just to be sure keep an eye on your children.","time":1609706479},{"author_name":"Vladimir P","author_url":"https://www.google.com/maps/contrib/101465948041951503858/reviews","language":"en","profile_photo_url":"https://lh3.googleusercontent.com/a-/AOh14GjcoNuWRgcT0Phmc1_R3rDWA1K_gKtLM8IvyLk-5dw=s128-c0x00000000-cc-rp-mo-ba2","rating":5,"relative_time_description":"2 months ago","text":"We like this place! Is awesome, have good time with my kids.","time":1606709696},{"author_name":"Donald Jacob","author_url":"https://www.google.com/maps/contrib/104864622026809932886/reviews","language":"en","profile_photo_url":"https://lh3.googleusercontent.com/a-/AOh14GiEQ9kAZjaEQTemINazlB9TbM8c2X2iSNuSiOM3Uw=s128-c0x00000000-cc-rp-mo-ba2","rating":5,"relative_time_description":"a month ago","text":"Great place to go, relax and see some incrediable aircraft. Don't forget your air band radio for an enhanced experience.","time":1610839645},{"author_name":"Dhaval Jariwala","author_url":"https://www.google.com/maps/contrib/101067213044733947313/reviews","language":"en","profile_photo_url":"https://lh3.googleusercontent.com/a-/AOh14GhmtpcAhLyFBXRT7KftNOX2ZAGEaFOX2stWwI0HCA=s128-c0x00000000-cc-rp-mo","rating":5,"relative_time_description":"4 months ago","text":"My girls really enjoy the Helicopter taking off and landing. And love seeing different plane.","time":1602461858},{"author_name":"mike oneal","author_url":"https://www.google.com/maps/contrib/111202679215940811238/reviews","language":"en","profile_photo_url":"https://lh6.googleusercontent.com/-tuQJKJnuBs8/AAAAAAAAAAI/AAAAAAAAAAA/AMZuucl1j7UKBeumceIbUqEeRGesCUGy-A/s128-c0x00000000-cc-rp-mo/photo.jpg","rating":5,"relative_time_description":"a month ago","text":"Seeing the toddler's gaze at the aircraft taxing, landing, and taking off is inspirational. Fun times!","time":1609157300}],"types":["tourist_attraction","point_of_interest","establishment"],"url":"https://maps.google.com/?cid=5096648378417958791","utc_offset":-480,"vicinity":"Waterman Drive, Van Nuys","website":"https://www.iflyvny.com/en/news-and-facts/airport-features"},"status":"OK"}</t>
  </si>
  <si>
    <t>+1 818-442-6500</t>
  </si>
  <si>
    <t>https://www.iflyvny.com/en/news-and-facts/airport-features</t>
  </si>
  <si>
    <t>https://maps.googleapis.com/maps/api/place/findplacefromtext/json?input=THORNTON%20AIRCRAFT%20COMPANY%20LLC%207520%20HAYVENHURST%20AVENUE%20%20VAN%20NUYS%20CA%2091406&amp;key=AIzaSyAUoR1hu32epmid_r-h7_AiXQWhNu3zr3U&amp;inputtype=textquery&amp;fields=business_status,formatted_address,geometry,icon,name,permanently_closed,place_id,plus_code,types</t>
  </si>
  <si>
    <t>{"business_status":"OPERATIONAL","formatted_address":"7520 Hayvenhurst Ave, Van Nuys, CA 91406, United States","geometry":{"location":{"lat":34.2069692,"lng":-118.4937886},"viewport":{"northeast":{"lat":34.20826822989271,"lng":-118.4924394201073},"southwest":{"lat":34.20556857010727,"lng":-118.4951390798928}}},"icon":"https://maps.gstatic.com/mapfiles/place_api/icons/v1/png_71/generic_business-71.png","name":"Thornton Aircraft Co","place_id":"ChIJl5mi4viZwoAROneM4HUIxdo","plus_code":{"compound_code":"6G44+QF Van Nuys, Los Angeles, CA","global_code":"85636G44+QF"},"types":["point_of_interest","store","establishment"]}</t>
  </si>
  <si>
    <t>Thornton Aircraft Co</t>
  </si>
  <si>
    <t>ChIJl5mi4viZwoAROneM4HUIxdo</t>
  </si>
  <si>
    <t>7520 Hayvenhurst Ave, Van Nuys, CA 91406, United States</t>
  </si>
  <si>
    <t>{"html_attributions":[],"result":{"address_components":[{"long_name":"7520","short_name":"7520","types":["street_number"]},{"long_name":"Hayvenhurst Avenue","short_name":"Hayvenhurst Ave","types":["route"]},{"long_name":"Van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States","short_name":"US","types":["country","political"]},{"long_name":"91406","short_name":"91406","types":["postal_code"]},{"long_name":"2844","short_name":"2844","types":["postal_code_suffix"]}],"adr_address":"&lt;span class=\"street-address\"&gt;7520 Hayvenhurst Ave&lt;/span&gt;, &lt;span class=\"locality\"&gt;Van Nuys&lt;/span&gt;, &lt;span class=\"region\"&gt;CA&lt;/span&gt; &lt;span class=\"postal-code\"&gt;91406-2844&lt;/span&gt;, &lt;span class=\"country-name\"&gt;USA&lt;/span&gt;","formatted_address":"7520 Hayvenhurst Ave, Van Nuys, CA 91406, USA","formatted_phone_number":"(818) 787-0205","geometry":{"location":{"lat":34.2069692,"lng":-118.4937886},"viewport":{"northeast":{"lat":34.2082673802915,"lng":-118.4924402697085},"southwest":{"lat":34.2055694197085,"lng":-118.4951382302915}}},"icon":"https://maps.gstatic.com/mapfiles/place_api/icons/v1/png_71/generic_business-71.png","id":null,"international_phone_number":"+1 818-787-0205","name":"Thornton Aircraft Co","place_id":"ChIJl5mi4viZwoAROneM4HUIxdo","rating":5.0,"reference":null,"reviews":[{"author_name":"андрей Моз","author_url":"https://www.google.com/maps/contrib/110993639755379924193/reviews","language":null,"profile_photo_url":"https://lh4.googleusercontent.com/-LOaO-x5Ehbw/AAAAAAAAAAI/AAAAAAAAAAA/AMZuuck3ikow0FVzV9L0s6rrGZYrQI5LdQ/s128-c0x00000000-cc-rp-mo/photo.jpg","rating":5,"relative_time_description":"4 years ago","text":"","time":1461862837},{"author_name":"Mark Bloomer","author_url":"https://www.google.com/maps/contrib/112244178678080110712/reviews","language":null,"profile_photo_url":"https://lh3.googleusercontent.com/a-/AOh14Ghi8nq3ALExBmbJHLfVFYc607N0C_rpUnckvoiM=s128-c0x00000000-cc-rp-mo","rating":5,"relative_time_description":"2 months ago","text":"","time":1606073603},{"author_name":"Terry B.","author_url":"https://www.google.com/maps/contrib/108252125327264690907/reviews","language":null,"profile_photo_url":"https://lh6.googleusercontent.com/-8yTCI_UyfQQ/AAAAAAAAAAI/AAAAAAAAAAA/AMZuucl6-LIvwKRnTkqzgBLiufxsK6LqoA/s128-c0x00000000-cc-rp-mo/photo.jpg","rating":5,"relative_time_description":"3 months ago","text":"","time":1603823024}],"types":["point_of_interest","store","establishment"],"url":"https://maps.google.com/?cid=15764015373051787066","utc_offset":-480,"vicinity":"7520 Hayvenhurst Avenue, Van Nuys","website":"http://www.thorntonaircraft.com/"},"status":"OK"}</t>
  </si>
  <si>
    <t>&lt;span class="street-address"&gt;7520 Hayvenhurst Ave&lt;/span&gt;, &lt;span class="locality"&gt;Van Nuys&lt;/span&gt;, &lt;span class="region"&gt;CA&lt;/span&gt; &lt;span class="postal-code"&gt;91406-2844&lt;/span&gt;, &lt;span class="country-name"&gt;USA&lt;/span&gt;</t>
  </si>
  <si>
    <t>(818) 787-0205</t>
  </si>
  <si>
    <t>+1 818-787-0205</t>
  </si>
  <si>
    <t>7520 Hayvenhurst Avenue, Van Nuys</t>
  </si>
  <si>
    <t>http://www.thorntonaircraft.com/</t>
  </si>
  <si>
    <t>https://maps.googleapis.com/maps/api/place/findplacefromtext/json?input=MATHER%20AVIATION%20VAN%20NUYS%20LLC%207240%20HAVENHURST%20PLACE%20%20VAN%20NUYS%20CA%2091406&amp;key=AIzaSyAUoR1hu32epmid_r-h7_AiXQWhNu3zr3U&amp;inputtype=textquery&amp;fields=business_status,formatted_address,geometry,icon,name,permanently_closed,place_id,plus_code,types</t>
  </si>
  <si>
    <t>{"business_status":"OPERATIONAL","formatted_address":"7240 Hayvenhurst Pl, Van Nuys, CA 91406, United States","geometry":{"location":{"lat":34.2036662,"lng":-118.4922816},"viewport":{"northeast":{"lat":34.20501577989272,"lng":-118.4909996201073},"southwest":{"lat":34.20231612010728,"lng":-118.4936992798928}}},"icon":"https://maps.gstatic.com/mapfiles/place_api/icons/v1/png_71/generic_business-71.png","name":"Mather Aviation","place_id":"ChIJwwAGiPuZwoARj60dJoMRBOA","plus_code":{"compound_code":"6G35+F3 Van Nuys, Los Angeles, CA","global_code":"85636G35+F3"},"types":["point_of_interest","store","establishment"]}</t>
  </si>
  <si>
    <t>Mather Aviation</t>
  </si>
  <si>
    <t>ChIJwwAGiPuZwoARj60dJoMRBOA</t>
  </si>
  <si>
    <t>7240 Hayvenhurst Pl, Van Nuys, CA 91406, United States</t>
  </si>
  <si>
    <t>{"html_attributions":[],"result":{"address_components":[{"long_name":"7240","short_name":"7240","types":["street_number"]},{"long_name":"Hayvenhurst Place","short_name":"Hayvenhurst Pl","types":["route"]},{"long_name":"Van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States","short_name":"US","types":["country","political"]},{"long_name":"91406","short_name":"91406","types":["postal_code"]}],"adr_address":"&lt;span class=\"street-address\"&gt;7240 Hayvenhurst Pl&lt;/span&gt;, &lt;span class=\"locality\"&gt;Van Nuys&lt;/span&gt;, &lt;span class=\"region\"&gt;CA&lt;/span&gt; &lt;span class=\"postal-code\"&gt;91406&lt;/span&gt;, &lt;span class=\"country-name\"&gt;USA&lt;/span&gt;","formatted_address":"7240 Hayvenhurst Pl, Van Nuys, CA 91406, USA","formatted_phone_number":"(818) 782-7473","geometry":{"location":{"lat":34.2036662,"lng":-118.4922816},"viewport":{"northeast":{"lat":34.2050149302915,"lng":-118.4910004697085},"southwest":{"lat":34.2023169697085,"lng":-118.4936984302915}}},"icon":"https://maps.gstatic.com/mapfiles/place_api/icons/v1/png_71/generic_business-71.png","id":null,"international_phone_number":"+1 818-782-7473","name":"Mather Aviation","place_id":"ChIJwwAGiPuZwoARj60dJoMRBOA","rating":null,"reference":null,"reviews":null,"types":["point_of_interest","store","establishment"],"url":"https://maps.google.com/?cid=16142046219380567439","utc_offset":-480,"vicinity":"7240 Hayvenhurst Place, Van Nuys","website":"http://www.matheraviation.com/"},"status":"OK"}</t>
  </si>
  <si>
    <t>&lt;span class="street-address"&gt;7240 Hayvenhurst Pl&lt;/span&gt;, &lt;span class="locality"&gt;Van Nuys&lt;/span&gt;, &lt;span class="region"&gt;CA&lt;/span&gt; &lt;span class="postal-code"&gt;91406&lt;/span&gt;, &lt;span class="country-name"&gt;USA&lt;/span&gt;</t>
  </si>
  <si>
    <t>(818) 782-7473</t>
  </si>
  <si>
    <t>+1 818-782-7473</t>
  </si>
  <si>
    <t>7240 Hayvenhurst Place, Van Nuys</t>
  </si>
  <si>
    <t>http://www.matheraviation.com/</t>
  </si>
  <si>
    <t>https://maps.googleapis.com/maps/api/place/findplacefromtext/json?input=MP%20AERO%2C%20LLC%207701%20WOODLEY%20AVENUE%20%20VAN%20NUYS%20CA%2091406&amp;key=AIzaSyAUoR1hu32epmid_r-h7_AiXQWhNu3zr3U&amp;inputtype=textquery&amp;fields=business_status,formatted_address,geometry,icon,name,permanently_closed,place_id,plus_code,types</t>
  </si>
  <si>
    <t>{"business_status":"OPERATIONAL","formatted_address":"7701 Woodley Ave, Van Nuys, CA 91406, United States","geometry":{"location":{"lat":34.2104936,"lng":-118.4851898},"viewport":{"northeast":{"lat":34.21184497989272,"lng":-118.4837325201073},"southwest":{"lat":34.20914532010728,"lng":-118.4864321798927}}},"icon":"https://maps.gstatic.com/mapfiles/place_api/icons/v1/png_71/generic_business-71.png","name":"MP Aero, LLC","place_id":"ChIJwfsvJFWXwoARiM9hP1nfpgQ","plus_code":{"compound_code":"6G67+5W Van Nuys, Los Angeles, CA","global_code":"85636G67+5W"},"types":["point_of_interest","establishment"]}</t>
  </si>
  <si>
    <t>MP Aero, LLC</t>
  </si>
  <si>
    <t>ChIJwfsvJFWXwoARiM9hP1nfpgQ</t>
  </si>
  <si>
    <t>7701 Woodley Ave, Van Nuys, CA 91406, United States</t>
  </si>
  <si>
    <t>{"html_attributions":[],"result":{"address_components":[{"long_name":"7701","short_name":"7701","types":["street_number"]},{"long_name":"Woodley Avenue","short_name":"Woodley Ave","types":["route"]},{"long_name":"Van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States","short_name":"US","types":["country","political"]},{"long_name":"91406","short_name":"91406","types":["postal_code"]}],"adr_address":"&lt;span class=\"street-address\"&gt;7701 Woodley Ave&lt;/span&gt;, &lt;span class=\"locality\"&gt;Van Nuys&lt;/span&gt;, &lt;span class=\"region\"&gt;CA&lt;/span&gt; &lt;span class=\"postal-code\"&gt;91406&lt;/span&gt;, &lt;span class=\"country-name\"&gt;USA&lt;/span&gt;","formatted_address":"7701 Woodley Ave, Van Nuys, CA 91406, USA","formatted_phone_number":"(818) 901-9828","geometry":{"location":{"lat":34.2104936,"lng":-118.4851898},"viewport":{"northeast":{"lat":34.2118441302915,"lng":-118.4837333697085},"southwest":{"lat":34.2091461697085,"lng":-118.4864313302915}}},"icon":"https://maps.gstatic.com/mapfiles/place_api/icons/v1/png_71/generic_business-71.png","id":null,"international_phone_number":"+1 818-901-9828","name":"MP Aero, LLC","place_id":"ChIJwfsvJFWXwoARiM9hP1nfpgQ","rating":1.0,"reference":null,"reviews":[{"author_name":"Himanshu Kathuria","author_url":"https://www.google.com/maps/contrib/106806729383292212225/reviews","language":"en","profile_photo_url":"https://lh3.googleusercontent.com/a-/AOh14GjBPi6A8o1IR7CWmXLsRBrr5vGg1Ij506fCVYLFbA=s128-c0x00000000-cc-rp-mo","rating":1,"relative_time_description":"7 years ago","text":"They let go of an employee after week 1 and lied to him about the job situation and sat on his paycheck all because they realized that gave him a slightly higher salary. The employee turned down other offers to be with MP aero and was let go after 1 week.","time":1387838231}],"types":["point_of_interest","establishment"],"url":"https://maps.google.com/?cid=335200796694138760","utc_offset":-480,"vicinity":"7701 Woodley Avenue, Van Nuys","website":null},"status":"OK"}</t>
  </si>
  <si>
    <t>&lt;span class="street-address"&gt;7701 Woodley Ave&lt;/span&gt;, &lt;span class="locality"&gt;Van Nuys&lt;/span&gt;, &lt;span class="region"&gt;CA&lt;/span&gt; &lt;span class="postal-code"&gt;91406&lt;/span&gt;, &lt;span class="country-name"&gt;USA&lt;/span&gt;</t>
  </si>
  <si>
    <t>(818) 901-9828</t>
  </si>
  <si>
    <t>+1 818-901-9828</t>
  </si>
  <si>
    <t>7701 Woodley Avenue, Van Nuys</t>
  </si>
  <si>
    <t>https://maps.googleapis.com/maps/api/place/findplacefromtext/json?input=EXTRAORD-N-AIR%2C%20INC.%2016122%20Saticoy%20Street%20%20Van%20Nuys%20CA%2091406&amp;key=AIzaSyAUoR1hu32epmid_r-h7_AiXQWhNu3zr3U&amp;inputtype=textquery&amp;fields=business_status,formatted_address,geometry,icon,name,permanently_closed,place_id,plus_code,types</t>
  </si>
  <si>
    <t>{"business_status":"OPERATIONAL","formatted_address":"16122 Saticoy St, Van Nuys, CA 91406, United States","geometry":{"location":{"lat":34.2081918,"lng":-118.4844778},"viewport":{"northeast":{"lat":34.20954992989273,"lng":-118.4831029701073},"southwest":{"lat":34.20685027010729,"lng":-118.4858026298927}}},"icon":"https://maps.gstatic.com/mapfiles/place_api/icons/v1/png_71/shopping-71.png","name":"Extraord-N-Air","place_id":"ChIJQSeTpPiZwoARuY2w7Z5s4e4","plus_code":{"compound_code":"6G58+76 Van Nuys, Los Angeles, CA","global_code":"85636G58+76"},"types":["furniture_store","home_goods_store","point_of_interest","store","establishment"]}</t>
  </si>
  <si>
    <t>16122 Saticoy St, Van Nuys, CA 91406, United States</t>
  </si>
  <si>
    <t>https://maps.googleapis.com/maps/api/place/findplacefromtext/json?input=A%20PLUS%20AVIONICS%20CORP%207240%20HAYVENHURST%20AVENUE%20%20VAN%20NUYS%20CA%2091406&amp;key=AIzaSyAUoR1hu32epmid_r-h7_AiXQWhNu3zr3U&amp;inputtype=textquery&amp;fields=business_status,formatted_address,geometry,icon,name,permanently_closed,place_id,plus_code,types</t>
  </si>
  <si>
    <t>https://maps.googleapis.com/maps/api/place/findplacefromtext/json?input=RTS%20AIRCRAFT%20SERVICES%20LLC%207155%20Valjean%20Avenue%20Hangar%204%20Van%20Nuys%20CA%2091406&amp;key=AIzaSyAUoR1hu32epmid_r-h7_AiXQWhNu3zr3U&amp;inputtype=textquery&amp;fields=business_status,formatted_address,geometry,icon,name,permanently_closed,place_id,plus_code,types</t>
  </si>
  <si>
    <t>{"business_status":"OPERATIONAL","formatted_address":"7155 Valjean Avenue, Hangar 4, Van Nuys, CA 91406, United States","geometry":{"location":{"lat":34.2005997,"lng":-118.4873475},"viewport":{"northeast":{"lat":34.20200322989272,"lng":-118.4859915201073},"southwest":{"lat":34.19930357010728,"lng":-118.4886911798927}}},"icon":"https://maps.gstatic.com/mapfiles/place_api/icons/v1/png_71/generic_business-71.png","name":"RTS Aircraft Services","place_id":"ChIJF0eQuuKZwoARruyBfp0iKJw","plus_code":{"compound_code":"6G27+63 Van Nuys, Los Angeles, CA","global_code":"85636G27+63"},"types":["point_of_interest","store","establishment"]}</t>
  </si>
  <si>
    <t>RTS Aircraft Services</t>
  </si>
  <si>
    <t>ChIJF0eQuuKZwoARruyBfp0iKJw</t>
  </si>
  <si>
    <t>7155 Valjean Avenue, Hangar 4, Van Nuys, CA 91406, United States</t>
  </si>
  <si>
    <t>{"html_attributions":[],"result":{"address_components":[{"long_name":"Van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States","short_name":"US","types":["country","political"]},{"long_name":"91406","short_name":"91406","types":["postal_code"]}],"adr_address":"7155 Valjean Avenue, Hangar 4, &lt;span class=\"locality\"&gt;Van Nuys&lt;/span&gt;, &lt;span class=\"region\"&gt;CA&lt;/span&gt; &lt;span class=\"postal-code\"&gt;91406&lt;/span&gt;, &lt;span class=\"country-name\"&gt;USA&lt;/span&gt;","formatted_address":"7155 Valjean Avenue, Hangar 4, Van Nuys, CA 91406, USA","formatted_phone_number":"(818) 855-2228","geometry":{"location":{"lat":34.2005997,"lng":-118.4873475},"viewport":{"northeast":{"lat":34.2020023802915,"lng":-118.4859923697085},"southwest":{"lat":34.1993044197085,"lng":-118.4886903302915}}},"icon":"https://maps.gstatic.com/mapfiles/place_api/icons/v1/png_71/generic_business-71.png","id":null,"international_phone_number":"+1 818-855-2228","name":"RTS Aircraft Services","place_id":"ChIJF0eQuuKZwoARruyBfp0iKJw","rating":null,"reference":null,"reviews":null,"types":["point_of_interest","store","establishment"],"url":"https://maps.google.com/?cid=11252281728812838062","utc_offset":-480,"vicinity":"7155 Valjean Avenue, Hangar 4, Van Nuys","website":"http://www.rts.aero/"},"status":"OK"}</t>
  </si>
  <si>
    <t>7155 Valjean Avenue, Hangar 4, &lt;span class="locality"&gt;Van Nuys&lt;/span&gt;, &lt;span class="region"&gt;CA&lt;/span&gt; &lt;span class="postal-code"&gt;91406&lt;/span&gt;, &lt;span class="country-name"&gt;USA&lt;/span&gt;</t>
  </si>
  <si>
    <t>(818) 855-2228</t>
  </si>
  <si>
    <t>+1 818-855-2228</t>
  </si>
  <si>
    <t>7155 Valjean Avenue, Hangar 4, Van Nuys</t>
  </si>
  <si>
    <t>http://www.rts.aero/</t>
  </si>
  <si>
    <t>https://maps.googleapis.com/maps/api/place/findplacefromtext/json?input=HELINET%20AVIATION%20SERVICES%20LLC%2016303%20WATERMAN%20DR.%20%20VAN%20NUYS%20CA%2091406&amp;key=AIzaSyAUoR1hu32epmid_r-h7_AiXQWhNu3zr3U&amp;inputtype=textquery&amp;fields=business_status,formatted_address,geometry,icon,name,permanently_closed,place_id,plus_code,types</t>
  </si>
  <si>
    <t>travel_agency,point_of_interest,establishment</t>
  </si>
  <si>
    <t>{"business_status":"OPERATIONAL","formatted_address":"16303 Waterman Dr, Van Nuys, CA 91406, United States","geometry":{"location":{"lat":34.215257,"lng":-118.487668},"viewport":{"northeast":{"lat":34.21650177989272,"lng":-118.4863486701073},"southwest":{"lat":34.21380212010727,"lng":-118.4890483298927}}},"icon":"https://maps.gstatic.com/mapfiles/place_api/icons/v1/png_71/generic_business-71.png","name":"Helinet","place_id":"ChIJffpugw-awoARB91VQBPLBGo","plus_code":{"compound_code":"6G86+4W Van Nuys, Los Angeles, CA","global_code":"85636G86+4W"},"types":["travel_agency","point_of_interest","establishment"]}</t>
  </si>
  <si>
    <t>Helinet</t>
  </si>
  <si>
    <t>ChIJffpugw-awoARB91VQBPLBGo</t>
  </si>
  <si>
    <t>16303 Waterman Dr, Van Nuys, CA 91406, United States</t>
  </si>
  <si>
    <t>{"html_attributions":[],"result":{"address_components":[{"long_name":"16303","short_name":"16303","types":["street_number"]},{"long_name":"Waterman Drive","short_name":"Waterman Dr","types":["route"]},{"long_name":"Van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States","short_name":"US","types":["country","political"]},{"long_name":"91406","short_name":"91406","types":["postal_code"]}],"adr_address":"&lt;span class=\"street-address\"&gt;16303 Waterman Dr&lt;/span&gt;, &lt;span class=\"locality\"&gt;Van Nuys&lt;/span&gt;, &lt;span class=\"region\"&gt;CA&lt;/span&gt; &lt;span class=\"postal-code\"&gt;91406&lt;/span&gt;, &lt;span class=\"country-name\"&gt;USA&lt;/span&gt;","formatted_address":"16303 Waterman Dr, Van Nuys, CA 91406, USA","formatted_phone_number":"(818) 902-0229","geometry":{"location":{"lat":34.215257,"lng":-118.487668},"viewport":{"northeast":{"lat":34.2165009302915,"lng":-118.4863495197085},"southwest":{"lat":34.2138029697085,"lng":-118.4890474802915}}},"icon":"https://maps.gstatic.com/mapfiles/place_api/icons/v1/png_71/generic_business-71.png","id":null,"international_phone_number":"+1 818-902-0229","name":"Helinet","place_id":"ChIJffpugw-awoARB91VQBPLBGo","rating":4.1,"reference":null,"reviews":[{"author_name":"Sam Bien","author_url":"https://www.google.com/maps/contrib/114932441746529753752/reviews","language":"en","profile_photo_url":"https://lh6.googleusercontent.com/-rnbXWvPUxq4/AAAAAAAAAAI/AAAAAAAAAAA/AMZuuclZKcQ5bHs81XYp86WSjAvZ1nkhrA/s128-c0x00000000-cc-rp-mo/photo.jpg","rating":1,"relative_time_description":"a week ago","text":"They do not follow the voluntary 7 am curfew and hover over residential areas. Very upsetting.","time":1612534803},{"author_name":"N Brown","author_url":"https://www.google.com/maps/contrib/117780332006248904192/reviews","language":"en","profile_photo_url":"https://lh3.googleusercontent.com/a-/AOh14GhSTAtDVa3SMZjRBrGqVDSsG0Mzmu6I-UHtDDy5=s128-c0x00000000-cc-rp-mo","rating":5,"relative_time_description":"a year ago","text":"For those with concerns as to how or why a helicopter can or may fly lower than fixed wing traffic in your area, please understand it is recognized and sanctioned in most cases by the FAA.\n\nIn summary, Part 91.119 of the FAR contains 4 general paragraphs concerning the flight altitudes of aircraft. Specific to helicopters will be paragraph 4, which in short states helicopters do not have to abide by altitude restrictions unless specifically prescribed for them.\n\nHelicopters are often chosen for their unique ability to do what planes cannot....which is to precisely maneuver and/or hover in a given area for a multitude of reasons. Hence the need for helicopters to operate separately from general FAA fixed wing regulations.","time":1564357285},{"author_name":"Airstream Jets","author_url":"https://www.google.com/maps/contrib/102879533825812002590/reviews","language":"en","profile_photo_url":"https://lh3.googleusercontent.com/a-/AOh14GhS0qTutbK3eGe7JqV1Mcy-JuvViZF2YgehK0kebA=s128-c0x00000000-cc-rp-mo-ba2","rating":5,"relative_time_description":"2 years ago","text":"Helinet is a trusted partner of ASJ and a highly experiened helicopter charter company in Southern California. Brady and his team at Helinet are second to none. Very professional, responsive and they have the finest fleet of choppers you will find anywhere.","time":1523996705},{"author_name":"P R","author_url":"https://www.google.com/maps/contrib/104121981803420701237/reviews","language":"en","profile_photo_url":"https://lh3.googleusercontent.com/-gP26hCQ4BBk/AAAAAAAAAAI/AAAAAAAAAAA/AMZuuckM7qLXQj8j-xZDgb2USE73N8lITg/s128-c0x00000000-cc-rp-mo/photo.jpg","rating":1,"relative_time_description":"2 years ago","text":"Unfortunately, this company has difficulty with following flight regulations and standards. Myself and several associates will be filing an operations report with the FAA. We are disappointed as this used to be a great company.","time":1545256008},{"author_name":"Average Joe","author_url":"https://www.google.com/maps/contrib/102758871154664338097/reviews","language":"en","profile_photo_url":"https://lh6.googleusercontent.com/-7kLDiLPRF8g/AAAAAAAAAAI/AAAAAAAAAAA/AMZuucnmPiyK6c6qAp6bd15SehE9Z-IRng/s128-c0x00000000-cc-rp-mo/photo.jpg","rating":1,"relative_time_description":"a year ago","text":"These guys fly very low over the tops of Sherman Oaks and Studio City residential neighborhoods. They claim they're following prescribed flight paths but when you contact VNY, you are told the helicopter pilots can fly at a higher altitude but they choose not to. Plus they completely ignore the voluntary curfew on flying before 7AM because...they get paid money to violate the curfew so they just don't care.\n\nHelinet Aviation is an inconsiderate neighbor and should be boycotted.","time":1558541086}],"types":["travel_agency","point_of_interest","establishment"],"url":"https://maps.google.com/?cid=7639454151471389959","utc_offset":-480,"vicinity":"16303 Waterman Drive, Van Nuys","website":"http://helinet.com/"},"status":"OK"}</t>
  </si>
  <si>
    <t>&lt;span class="street-address"&gt;16303 Waterman Dr&lt;/span&gt;, &lt;span class="locality"&gt;Van Nuys&lt;/span&gt;, &lt;span class="region"&gt;CA&lt;/span&gt; &lt;span class="postal-code"&gt;91406&lt;/span&gt;, &lt;span class="country-name"&gt;USA&lt;/span&gt;</t>
  </si>
  <si>
    <t>http://helinet.com/</t>
  </si>
  <si>
    <t>https://maps.googleapis.com/maps/api/place/findplacefromtext/json?input=L%20G%20ELECTRICAL%20INC%2016124%20LEADWELL%20STREET%20%20VAN%20NUYS%20CA%2091406&amp;key=AIzaSyAUoR1hu32epmid_r-h7_AiXQWhNu3zr3U&amp;inputtype=textquery&amp;fields=business_status,formatted_address,geometry,icon,name,permanently_closed,place_id,plus_code,types</t>
  </si>
  <si>
    <t>electrician,point_of_interest,establishment</t>
  </si>
  <si>
    <t>{"business_status":"OPERATIONAL","formatted_address":"16124 Leadwell St, Van Nuys, CA 91406, United States","geometry":{"location":{"lat":34.2036864,"lng":-118.4845597},"viewport":{"northeast":{"lat":34.20505682989272,"lng":-118.4832251701073},"southwest":{"lat":34.20235717010728,"lng":-118.4859248298927}}},"icon":"https://maps.gstatic.com/mapfiles/place_api/icons/v1/png_71/generic_business-71.png","name":"L.G. Electrical Inc.","place_id":"ChIJ8xVMt1eXwoARMyUIlhJYS-0","plus_code":{"compound_code":"6G38+F5 Van Nuys, Los Angeles, CA","global_code":"85636G38+F5"},"types":["electrician","point_of_interest","establishment"]}</t>
  </si>
  <si>
    <t>L.G. Electrical Inc.</t>
  </si>
  <si>
    <t>ChIJ8xVMt1eXwoARMyUIlhJYS-0</t>
  </si>
  <si>
    <t>16124 Leadwell St, Van Nuys, CA 91406, United States</t>
  </si>
  <si>
    <t>{"html_attributions":[],"result":{"address_components":[{"long_name":"16124","short_name":"16124","types":["street_number"]},{"long_name":"Leadwell Street","short_name":"Leadwell St","types":["route"]},{"long_name":"Van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States","short_name":"US","types":["country","political"]},{"long_name":"91406","short_name":"91406","types":["postal_code"]},{"long_name":"3424","short_name":"3424","types":["postal_code_suffix"]}],"adr_address":"&lt;span class=\"street-address\"&gt;16124 Leadwell St&lt;/span&gt;, &lt;span class=\"locality\"&gt;Van Nuys&lt;/span&gt;, &lt;span class=\"region\"&gt;CA&lt;/span&gt; &lt;span class=\"postal-code\"&gt;91406-3424&lt;/span&gt;, &lt;span class=\"country-name\"&gt;USA&lt;/span&gt;","formatted_address":"16124 Leadwell St, Van Nuys, CA 91406, USA","formatted_phone_number":"(818) 989-3766","geometry":{"location":{"lat":34.20368639999999,"lng":-118.4845597},"viewport":{"northeast":{"lat":34.20505598029149,"lng":-118.4832260197085},"southwest":{"lat":34.20235801970849,"lng":-118.4859239802915}}},"icon":"https://maps.gstatic.com/mapfiles/place_api/icons/v1/png_71/generic_business-71.png","id":null,"international_phone_number":"+1 818-989-3766","name":"L.G. Electrical Inc.","place_id":"ChIJ8xVMt1eXwoARMyUIlhJYS-0","rating":null,"reference":null,"reviews":null,"types":["electrician","point_of_interest","establishment"],"url":"https://maps.google.com/?cid=17098857247091991859","utc_offset":-480,"vicinity":"16124 Leadwell Street, Van Nuys","website":"http://www.lgelectricalinc.com/"},"status":"OK"}</t>
  </si>
  <si>
    <t>&lt;span class="street-address"&gt;16124 Leadwell St&lt;/span&gt;, &lt;span class="locality"&gt;Van Nuys&lt;/span&gt;, &lt;span class="region"&gt;CA&lt;/span&gt; &lt;span class="postal-code"&gt;91406-3424&lt;/span&gt;, &lt;span class="country-name"&gt;USA&lt;/span&gt;</t>
  </si>
  <si>
    <t>(818) 989-3766</t>
  </si>
  <si>
    <t>+1 818-989-3766</t>
  </si>
  <si>
    <t>16124 Leadwell Street, Van Nuys</t>
  </si>
  <si>
    <t>http://www.lgelectricalinc.com/</t>
  </si>
  <si>
    <t>https://maps.googleapis.com/maps/api/place/findplacefromtext/json?input=AERO%20NASCH%20AVIATION%20INC%206849%20HAYVENHURST%20AVE%20%20VAN%20NUYS%20CA%2091406&amp;key=AIzaSyAUoR1hu32epmid_r-h7_AiXQWhNu3zr3U&amp;inputtype=textquery&amp;fields=business_status,formatted_address,geometry,icon,name,permanently_closed,place_id,plus_code,types</t>
  </si>
  <si>
    <t>{"business_status":"OPERATIONAL","formatted_address":"6849 Hayvenhurst Ave, Van Nuys, CA 91406, United States","geometry":{"location":{"lat":34.1952925,"lng":-118.4926321},"viewport":{"northeast":{"lat":34.19655852989272,"lng":-118.4912819201073},"southwest":{"lat":34.19385887010728,"lng":-118.4939815798927}}},"icon":"https://maps.gstatic.com/mapfiles/place_api/icons/v1/png_71/shopping-71.png","name":"Aero-Nasch Aviation","place_id":"ChIJoWu3GuSZwoAR2s4aVf7QNRM","plus_code":{"compound_code":"5GW4+4W Van Nuys, Los Angeles, CA","global_code":"85635GW4+4W"},"types":["furniture_store","home_goods_store","point_of_interest","store","establishment"]}</t>
  </si>
  <si>
    <t>Aero-Nasch Aviation</t>
  </si>
  <si>
    <t>ChIJoWu3GuSZwoAR2s4aVf7QNRM</t>
  </si>
  <si>
    <t>6849 Hayvenhurst Ave, Van Nuys, CA 91406, United States</t>
  </si>
  <si>
    <t>{"html_attributions":[],"result":{"address_components":[{"long_name":"6849","short_name":"6849","types":["street_number"]},{"long_name":"Hayvenhurst Avenue","short_name":"Hayvenhurst Ave","types":["route"]},{"long_name":"Van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States","short_name":"US","types":["country","political"]},{"long_name":"91406","short_name":"91406","types":["postal_code"]},{"long_name":"4718","short_name":"4718","types":["postal_code_suffix"]}],"adr_address":"&lt;span class=\"street-address\"&gt;6849 Hayvenhurst Ave&lt;/span&gt;, &lt;span class=\"locality\"&gt;Van Nuys&lt;/span&gt;, &lt;span class=\"region\"&gt;CA&lt;/span&gt; &lt;span class=\"postal-code\"&gt;91406-4718&lt;/span&gt;, &lt;span class=\"country-name\"&gt;USA&lt;/span&gt;","formatted_address":"6849 Hayvenhurst Ave, Van Nuys, CA 91406, USA","formatted_phone_number":"(818) 786-5480","geometry":{"location":{"lat":34.1952925,"lng":-118.4926321},"viewport":{"northeast":{"lat":34.1965576802915,"lng":-118.4912827697085},"southwest":{"lat":34.1938597197085,"lng":-118.4939807302915}}},"icon":"https://maps.gstatic.com/mapfiles/place_api/icons/v1/png_71/shopping-71.png","id":null,"international_phone_number":"+1 818-786-5480","name":"Aero-Nasch Aviation","place_id":"ChIJoWu3GuSZwoAR2s4aVf7QNRM","rating":5.0,"reference":null,"reviews":[{"author_name":"jacqui knapp","author_url":"https://www.google.com/maps/contrib/105731547914683645395/reviews","language":"en","profile_photo_url":"https://lh3.googleusercontent.com/a-/AOh14GjVKWOhyoH6b9-NvI8n3-gvk-gLTcwbhTF0DJB7BA=s128-c0x00000000-cc-rp-mo","rating":5,"relative_time_description":"a year ago","text":"Aero-Nasch is a leader in the field for good reason. Bill, Edwin, Umberto and the rest of the team are amazing. So creative, many options, reliability and execution. I look forward to each and every project!","time":1569258324},{"author_name":"philly Fail","author_url":"https://www.google.com/maps/contrib/105855785798718104549/reviews","language":"en","profile_photo_url":"https://lh3.googleusercontent.com/a-/AOh14GgKDitQojP34F_n1Ie8kN2nEbwGs5U8OjBlQFgMew=s128-c0x00000000-cc-rp-mo-ba3","rating":5,"relative_time_description":"a year ago","text":"Best aircraft interior shop around!","time":1553872682},{"author_name":"Richard Klein","author_url":"https://www.google.com/maps/contrib/115597867106769414793/reviews","language":null,"profile_photo_url":"https://lh3.googleusercontent.com/-p_vpdUsejWE/AAAAAAAAAAI/AAAAAAAAAAA/AMZuucknfKuEkjGUBW_rn_n7j_icEP4fcg/s128-c0x00000000-cc-rp-mo-ba4/photo.jpg","rating":5,"relative_time_description":"2 years ago","text":"","time":1538621504},{"author_name":"Trevor Ester","author_url":"https://www.google.com/maps/contrib/115345508088503589579/reviews","language":null,"profile_photo_url":"https://lh4.googleusercontent.com/-fw-VGoPRl6c/AAAAAAAAAAI/AAAAAAAAAAA/AMZuucnQSXSEWrL6MHzVvtdtlPXt0c8S4A/s128-c0x00000000-cc-rp-mo/photo.jpg","rating":5,"relative_time_description":"2 years ago","text":"","time":1525629893}],"types":["furniture_store","home_goods_store","point_of_interest","store","establishment"],"url":"https://maps.google.com/?cid=1384242251254386394","utc_offset":-480,"vicinity":"6849 Hayvenhurst Avenue, Van Nuys","website":"http://www.aeronasch.com/"},"status":"OK"}</t>
  </si>
  <si>
    <t>&lt;span class="street-address"&gt;6849 Hayvenhurst Ave&lt;/span&gt;, &lt;span class="locality"&gt;Van Nuys&lt;/span&gt;, &lt;span class="region"&gt;CA&lt;/span&gt; &lt;span class="postal-code"&gt;91406-4718&lt;/span&gt;, &lt;span class="country-name"&gt;USA&lt;/span&gt;</t>
  </si>
  <si>
    <t>(818) 786-5480</t>
  </si>
  <si>
    <t>+1 818-786-5480</t>
  </si>
  <si>
    <t>6849 Hayvenhurst Avenue, Van Nuys</t>
  </si>
  <si>
    <t>http://www.aeronasch.com/</t>
  </si>
  <si>
    <t>https://maps.googleapis.com/maps/api/place/findplacefromtext/json?input=SOCAL%20JETS%20INC%207035%20SOPHIA%20AVENUE%20%20VAN%20NUYS%20CA%2091406&amp;key=AIzaSyAUoR1hu32epmid_r-h7_AiXQWhNu3zr3U&amp;inputtype=textquery&amp;fields=business_status,formatted_address,geometry,icon,name,permanently_closed,place_id,plus_code,types</t>
  </si>
  <si>
    <t>{"business_status":"OPERATIONAL","formatted_address":"7035 Sophia Ave, Van Nuys, CA 91406, United States","geometry":{"location":{"lat":34.198185,"lng":-118.4871381},"viewport":{"northeast":{"lat":34.19953527989272,"lng":-118.4857113701073},"southwest":{"lat":34.19683562010728,"lng":-118.4884110298927}}},"icon":"https://maps.gstatic.com/mapfiles/place_api/icons/v1/png_71/generic_business-71.png","name":"SoCal Jets","place_id":"ChIJldx5cOKZwoARaselJ2wgA3s","plus_code":{"compound_code":"5GX7+74 Van Nuys, Los Angeles, CA","global_code":"85635GX7+74"},"types":["point_of_interest","establishment"]}</t>
  </si>
  <si>
    <t>SoCal Jets</t>
  </si>
  <si>
    <t>ChIJldx5cOKZwoARaselJ2wgA3s</t>
  </si>
  <si>
    <t>7035 Sophia Ave, Van Nuys, CA 91406, United States</t>
  </si>
  <si>
    <t>{"html_attributions":[],"result":{"address_components":[{"long_name":"7035","short_name":"7035","types":["street_number"]},{"long_name":"Sophia Avenue","short_name":"Sophia Ave","types":["route"]},{"long_name":"Van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States","short_name":"US","types":["country","political"]},{"long_name":"91406","short_name":"91406","types":["postal_code"]},{"long_name":"3909","short_name":"3909","types":["postal_code_suffix"]}],"adr_address":"&lt;span class=\"street-address\"&gt;7035 Sophia Ave&lt;/span&gt;, &lt;span class=\"locality\"&gt;Van Nuys&lt;/span&gt;, &lt;span class=\"region\"&gt;CA&lt;/span&gt; &lt;span class=\"postal-code\"&gt;91406-3909&lt;/span&gt;, &lt;span class=\"country-name\"&gt;USA&lt;/span&gt;","formatted_address":"7035 Sophia Ave, Van Nuys, CA 91406, USA","formatted_phone_number":"(818) 782-6658","geometry":{"location":{"lat":34.198185,"lng":-118.4871381},"viewport":{"northeast":{"lat":34.19953443029151,"lng":-118.4857122197085},"southwest":{"lat":34.19683646970851,"lng":-118.4884101802915}}},"icon":"https://maps.gstatic.com/mapfiles/place_api/icons/v1/png_71/generic_business-71.png","id":null,"international_phone_number":"+1 818-782-6658","name":"SoCal Jets","place_id":"ChIJldx5cOKZwoARaselJ2wgA3s","rating":5.0,"reference":null,"reviews":[{"author_name":"philly Fail","author_url":"https://www.google.com/maps/contrib/105855785798718104549/reviews","language":null,"profile_photo_url":"https://lh3.googleusercontent.com/a-/AOh14GgKDitQojP34F_n1Ie8kN2nEbwGs5U8OjBlQFgMew=s128-c0x00000000-cc-rp-mo-ba3","rating":5,"relative_time_description":"a year ago","text":"","time":1560541104},{"author_name":"Danny Isaacs","author_url":"https://www.google.com/maps/contrib/101257902121423231093/reviews","language":null,"profile_photo_url":"https://lh4.googleusercontent.com/-mxA5d-qF6CU/AAAAAAAAAAI/AAAAAAAAAAA/AMZuuclqfS3Vy8SrUf9Hs3-Juiz5hG4HoQ/s128-c0x00000000-cc-rp-mo/photo.jpg","rating":5,"relative_time_description":"3 years ago","text":"","time":1490072017}],"types":["point_of_interest","establishment"],"url":"https://maps.google.com/?cid=8863964140489000810","utc_offset":-480,"vicinity":"7035 Sophia Avenue, Van Nuys","website":"http://www.socaljets.aero/"},"status":"OK"}</t>
  </si>
  <si>
    <t>&lt;span class="street-address"&gt;7035 Sophia Ave&lt;/span&gt;, &lt;span class="locality"&gt;Van Nuys&lt;/span&gt;, &lt;span class="region"&gt;CA&lt;/span&gt; &lt;span class="postal-code"&gt;91406-3909&lt;/span&gt;, &lt;span class="country-name"&gt;USA&lt;/span&gt;</t>
  </si>
  <si>
    <t>(818) 782-6658</t>
  </si>
  <si>
    <t>+1 818-782-6658</t>
  </si>
  <si>
    <t>7035 Sophia Avenue, Van Nuys</t>
  </si>
  <si>
    <t>http://www.socaljets.aero/</t>
  </si>
  <si>
    <t>https://maps.googleapis.com/maps/api/place/findplacefromtext/json?input=WESTERN%20JET%20AVIATION%20INC%2016101%20SATICOY%20STREET%20901%20HANGAR%2C%20VAN%20NUYS%20AIRPORT%20VAN%20NUYS%20CA%2091406&amp;key=AIzaSyAUoR1hu32epmid_r-h7_AiXQWhNu3zr3U&amp;inputtype=textquery&amp;fields=business_status,formatted_address,geometry,icon,name,permanently_closed,place_id,plus_code,types</t>
  </si>
  <si>
    <t>{"business_status":"OPERATIONAL","formatted_address":"16101 Saticoy St, Van Nuys, CA 91406, United States","geometry":{"location":{"lat":34.2095917,"lng":-118.4859476},"viewport":{"northeast":{"lat":34.21070377989273,"lng":-118.4845948701073},"southwest":{"lat":34.20800412010728,"lng":-118.4872945298928}}},"icon":"https://maps.gstatic.com/mapfiles/place_api/icons/v1/png_71/generic_business-71.png","name":"Western Jet Aviation","place_id":"ChIJeydpylWXwoARJjD-N-gxV7I","plus_code":{"compound_code":"6G57+RJ Van Nuys, Los Angeles, CA","global_code":"85636G57+RJ"},"types":["point_of_interest","establishment"]}</t>
  </si>
  <si>
    <t>Western Jet Aviation</t>
  </si>
  <si>
    <t>ChIJeydpylWXwoARJjD-N-gxV7I</t>
  </si>
  <si>
    <t>16101 Saticoy St, Van Nuys, CA 91406, United States</t>
  </si>
  <si>
    <t>{"html_attributions":[],"result":{"address_components":[{"long_name":"16101","short_name":"16101","types":["street_number"]},{"long_name":"Saticoy Street","short_name":"Saticoy St","types":["route"]},{"long_name":"Van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States","short_name":"US","types":["country","political"]},{"long_name":"91406","short_name":"91406","types":["postal_code"]},{"long_name":"2915","short_name":"2915","types":["postal_code_suffix"]}],"adr_address":"&lt;span class=\"street-address\"&gt;16101 Saticoy St&lt;/span&gt;, &lt;span class=\"locality\"&gt;Van Nuys&lt;/span&gt;, &lt;span class=\"region\"&gt;CA&lt;/span&gt; &lt;span class=\"postal-code\"&gt;91406-2915&lt;/span&gt;, &lt;span class=\"country-name\"&gt;USA&lt;/span&gt;","formatted_address":"16101 Saticoy St, Van Nuys, CA 91406, USA","formatted_phone_number":"(818) 785-2250","geometry":{"location":{"lat":34.2095917,"lng":-118.4859476},"viewport":{"northeast":{"lat":34.2107029302915,"lng":-118.4845957197085},"southwest":{"lat":34.2080049697085,"lng":-118.4872936802915}}},"icon":"https://maps.gstatic.com/mapfiles/place_api/icons/v1/png_71/generic_business-71.png","id":null,"international_phone_number":"+1 818-785-2250","name":"Western Jet Aviation","place_id":"ChIJeydpylWXwoARJjD-N-gxV7I","rating":4.3,"reference":null,"reviews":[{"author_name":"Justin Ihm","author_url":"https://www.google.com/maps/contrib/109512016819361589443/reviews","language":"en","profile_photo_url":"https://lh3.googleusercontent.com/a-/AOh14Ghf_R-1YrErkf6bJLj0TGNxv-gB3llm_p4d4Q4sXiE=s128-c0x00000000-cc-rp-mo-ba4","rating":5,"relative_time_description":"7 months ago","text":"Great place to store your plane, amazing and very helpful staff. Extremely professional and always ready to help. Thanks for a great experience every time!","time":1594092492},{"author_name":"Tom Cirieco","author_url":"https://www.google.com/maps/contrib/115597457851429340585/reviews","language":"en","profile_photo_url":"https://lh3.googleusercontent.com/a-/AOh14Gj8M3RDW_cLt8V8WsBMFIJKR4XKIngDibAd-P-0yA=s128-c0x00000000-cc-rp-mo-ba3","rating":1,"relative_time_description":"5 months ago","text":"Very badd place to work ! nothing but bullies work there On your   Jet engines  And avionics","time":1600231938},{"author_name":"Scott Holm","author_url":"https://www.google.com/maps/contrib/118374496419604013871/reviews","language":"en","profile_photo_url":"https://lh6.googleusercontent.com/-jlQKPuKJ33Q/AAAAAAAAAAI/AAAAAAAAAAA/AMZuucl9pj1GCVim2TPVR8oukUgtrZ1jow/s128-c0x00000000-cc-rp-mo-ba4/photo.jpg","rating":5,"relative_time_description":"9 months ago","text":"Jim Hansen the owner is one of the best Gulfstream guys in the industry.  Van Nuys is lucky to have Jim and Western jet.","time":1587648044},{"author_name":"levon vartanian","author_url":"https://www.google.com/maps/contrib/105944045539835896967/reviews","language":"en","profile_photo_url":"https://lh3.googleusercontent.com/a-/AOh14Gj7YS2d-0gW5jya9ZuLMFFhxvUIW-vlaXiOW-HZ=s128-c0x00000000-cc-rp-mo","rating":5,"relative_time_description":"in the last week","text":"Best in the west","time":1613153912},{"author_name":"Ben Cruz","author_url":"https://www.google.com/maps/contrib/117367945838624526218/reviews","language":"en","profile_photo_url":"https://lh3.googleusercontent.com/a-/AOh14GhBDcEuNIlKLl_tXhx-vxh4V4VIdP7N19FKQPeD=s128-c0x00000000-cc-rp-mo","rating":3,"relative_time_description":"a year ago","text":"A great facility, solid organization, and quality teamwork led by a dedicated pool of experienced mechanics, leads, techs, support staff, and a couple of green mechanics (fresh) out of A &amp; P School.","time":1561015453}],"types":["point_of_interest","establishment"],"url":"https://maps.google.com/?cid=12850794935166578726","utc_offset":-480,"vicinity":"16101 Saticoy Street, Van Nuys","website":"https://westernjetaviation.com/"},"status":"OK"}</t>
  </si>
  <si>
    <t>(818) 785-2250</t>
  </si>
  <si>
    <t>+1 818-785-2250</t>
  </si>
  <si>
    <t>https://westernjetaviation.com/</t>
  </si>
  <si>
    <t>https://maps.googleapis.com/maps/api/place/findplacefromtext/json?input=REPAIRTECH%20INTERNATIONAL%20INC%2016134%20SATICOY%20STREET%20%20VAN%20NUYS%20CA%2091406&amp;key=AIzaSyAUoR1hu32epmid_r-h7_AiXQWhNu3zr3U&amp;inputtype=textquery&amp;fields=business_status,formatted_address,geometry,icon,name,permanently_closed,place_id,plus_code,types</t>
  </si>
  <si>
    <t>car_repair,point_of_interest,establishment</t>
  </si>
  <si>
    <t>{"business_status":"OPERATIONAL","formatted_address":"16134 Saticoy St, Van Nuys, CA 91406, United States","geometry":{"location":{"lat":34.2080736,"lng":-118.4849106},"viewport":{"northeast":{"lat":34.20945522989272,"lng":-118.4834729701073},"southwest":{"lat":34.20675557010728,"lng":-118.4861726298927}}},"icon":"https://maps.gstatic.com/mapfiles/place_api/icons/v1/png_71/generic_business-71.png","name":"Repair Tech International Inc","place_id":"ChIJLyeVv1WXwoARpMO9aSWWBF4","plus_code":{"compound_code":"6G58+62 Van Nuys, Los Angeles, CA","global_code":"85636G58+62"},"types":["car_repair","point_of_interest","establishment"]}</t>
  </si>
  <si>
    <t>Repair Tech International Inc</t>
  </si>
  <si>
    <t>ChIJLyeVv1WXwoARpMO9aSWWBF4</t>
  </si>
  <si>
    <t>16134 Saticoy St, Van Nuys, CA 91406, United States</t>
  </si>
  <si>
    <t>{"html_attributions":[],"result":{"address_components":[{"long_name":"16134","short_name":"16134","types":["street_number"]},{"long_name":"Saticoy Street","short_name":"Saticoy St","types":["route"]},{"long_name":"Van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States","short_name":"US","types":["country","political"]},{"long_name":"91406","short_name":"91406","types":["postal_code"]},{"long_name":"2914","short_name":"2914","types":["postal_code_suffix"]}],"adr_address":"&lt;span class=\"street-address\"&gt;16134 Saticoy St&lt;/span&gt;, &lt;span class=\"locality\"&gt;Van Nuys&lt;/span&gt;, &lt;span class=\"region\"&gt;CA&lt;/span&gt; &lt;span class=\"postal-code\"&gt;91406-2914&lt;/span&gt;, &lt;span class=\"country-name\"&gt;USA&lt;/span&gt;","formatted_address":"16134 Saticoy St, Van Nuys, CA 91406, USA","formatted_phone_number":"(818) 989-2681","geometry":{"location":{"lat":34.2080736,"lng":-118.4849106},"viewport":{"northeast":{"lat":34.2094543802915,"lng":-118.4834738197085},"southwest":{"lat":34.2067564197085,"lng":-118.4861717802915}}},"icon":"https://maps.gstatic.com/mapfiles/place_api/icons/v1/png_71/generic_business-71.png","id":null,"international_phone_number":"+1 818-989-2681","name":"Repair Tech International Inc","place_id":"ChIJLyeVv1WXwoARpMO9aSWWBF4","rating":3.7,"reference":null,"reviews":[{"author_name":"Penny Burns","author_url":"https://www.google.com/maps/contrib/100792466637966189821/reviews","language":"en","profile_photo_url":"https://lh3.googleusercontent.com/a-/AOh14Gg_W-qIREaOzceUN2tmbwtp0JSmPSYoU6t6osRpnw=s128-c0x00000000-cc-rp-mo-ba2","rating":5,"relative_time_description":"6 months ago","text":"Great people to work with","time":1595510280},{"author_name":"mayra martinez","author_url":"https://www.google.com/maps/contrib/104138776905471648766/reviews","language":"en-US","profile_photo_url":"https://lh3.googleusercontent.com/a-/AOh14GiX7l_A23Sq6p7a27e7LPLH15WYlvItbr9Ee-7VeQ=s128-c0x00000000-cc-rp-mo","rating":1,"relative_time_description":"a month ago","text":"Rats","time":1610440174},{"author_name":"Msu Sahin","author_url":"https://www.google.com/maps/contrib/115641988982096517424/reviews","language":null,"profile_photo_url":"https://lh3.googleusercontent.com/a-/AOh14Gio2b-gf2D2Hz-MEEra0l0XfS79jr8m_lux1Unu72E=s128-c0x00000000-cc-rp-mo","rating":1,"relative_time_description":"4 years ago","text":"","time":1467126742},{"author_name":"Hervey Avila","author_url":"https://www.google.com/maps/contrib/112000082232682199601/reviews","language":null,"profile_photo_url":"https://lh6.googleusercontent.com/-iKHOkSx4RPM/AAAAAAAAAAI/AAAAAAAAAAA/AMZuuclhNYd6zmilN-G7_4qKuhbI8mkZCw/s128-c0x00000000-cc-rp-mo/photo.jpg","rating":5,"relative_time_description":"12 months ago","text":"","time":1582261054},{"author_name":"Timothy Pop","author_url":"https://www.google.com/maps/contrib/100055076364051338321/reviews","language":null,"profile_photo_url":"https://lh5.googleusercontent.com/-7RvQas6wRz8/AAAAAAAAAAI/AAAAAAAAAAA/AMZuuclg1znqrNHT9oJu_MHeltqOVeUoGw/s128-c0x00000000-cc-rp-mo/photo.jpg","rating":5,"relative_time_description":"3 years ago","text":"","time":1499091493}],"types":["car_repair","point_of_interest","establishment"],"url":"https://maps.google.com/?cid=6774704826904069028","utc_offset":-480,"vicinity":"16134 Saticoy Street, Van Nuys","website":"http://www.repairtechinternational.com/"},"status":"OK"}</t>
  </si>
  <si>
    <t>&lt;span class="street-address"&gt;16134 Saticoy St&lt;/span&gt;, &lt;span class="locality"&gt;Van Nuys&lt;/span&gt;, &lt;span class="region"&gt;CA&lt;/span&gt; &lt;span class="postal-code"&gt;91406-2914&lt;/span&gt;, &lt;span class="country-name"&gt;USA&lt;/span&gt;</t>
  </si>
  <si>
    <t>(818) 989-2681</t>
  </si>
  <si>
    <t>+1 818-989-2681</t>
  </si>
  <si>
    <t>16134 Saticoy Street, Van Nuys</t>
  </si>
  <si>
    <t>http://www.repairtechinternational.com/</t>
  </si>
  <si>
    <t>https://maps.googleapis.com/maps/api/place/findplacefromtext/json?input=DUNCAN%20AVIATION%20INC%207943%20WOODLEY%20AVE.%20%20VAN%20NUYS%20CA%2091406&amp;key=AIzaSyAUoR1hu32epmid_r-h7_AiXQWhNu3zr3U&amp;inputtype=textquery&amp;fields=business_status,formatted_address,geometry,icon,name,permanently_closed,place_id,plus_code,types</t>
  </si>
  <si>
    <t>{"business_status":"OPERATIONAL","formatted_address":"7943 Woodley Ave, Van Nuys, CA 91406, United States","geometry":{"location":{"lat":34.2158011,"lng":-118.4842428},"viewport":{"northeast":{"lat":34.21714977989272,"lng":-118.4827680701073},"southwest":{"lat":34.21445012010728,"lng":-118.4854677298927}}},"icon":"https://maps.gstatic.com/mapfiles/place_api/icons/v1/png_71/generic_business-71.png","name":"Duncan Aviation","place_id":"ChIJmbSHVaqQwoARpQE5hY59umg","plus_code":{"compound_code":"6G88+88 Van Nuys, Los Angeles, CA","global_code":"85636G88+88"},"types":["point_of_interest","establishment"]}</t>
  </si>
  <si>
    <t>Duncan Aviation</t>
  </si>
  <si>
    <t>ChIJmbSHVaqQwoARpQE5hY59umg</t>
  </si>
  <si>
    <t>7943 Woodley Ave, Van Nuys, CA 91406, United States</t>
  </si>
  <si>
    <t>{"html_attributions":[],"result":{"address_components":[{"long_name":"7943","short_name":"7943","types":["street_number"]},{"long_name":"Woodley Avenue","short_name":"Woodley Ave","types":["route"]},{"long_name":"Van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States","short_name":"US","types":["country","political"]},{"long_name":"91406","short_name":"91406","types":["postal_code"]},{"long_name":"1232","short_name":"1232","types":["postal_code_suffix"]}],"adr_address":"&lt;span class=\"street-address\"&gt;7943 Woodley Ave&lt;/span&gt;, &lt;span class=\"locality\"&gt;Van Nuys&lt;/span&gt;, &lt;span class=\"region\"&gt;CA&lt;/span&gt; &lt;span class=\"postal-code\"&gt;91406-1232&lt;/span&gt;, &lt;span class=\"country-name\"&gt;USA&lt;/span&gt;","formatted_address":"7943 Woodley Ave, Van Nuys, CA 91406, USA","formatted_phone_number":"(818) 902-9961","geometry":{"location":{"lat":34.2158011,"lng":-118.4842428},"viewport":{"northeast":{"lat":34.2171489302915,"lng":-118.4827689197085},"southwest":{"lat":34.2144509697085,"lng":-118.4854668802915}}},"icon":"https://maps.gstatic.com/mapfiles/place_api/icons/v1/png_71/generic_business-71.png","id":null,"international_phone_number":"+1 818-902-9961","name":"Duncan Aviation","place_id":"ChIJmbSHVaqQwoARpQE5hY59umg","rating":5.0,"reference":null,"reviews":[{"author_name":"Alfredo Garcia","author_url":"https://www.google.com/maps/contrib/117817771291380387003/reviews","language":null,"profile_photo_url":"https://lh5.googleusercontent.com/-aQdatBwNUHA/AAAAAAAAAAI/AAAAAAAAAAA/AMZuuclTbi_NxtatYoEd_YDpnVOIuskKQg/s128-c0x00000000-cc-rp-mo/photo.jpg","rating":5,"relative_time_description":"3 years ago","text":"","time":1496726084}],"types":["point_of_interest","establishment"],"url":"https://maps.google.com/?cid=7546482176686621093","utc_offset":-480,"vicinity":"7943 Woodley Avenue, Van Nuys","website":"https://www.duncanaviation.aero/locations/vny"},"status":"OK"}</t>
  </si>
  <si>
    <t>&lt;span class="street-address"&gt;7943 Woodley Ave&lt;/span&gt;, &lt;span class="locality"&gt;Van Nuys&lt;/span&gt;, &lt;span class="region"&gt;CA&lt;/span&gt; &lt;span class="postal-code"&gt;91406-1232&lt;/span&gt;, &lt;span class="country-name"&gt;USA&lt;/span&gt;</t>
  </si>
  <si>
    <t>(818) 902-9961</t>
  </si>
  <si>
    <t>+1 818-902-9961</t>
  </si>
  <si>
    <t>7943 Woodley Avenue, Van Nuys</t>
  </si>
  <si>
    <t>https://www.duncanaviation.aero/locations/vny</t>
  </si>
  <si>
    <t>AMERICAN AIRCRAFT INTERIORS</t>
  </si>
  <si>
    <t>Leading Edge Avionics Inc</t>
  </si>
  <si>
    <t>Valid. See link https://www.google.com/maps/place/Anthelion+Helicopters/@33.8156322,-118.1586366,15z/data=!4m5!3m4!1s0x0:0x888c695020fd57f0!8m2!3d33.8156322!4d-118.1586366</t>
  </si>
  <si>
    <t>GULFSTREAM AEROSPACE CORPORATION - KLGB</t>
  </si>
  <si>
    <t>https://www.google.com/maps/place/Pacific+Coast+Jet/@37.7304184,-122.2112067,15z/data=!4m5!3m4!1s0x0:0x73528dea02d56635!8m2!3d37.7304184!4d-122.2112067</t>
  </si>
  <si>
    <t>valid</t>
  </si>
  <si>
    <t>https://pacificcoastjet.com/</t>
  </si>
  <si>
    <t>JSX is correct</t>
  </si>
  <si>
    <t>dba</t>
  </si>
  <si>
    <t>our data is valid</t>
  </si>
  <si>
    <t>https://www.google.com/maps/place/Avbase+San+Jose+LLC/@37.35386,-121.9254991,15z/data=!4m5!3m4!1s0x0:0xbe02d916f6ee5ba9!8m2!3d37.35386!4d-121.9254991</t>
  </si>
  <si>
    <t xml:space="preserve">19711 Campus Dr </t>
  </si>
  <si>
    <t>Suite 200</t>
  </si>
  <si>
    <t>https://martin-aviation.com/</t>
  </si>
  <si>
    <t>#247</t>
  </si>
  <si>
    <t>16644 Roscoe Blvd</t>
  </si>
  <si>
    <t>FBO</t>
  </si>
  <si>
    <t>P135</t>
  </si>
  <si>
    <t>16750 ROSCOE BLVD</t>
  </si>
  <si>
    <t>National Helicopter Service</t>
  </si>
  <si>
    <t>http://www.americanaircraftinteriors.com/</t>
  </si>
  <si>
    <t>https://www.flyalerion.com/</t>
  </si>
  <si>
    <t>http://www.jettechltd.com/</t>
  </si>
  <si>
    <t>Bus Category 1</t>
  </si>
  <si>
    <t>Bus Category 2</t>
  </si>
  <si>
    <t>Bus Category 3</t>
  </si>
  <si>
    <t>Bus Category 4</t>
  </si>
  <si>
    <t>Bus Category 5</t>
  </si>
  <si>
    <t>Bus Category 6</t>
  </si>
  <si>
    <t>Bus Category 7</t>
  </si>
  <si>
    <t>Bus Category 8</t>
  </si>
  <si>
    <t>Bus Category 9</t>
  </si>
  <si>
    <t>Bus Category 10</t>
  </si>
  <si>
    <t>TAG 1</t>
  </si>
  <si>
    <t>TAG 2</t>
  </si>
  <si>
    <t>TAG 3</t>
  </si>
  <si>
    <t>TAG 4</t>
  </si>
  <si>
    <t>TAG 5</t>
  </si>
  <si>
    <t>TAG 6</t>
  </si>
  <si>
    <t>TAG 7</t>
  </si>
  <si>
    <t>TAG 8</t>
  </si>
  <si>
    <t>TAG 9</t>
  </si>
  <si>
    <t>TAG 10</t>
  </si>
  <si>
    <t>TAG 11</t>
  </si>
  <si>
    <t>TAG 12</t>
  </si>
  <si>
    <t>TAG 13</t>
  </si>
  <si>
    <t>TAG 14</t>
  </si>
  <si>
    <t>TAG 15</t>
  </si>
  <si>
    <t>TAG 16</t>
  </si>
  <si>
    <t>TAG 17</t>
  </si>
  <si>
    <t>TAG 18</t>
  </si>
  <si>
    <t>TAG 19</t>
  </si>
  <si>
    <t>TAG 20</t>
  </si>
  <si>
    <t>FLT141</t>
  </si>
  <si>
    <t>APRT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</si>
</sst>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6" x14ac:knownFonts="1">
    <font>
      <sz val="11"/>
      <color theme="1"/>
      <name val="Calibri"/>
      <family val="2"/>
      <scheme val="minor"/>
    </font>
    <font>
      <b/>
      <sz val="11"/>
      <color theme="1"/>
      <name val="Calibri"/>
      <family val="2"/>
      <scheme val="minor"/>
    </font>
    <font>
      <u/>
      <sz val="11"/>
      <color theme="11"/>
      <name val="Calibri"/>
      <family val="2"/>
      <scheme val="minor"/>
    </font>
    <font>
      <b/>
      <sz val="12"/>
      <color theme="1"/>
      <name val="Calibri"/>
      <family val="2"/>
      <scheme val="minor"/>
    </font>
    <font>
      <b/>
      <sz val="11"/>
      <name val="Calibri"/>
      <family val="2"/>
      <scheme val="minor"/>
    </font>
    <font>
      <u/>
      <sz val="11"/>
      <color theme="10"/>
      <name val="Calibri"/>
      <family val="2"/>
      <scheme val="minor"/>
    </font>
  </fonts>
  <fills count="12">
    <fill>
      <patternFill patternType="none"/>
    </fill>
    <fill>
      <patternFill patternType="gray125"/>
    </fill>
    <fill>
      <patternFill patternType="solid">
        <fgColor rgb="FF8BD98C"/>
        <bgColor rgb="FF8BD98C"/>
      </patternFill>
    </fill>
    <fill>
      <patternFill patternType="solid">
        <fgColor rgb="FFFF9191"/>
        <bgColor rgb="FFFF9191"/>
      </patternFill>
    </fill>
    <fill>
      <patternFill patternType="solid">
        <fgColor rgb="FF8BD98C"/>
        <bgColor rgb="FF8BD98C"/>
      </patternFill>
    </fill>
    <fill>
      <patternFill patternType="solid">
        <fgColor rgb="FFFF9191"/>
        <bgColor rgb="FFFF9191"/>
      </patternFill>
    </fill>
    <fill>
      <patternFill patternType="solid">
        <fgColor rgb="FFFF0000"/>
        <bgColor indexed="64"/>
      </patternFill>
    </fill>
    <fill>
      <patternFill patternType="solid">
        <fgColor rgb="FFFFFF00"/>
        <bgColor indexed="64"/>
      </patternFill>
    </fill>
    <fill>
      <patternFill patternType="solid">
        <fgColor rgb="FFFFFF00"/>
        <bgColor rgb="FF8BD98C"/>
      </patternFill>
    </fill>
    <fill>
      <patternFill patternType="solid">
        <fgColor rgb="FFFFFF00"/>
        <bgColor rgb="FFFF9191"/>
      </patternFill>
    </fill>
    <fill>
      <patternFill patternType="solid">
        <fgColor theme="9"/>
        <bgColor rgb="FFFF9191"/>
      </patternFill>
    </fill>
    <fill>
      <patternFill patternType="solid">
        <fgColor rgb="FFFF0000"/>
        <bgColor rgb="FF8BD98C"/>
      </patternFill>
    </fill>
  </fills>
  <borders count="2">
    <border>
      <left/>
      <right/>
      <top/>
      <bottom/>
      <diagonal/>
    </border>
    <border>
      <left style="thin">
        <color auto="1"/>
      </left>
      <right style="thin">
        <color auto="1"/>
      </right>
      <top style="thin">
        <color auto="1"/>
      </top>
      <bottom style="thin">
        <color auto="1"/>
      </bottom>
      <diagonal/>
    </border>
  </borders>
  <cellStyleXfs count="155">
    <xf numFmtId="0" fontId="0"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5" fillId="0" borderId="0" applyNumberFormat="0" applyFill="0" applyBorder="0" applyAlignment="0" applyProtection="0"/>
  </cellStyleXfs>
  <cellXfs count="24">
    <xf numFmtId="0" fontId="0" fillId="0" borderId="0" xfId="0"/>
    <xf numFmtId="0" fontId="0" fillId="0" borderId="1" xfId="0" applyBorder="1"/>
    <xf numFmtId="0" fontId="3" fillId="0" borderId="1" xfId="0" applyFont="1" applyBorder="1"/>
    <xf numFmtId="0" fontId="4" fillId="0" borderId="1" xfId="0" applyFont="1" applyBorder="1" applyAlignment="1">
      <alignment horizontal="center" vertical="center"/>
    </xf>
    <xf numFmtId="0" fontId="1" fillId="0" borderId="1" xfId="0" applyFont="1" applyBorder="1" applyAlignment="1">
      <alignment horizontal="center" vertical="center"/>
    </xf>
    <xf numFmtId="49" fontId="1" fillId="0" borderId="1" xfId="0" applyNumberFormat="1" applyFont="1" applyBorder="1" applyAlignment="1">
      <alignment horizontal="center" vertical="center"/>
    </xf>
    <xf numFmtId="0" fontId="2" fillId="2" borderId="0" xfId="0" applyFont="1" applyFill="1"/>
    <xf numFmtId="0" fontId="2" fillId="3" borderId="0" xfId="0" applyFont="1" applyFill="1"/>
    <xf numFmtId="0" fontId="3" fillId="4" borderId="0" xfId="0" applyFont="1" applyFill="1"/>
    <xf numFmtId="0" fontId="3" fillId="5" borderId="0" xfId="0" applyFont="1" applyFill="1"/>
    <xf numFmtId="10" fontId="0" fillId="0" borderId="0" xfId="0" applyNumberFormat="1"/>
    <xf numFmtId="0" fontId="0" fillId="6" borderId="0" xfId="0" applyFill="1"/>
    <xf numFmtId="0" fontId="0" fillId="7" borderId="0" xfId="0" applyFill="1"/>
    <xf numFmtId="0" fontId="3" fillId="9" borderId="0" xfId="0" applyFont="1" applyFill="1"/>
    <xf numFmtId="0" fontId="3" fillId="8" borderId="0" xfId="0" applyFont="1" applyFill="1"/>
    <xf numFmtId="0" fontId="5" fillId="0" borderId="0" xfId="154" applyFill="1"/>
    <xf numFmtId="0" fontId="1" fillId="0" borderId="1" xfId="0" applyFont="1" applyFill="1" applyBorder="1" applyAlignment="1">
      <alignment horizontal="center" vertical="center"/>
    </xf>
    <xf numFmtId="0" fontId="0" fillId="0" borderId="0" xfId="0" applyFill="1"/>
    <xf numFmtId="0" fontId="3" fillId="10" borderId="0" xfId="0" applyFont="1" applyFill="1"/>
    <xf numFmtId="0" fontId="3" fillId="11" borderId="0" xfId="0" applyFont="1" applyFill="1"/>
    <xf numFmtId="164" fontId="1" fillId="0" borderId="1" xfId="0" applyNumberFormat="1" applyFont="1" applyBorder="1" applyAlignment="1">
      <alignment horizontal="center" vertical="center"/>
    </xf>
    <xf numFmtId="164" fontId="0" fillId="0" borderId="0" xfId="0" applyNumberFormat="1"/>
    <xf numFmtId="0" fontId="1" fillId="0" borderId="0" xfId="0" applyFont="1" applyAlignment="1">
      <alignment horizontal="center" vertical="center"/>
    </xf>
    <xf numFmtId="0" fontId="0" fillId="0" borderId="0" xfId="0" applyFill="1" applyAlignment="1">
      <alignment horizontal="center"/>
    </xf>
  </cellXfs>
  <cellStyles count="155">
    <cellStyle name="Followed Hyperlink" xfId="1" builtinId="9" hidden="1"/>
    <cellStyle name="Followed Hyperlink" xfId="2" builtinId="9" hidden="1"/>
    <cellStyle name="Followed Hyperlink" xfId="3" builtinId="9" hidden="1"/>
    <cellStyle name="Followed Hyperlink" xfId="4" builtinId="9" hidden="1"/>
    <cellStyle name="Followed Hyperlink" xfId="5" builtinId="9" hidden="1"/>
    <cellStyle name="Followed Hyperlink" xfId="6" builtinId="9" hidden="1"/>
    <cellStyle name="Followed Hyperlink" xfId="7" builtinId="9" hidden="1"/>
    <cellStyle name="Followed Hyperlink" xfId="8" builtinId="9" hidden="1"/>
    <cellStyle name="Followed Hyperlink" xfId="9" builtinId="9" hidden="1"/>
    <cellStyle name="Followed Hyperlink" xfId="10" builtinId="9" hidden="1"/>
    <cellStyle name="Followed Hyperlink" xfId="11" builtinId="9" hidden="1"/>
    <cellStyle name="Followed Hyperlink" xfId="12" builtinId="9" hidden="1"/>
    <cellStyle name="Followed Hyperlink" xfId="13" builtinId="9" hidden="1"/>
    <cellStyle name="Followed Hyperlink" xfId="14" builtinId="9" hidden="1"/>
    <cellStyle name="Followed Hyperlink" xfId="15" builtinId="9" hidden="1"/>
    <cellStyle name="Followed Hyperlink" xfId="16" builtinId="9" hidden="1"/>
    <cellStyle name="Followed Hyperlink" xfId="17" builtinId="9" hidden="1"/>
    <cellStyle name="Followed Hyperlink" xfId="18" builtinId="9" hidden="1"/>
    <cellStyle name="Followed Hyperlink" xfId="19" builtinId="9" hidden="1"/>
    <cellStyle name="Followed Hyperlink" xfId="20" builtinId="9" hidden="1"/>
    <cellStyle name="Followed Hyperlink" xfId="21" builtinId="9" hidden="1"/>
    <cellStyle name="Followed Hyperlink" xfId="22" builtinId="9" hidden="1"/>
    <cellStyle name="Followed Hyperlink" xfId="23" builtinId="9" hidden="1"/>
    <cellStyle name="Followed Hyperlink" xfId="24" builtinId="9" hidden="1"/>
    <cellStyle name="Followed Hyperlink" xfId="25" builtinId="9" hidden="1"/>
    <cellStyle name="Followed Hyperlink" xfId="26" builtinId="9" hidden="1"/>
    <cellStyle name="Followed Hyperlink" xfId="27" builtinId="9" hidden="1"/>
    <cellStyle name="Followed Hyperlink" xfId="28" builtinId="9" hidden="1"/>
    <cellStyle name="Followed Hyperlink" xfId="29" builtinId="9" hidden="1"/>
    <cellStyle name="Followed Hyperlink" xfId="30" builtinId="9" hidden="1"/>
    <cellStyle name="Followed Hyperlink" xfId="31" builtinId="9" hidden="1"/>
    <cellStyle name="Followed Hyperlink" xfId="32" builtinId="9" hidden="1"/>
    <cellStyle name="Followed Hyperlink" xfId="33" builtinId="9" hidden="1"/>
    <cellStyle name="Followed Hyperlink" xfId="34" builtinId="9" hidden="1"/>
    <cellStyle name="Followed Hyperlink" xfId="35" builtinId="9" hidden="1"/>
    <cellStyle name="Followed Hyperlink" xfId="36" builtinId="9" hidden="1"/>
    <cellStyle name="Followed Hyperlink" xfId="37" builtinId="9" hidden="1"/>
    <cellStyle name="Followed Hyperlink" xfId="38" builtinId="9" hidden="1"/>
    <cellStyle name="Followed Hyperlink" xfId="39" builtinId="9" hidden="1"/>
    <cellStyle name="Followed Hyperlink" xfId="40" builtinId="9" hidden="1"/>
    <cellStyle name="Followed Hyperlink" xfId="41" builtinId="9" hidden="1"/>
    <cellStyle name="Followed Hyperlink" xfId="42" builtinId="9" hidden="1"/>
    <cellStyle name="Followed Hyperlink" xfId="43" builtinId="9" hidden="1"/>
    <cellStyle name="Followed Hyperlink" xfId="44" builtinId="9" hidden="1"/>
    <cellStyle name="Followed Hyperlink" xfId="45" builtinId="9" hidden="1"/>
    <cellStyle name="Followed Hyperlink" xfId="46" builtinId="9" hidden="1"/>
    <cellStyle name="Followed Hyperlink" xfId="47" builtinId="9" hidden="1"/>
    <cellStyle name="Followed Hyperlink" xfId="48" builtinId="9" hidden="1"/>
    <cellStyle name="Followed Hyperlink" xfId="49" builtinId="9" hidden="1"/>
    <cellStyle name="Followed Hyperlink" xfId="50" builtinId="9" hidden="1"/>
    <cellStyle name="Followed Hyperlink" xfId="51" builtinId="9" hidden="1"/>
    <cellStyle name="Followed Hyperlink" xfId="52" builtinId="9" hidden="1"/>
    <cellStyle name="Followed Hyperlink" xfId="53" builtinId="9" hidden="1"/>
    <cellStyle name="Followed Hyperlink" xfId="54" builtinId="9" hidden="1"/>
    <cellStyle name="Followed Hyperlink" xfId="55" builtinId="9" hidden="1"/>
    <cellStyle name="Followed Hyperlink" xfId="56" builtinId="9" hidden="1"/>
    <cellStyle name="Followed Hyperlink" xfId="57" builtinId="9" hidden="1"/>
    <cellStyle name="Followed Hyperlink" xfId="58" builtinId="9" hidden="1"/>
    <cellStyle name="Followed Hyperlink" xfId="59" builtinId="9" hidden="1"/>
    <cellStyle name="Followed Hyperlink" xfId="60" builtinId="9" hidden="1"/>
    <cellStyle name="Followed Hyperlink" xfId="61" builtinId="9" hidden="1"/>
    <cellStyle name="Followed Hyperlink" xfId="62" builtinId="9" hidden="1"/>
    <cellStyle name="Followed Hyperlink" xfId="63" builtinId="9" hidden="1"/>
    <cellStyle name="Followed Hyperlink" xfId="64" builtinId="9" hidden="1"/>
    <cellStyle name="Followed Hyperlink" xfId="65" builtinId="9" hidden="1"/>
    <cellStyle name="Followed Hyperlink" xfId="66" builtinId="9" hidden="1"/>
    <cellStyle name="Followed Hyperlink" xfId="67" builtinId="9" hidden="1"/>
    <cellStyle name="Followed Hyperlink" xfId="68" builtinId="9" hidden="1"/>
    <cellStyle name="Followed Hyperlink" xfId="69" builtinId="9" hidden="1"/>
    <cellStyle name="Followed Hyperlink" xfId="70" builtinId="9" hidden="1"/>
    <cellStyle name="Followed Hyperlink" xfId="71" builtinId="9" hidden="1"/>
    <cellStyle name="Followed Hyperlink" xfId="72" builtinId="9" hidden="1"/>
    <cellStyle name="Followed Hyperlink" xfId="73" builtinId="9" hidden="1"/>
    <cellStyle name="Followed Hyperlink" xfId="74" builtinId="9" hidden="1"/>
    <cellStyle name="Followed Hyperlink" xfId="75" builtinId="9" hidden="1"/>
    <cellStyle name="Followed Hyperlink" xfId="76" builtinId="9" hidden="1"/>
    <cellStyle name="Followed Hyperlink" xfId="77" builtinId="9" hidden="1"/>
    <cellStyle name="Followed Hyperlink" xfId="78" builtinId="9" hidden="1"/>
    <cellStyle name="Followed Hyperlink" xfId="79" builtinId="9" hidden="1"/>
    <cellStyle name="Followed Hyperlink" xfId="80" builtinId="9" hidden="1"/>
    <cellStyle name="Followed Hyperlink" xfId="81" builtinId="9" hidden="1"/>
    <cellStyle name="Followed Hyperlink" xfId="82" builtinId="9" hidden="1"/>
    <cellStyle name="Followed Hyperlink" xfId="83" builtinId="9" hidden="1"/>
    <cellStyle name="Followed Hyperlink" xfId="84" builtinId="9" hidden="1"/>
    <cellStyle name="Followed Hyperlink" xfId="85" builtinId="9" hidden="1"/>
    <cellStyle name="Followed Hyperlink" xfId="86" builtinId="9" hidden="1"/>
    <cellStyle name="Followed Hyperlink" xfId="87" builtinId="9" hidden="1"/>
    <cellStyle name="Followed Hyperlink" xfId="88" builtinId="9" hidden="1"/>
    <cellStyle name="Followed Hyperlink" xfId="89" builtinId="9" hidden="1"/>
    <cellStyle name="Followed Hyperlink" xfId="90" builtinId="9" hidden="1"/>
    <cellStyle name="Followed Hyperlink" xfId="91" builtinId="9" hidden="1"/>
    <cellStyle name="Followed Hyperlink" xfId="92" builtinId="9" hidden="1"/>
    <cellStyle name="Followed Hyperlink" xfId="93" builtinId="9" hidden="1"/>
    <cellStyle name="Followed Hyperlink" xfId="94" builtinId="9" hidden="1"/>
    <cellStyle name="Followed Hyperlink" xfId="95" builtinId="9" hidden="1"/>
    <cellStyle name="Followed Hyperlink" xfId="96" builtinId="9" hidden="1"/>
    <cellStyle name="Followed Hyperlink" xfId="97" builtinId="9" hidden="1"/>
    <cellStyle name="Followed Hyperlink" xfId="98" builtinId="9" hidden="1"/>
    <cellStyle name="Followed Hyperlink" xfId="99" builtinId="9" hidden="1"/>
    <cellStyle name="Followed Hyperlink" xfId="100" builtinId="9" hidden="1"/>
    <cellStyle name="Followed Hyperlink" xfId="101" builtinId="9" hidden="1"/>
    <cellStyle name="Followed Hyperlink" xfId="102" builtinId="9" hidden="1"/>
    <cellStyle name="Followed Hyperlink" xfId="103" builtinId="9" hidden="1"/>
    <cellStyle name="Followed Hyperlink" xfId="104" builtinId="9" hidden="1"/>
    <cellStyle name="Followed Hyperlink" xfId="105" builtinId="9" hidden="1"/>
    <cellStyle name="Followed Hyperlink" xfId="106" builtinId="9" hidden="1"/>
    <cellStyle name="Followed Hyperlink" xfId="107" builtinId="9" hidden="1"/>
    <cellStyle name="Followed Hyperlink" xfId="108" builtinId="9" hidden="1"/>
    <cellStyle name="Followed Hyperlink" xfId="109" builtinId="9" hidden="1"/>
    <cellStyle name="Followed Hyperlink" xfId="110" builtinId="9" hidden="1"/>
    <cellStyle name="Followed Hyperlink" xfId="111" builtinId="9" hidden="1"/>
    <cellStyle name="Followed Hyperlink" xfId="112" builtinId="9" hidden="1"/>
    <cellStyle name="Followed Hyperlink" xfId="113" builtinId="9" hidden="1"/>
    <cellStyle name="Followed Hyperlink" xfId="114" builtinId="9" hidden="1"/>
    <cellStyle name="Followed Hyperlink" xfId="115" builtinId="9" hidden="1"/>
    <cellStyle name="Followed Hyperlink" xfId="116" builtinId="9" hidden="1"/>
    <cellStyle name="Followed Hyperlink" xfId="117" builtinId="9" hidden="1"/>
    <cellStyle name="Followed Hyperlink" xfId="118" builtinId="9" hidden="1"/>
    <cellStyle name="Followed Hyperlink" xfId="119" builtinId="9" hidden="1"/>
    <cellStyle name="Followed Hyperlink" xfId="120" builtinId="9" hidden="1"/>
    <cellStyle name="Followed Hyperlink" xfId="121" builtinId="9" hidden="1"/>
    <cellStyle name="Followed Hyperlink" xfId="122" builtinId="9" hidden="1"/>
    <cellStyle name="Followed Hyperlink" xfId="123" builtinId="9" hidden="1"/>
    <cellStyle name="Followed Hyperlink" xfId="124" builtinId="9" hidden="1"/>
    <cellStyle name="Followed Hyperlink" xfId="125" builtinId="9" hidden="1"/>
    <cellStyle name="Followed Hyperlink" xfId="126" builtinId="9" hidden="1"/>
    <cellStyle name="Followed Hyperlink" xfId="127" builtinId="9" hidden="1"/>
    <cellStyle name="Followed Hyperlink" xfId="128" builtinId="9" hidden="1"/>
    <cellStyle name="Followed Hyperlink" xfId="129" builtinId="9" hidden="1"/>
    <cellStyle name="Followed Hyperlink" xfId="130" builtinId="9" hidden="1"/>
    <cellStyle name="Followed Hyperlink" xfId="131" builtinId="9" hidden="1"/>
    <cellStyle name="Followed Hyperlink" xfId="132" builtinId="9" hidden="1"/>
    <cellStyle name="Followed Hyperlink" xfId="133" builtinId="9" hidden="1"/>
    <cellStyle name="Followed Hyperlink" xfId="134" builtinId="9" hidden="1"/>
    <cellStyle name="Followed Hyperlink" xfId="135" builtinId="9" hidden="1"/>
    <cellStyle name="Followed Hyperlink" xfId="136" builtinId="9" hidden="1"/>
    <cellStyle name="Followed Hyperlink" xfId="137" builtinId="9" hidden="1"/>
    <cellStyle name="Followed Hyperlink" xfId="138" builtinId="9" hidden="1"/>
    <cellStyle name="Followed Hyperlink" xfId="139" builtinId="9" hidden="1"/>
    <cellStyle name="Followed Hyperlink" xfId="140" builtinId="9" hidden="1"/>
    <cellStyle name="Followed Hyperlink" xfId="141" builtinId="9" hidden="1"/>
    <cellStyle name="Followed Hyperlink" xfId="142" builtinId="9" hidden="1"/>
    <cellStyle name="Followed Hyperlink" xfId="143" builtinId="9" hidden="1"/>
    <cellStyle name="Followed Hyperlink" xfId="144" builtinId="9" hidden="1"/>
    <cellStyle name="Followed Hyperlink" xfId="145" builtinId="9" hidden="1"/>
    <cellStyle name="Followed Hyperlink" xfId="146" builtinId="9" hidden="1"/>
    <cellStyle name="Followed Hyperlink" xfId="147" builtinId="9" hidden="1"/>
    <cellStyle name="Followed Hyperlink" xfId="148" builtinId="9" hidden="1"/>
    <cellStyle name="Followed Hyperlink" xfId="149" builtinId="9" hidden="1"/>
    <cellStyle name="Followed Hyperlink" xfId="150" builtinId="9" hidden="1"/>
    <cellStyle name="Followed Hyperlink" xfId="151" builtinId="9" hidden="1"/>
    <cellStyle name="Followed Hyperlink" xfId="152" builtinId="9" hidden="1"/>
    <cellStyle name="Followed Hyperlink" xfId="153" builtinId="9" hidden="1"/>
    <cellStyle name="Hyperlink" xfId="154" builtinId="8"/>
    <cellStyle name="Normal" xfId="0" builtinId="0"/>
  </cellStyles>
  <dxfs count="4">
    <dxf>
      <font>
        <color rgb="FF006100"/>
      </font>
      <fill>
        <patternFill>
          <bgColor rgb="FFC6EFCE"/>
        </patternFill>
      </fill>
    </dxf>
    <dxf>
      <font>
        <color rgb="FF006100"/>
      </font>
      <fill>
        <patternFill>
          <bgColor rgb="FFC6EFCE"/>
        </patternFill>
      </fill>
    </dxf>
    <dxf>
      <font>
        <color rgb="FF9C0006"/>
      </font>
      <fill>
        <patternFill>
          <bgColor rgb="FFFFC7CE"/>
        </patternFill>
      </fill>
    </dxf>
    <dxf>
      <fill>
        <patternFill>
          <bgColor rgb="FFFF0000"/>
        </patternFill>
      </fill>
    </dxf>
  </dxfs>
  <tableStyles count="0" defaultTableStyle="TableStyleMedium2" defaultPivotStyle="PivotStyleLight16"/>
  <colors>
    <mruColors>
      <color rgb="FFF8AEA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martin-aviation.com/" TargetMode="External"/><Relationship Id="rId2" Type="http://schemas.openxmlformats.org/officeDocument/2006/relationships/hyperlink" Target="https://pacificcoastjet.com/" TargetMode="External"/><Relationship Id="rId1" Type="http://schemas.openxmlformats.org/officeDocument/2006/relationships/hyperlink" Target="http://www.anthelionhelicopters.com/" TargetMode="Externa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77715F-002A-4762-9CEC-9DA0BF6DFDC9}">
  <dimension ref="A1:BW113"/>
  <sheetViews>
    <sheetView tabSelected="1" workbookViewId="0">
      <pane ySplit="1" topLeftCell="A95" activePane="bottomLeft" state="frozen"/>
      <selection pane="bottomLeft" activeCell="B102" sqref="B102"/>
    </sheetView>
  </sheetViews>
  <sheetFormatPr defaultRowHeight="15" x14ac:dyDescent="0.25"/>
  <cols>
    <col min="1" max="1" width="6.140625" customWidth="1"/>
    <col min="2" max="2" width="38.7109375" customWidth="1"/>
    <col min="3" max="3" width="17.5703125" customWidth="1"/>
    <col min="4" max="4" width="18.42578125" customWidth="1"/>
    <col min="5" max="5" width="18.5703125" customWidth="1"/>
    <col min="6" max="7" width="13.85546875" customWidth="1"/>
    <col min="8" max="8" width="16.5703125" customWidth="1"/>
    <col min="9" max="9" width="5.140625" customWidth="1"/>
    <col min="10" max="10" width="11" style="21" customWidth="1"/>
    <col min="11" max="12" width="14" customWidth="1"/>
    <col min="13" max="13" width="16" style="17" customWidth="1"/>
    <col min="14" max="22" width="14" bestFit="1" customWidth="1"/>
    <col min="23" max="23" width="15" bestFit="1" customWidth="1"/>
    <col min="24" max="24" width="19.85546875" bestFit="1" customWidth="1"/>
    <col min="25" max="25" width="8" bestFit="1" customWidth="1"/>
    <col min="26" max="32" width="6.140625" bestFit="1" customWidth="1"/>
    <col min="33" max="43" width="7.140625" bestFit="1" customWidth="1"/>
    <col min="44" max="44" width="8.7109375" customWidth="1"/>
    <col min="45" max="45" width="9.140625" customWidth="1"/>
    <col min="49" max="50" width="9.140625" customWidth="1"/>
    <col min="51" max="51" width="55.28515625" bestFit="1" customWidth="1"/>
    <col min="52" max="53" width="9.140625" customWidth="1"/>
    <col min="54" max="54" width="61" bestFit="1" customWidth="1"/>
    <col min="59" max="71" width="9.140625" customWidth="1"/>
  </cols>
  <sheetData>
    <row r="1" spans="1:72" ht="15.75" x14ac:dyDescent="0.25">
      <c r="A1" s="2" t="s">
        <v>0</v>
      </c>
      <c r="B1" s="3" t="s">
        <v>1</v>
      </c>
      <c r="C1" s="4" t="s">
        <v>2</v>
      </c>
      <c r="D1" s="4" t="s">
        <v>3</v>
      </c>
      <c r="E1" s="4" t="s">
        <v>4</v>
      </c>
      <c r="F1" s="4" t="s">
        <v>5</v>
      </c>
      <c r="G1" s="4" t="s">
        <v>6</v>
      </c>
      <c r="H1" s="4" t="s">
        <v>7</v>
      </c>
      <c r="I1" s="5" t="s">
        <v>8</v>
      </c>
      <c r="J1" s="20" t="s">
        <v>9</v>
      </c>
      <c r="K1" s="4" t="s">
        <v>10</v>
      </c>
      <c r="L1" s="4" t="s">
        <v>11</v>
      </c>
      <c r="M1" s="16" t="s">
        <v>12</v>
      </c>
      <c r="N1" s="22" t="s">
        <v>1271</v>
      </c>
      <c r="O1" s="22" t="s">
        <v>1272</v>
      </c>
      <c r="P1" s="22" t="s">
        <v>1273</v>
      </c>
      <c r="Q1" s="22" t="s">
        <v>1274</v>
      </c>
      <c r="R1" s="22" t="s">
        <v>1275</v>
      </c>
      <c r="S1" s="22" t="s">
        <v>1276</v>
      </c>
      <c r="T1" s="22" t="s">
        <v>1277</v>
      </c>
      <c r="U1" s="22" t="s">
        <v>1278</v>
      </c>
      <c r="V1" s="22" t="s">
        <v>1279</v>
      </c>
      <c r="W1" s="22" t="s">
        <v>1280</v>
      </c>
      <c r="X1" s="22" t="s">
        <v>1281</v>
      </c>
      <c r="Y1" s="22" t="s">
        <v>1282</v>
      </c>
      <c r="Z1" s="22" t="s">
        <v>1283</v>
      </c>
      <c r="AA1" s="22" t="s">
        <v>1284</v>
      </c>
      <c r="AB1" s="22" t="s">
        <v>1285</v>
      </c>
      <c r="AC1" s="22" t="s">
        <v>1286</v>
      </c>
      <c r="AD1" s="22" t="s">
        <v>1287</v>
      </c>
      <c r="AE1" s="22" t="s">
        <v>1288</v>
      </c>
      <c r="AF1" s="22" t="s">
        <v>1289</v>
      </c>
      <c r="AG1" s="22" t="s">
        <v>1290</v>
      </c>
      <c r="AH1" s="22" t="s">
        <v>1291</v>
      </c>
      <c r="AI1" s="22" t="s">
        <v>1292</v>
      </c>
      <c r="AJ1" s="22" t="s">
        <v>1293</v>
      </c>
      <c r="AK1" s="22" t="s">
        <v>1294</v>
      </c>
      <c r="AL1" s="22" t="s">
        <v>1295</v>
      </c>
      <c r="AM1" s="22" t="s">
        <v>1296</v>
      </c>
      <c r="AN1" s="22" t="s">
        <v>1297</v>
      </c>
      <c r="AO1" s="22" t="s">
        <v>1298</v>
      </c>
      <c r="AP1" s="22" t="s">
        <v>1299</v>
      </c>
      <c r="AQ1" s="22" t="s">
        <v>1300</v>
      </c>
      <c r="AR1" s="4" t="s">
        <v>13</v>
      </c>
      <c r="AS1" s="4" t="s">
        <v>14</v>
      </c>
      <c r="AT1" s="4" t="s">
        <v>15</v>
      </c>
      <c r="AU1" s="4" t="s">
        <v>16</v>
      </c>
      <c r="AV1" s="4" t="s">
        <v>17</v>
      </c>
      <c r="AW1" s="4" t="s">
        <v>18</v>
      </c>
      <c r="AX1" s="2" t="s">
        <v>19</v>
      </c>
      <c r="AY1" s="1" t="s">
        <v>20</v>
      </c>
      <c r="AZ1" s="1" t="s">
        <v>21</v>
      </c>
      <c r="BA1" s="1" t="s">
        <v>22</v>
      </c>
      <c r="BB1" s="1" t="s">
        <v>23</v>
      </c>
      <c r="BC1" s="1" t="s">
        <v>24</v>
      </c>
      <c r="BD1" s="1" t="s">
        <v>25</v>
      </c>
      <c r="BE1" s="1" t="s">
        <v>26</v>
      </c>
      <c r="BF1" s="1" t="s">
        <v>27</v>
      </c>
      <c r="BG1" s="1" t="s">
        <v>28</v>
      </c>
      <c r="BH1" s="1" t="s">
        <v>29</v>
      </c>
      <c r="BI1" s="1" t="s">
        <v>30</v>
      </c>
      <c r="BJ1" s="1" t="s">
        <v>31</v>
      </c>
      <c r="BK1" s="1" t="s">
        <v>32</v>
      </c>
      <c r="BL1" s="1" t="s">
        <v>33</v>
      </c>
      <c r="BM1" s="1" t="s">
        <v>34</v>
      </c>
      <c r="BN1" s="1" t="s">
        <v>35</v>
      </c>
      <c r="BO1" s="1" t="s">
        <v>36</v>
      </c>
      <c r="BP1" s="1" t="s">
        <v>37</v>
      </c>
      <c r="BQ1" s="1" t="s">
        <v>38</v>
      </c>
      <c r="BR1" s="1" t="s">
        <v>39</v>
      </c>
      <c r="BS1" s="1" t="s">
        <v>40</v>
      </c>
      <c r="BT1" s="1" t="s">
        <v>41</v>
      </c>
    </row>
    <row r="2" spans="1:72" x14ac:dyDescent="0.25">
      <c r="A2">
        <v>20</v>
      </c>
      <c r="B2" t="s">
        <v>45</v>
      </c>
      <c r="F2" t="s">
        <v>46</v>
      </c>
      <c r="H2" t="s">
        <v>42</v>
      </c>
      <c r="I2" t="s">
        <v>43</v>
      </c>
      <c r="J2" s="21" t="s">
        <v>47</v>
      </c>
      <c r="K2" t="s">
        <v>44</v>
      </c>
      <c r="L2" t="s">
        <v>48</v>
      </c>
      <c r="M2" s="17" t="s">
        <v>49</v>
      </c>
      <c r="N2" t="s">
        <v>1301</v>
      </c>
      <c r="AR2" t="s">
        <v>379</v>
      </c>
      <c r="AS2" t="s">
        <v>380</v>
      </c>
      <c r="AW2" t="s">
        <v>381</v>
      </c>
      <c r="AX2" t="s">
        <v>382</v>
      </c>
      <c r="AY2" s="6" t="s">
        <v>383</v>
      </c>
      <c r="AZ2" t="s">
        <v>384</v>
      </c>
      <c r="BA2" t="s">
        <v>385</v>
      </c>
      <c r="BB2" t="s">
        <v>386</v>
      </c>
      <c r="BC2" t="s">
        <v>61</v>
      </c>
      <c r="BD2" t="s">
        <v>380</v>
      </c>
      <c r="BE2" t="s">
        <v>380</v>
      </c>
      <c r="BF2" t="s">
        <v>380</v>
      </c>
      <c r="BG2">
        <v>34.194656999999999</v>
      </c>
      <c r="BH2">
        <v>-118.35889899999999</v>
      </c>
      <c r="BI2" t="s">
        <v>387</v>
      </c>
      <c r="BJ2" t="s">
        <v>388</v>
      </c>
      <c r="BK2" t="s">
        <v>48</v>
      </c>
      <c r="BL2" t="s">
        <v>389</v>
      </c>
      <c r="BN2" t="s">
        <v>390</v>
      </c>
      <c r="BO2" t="s">
        <v>391</v>
      </c>
      <c r="BP2">
        <v>-480</v>
      </c>
      <c r="BQ2" t="s">
        <v>392</v>
      </c>
      <c r="BR2" t="s">
        <v>393</v>
      </c>
      <c r="BS2">
        <v>4.2</v>
      </c>
      <c r="BT2">
        <v>5</v>
      </c>
    </row>
    <row r="3" spans="1:72" x14ac:dyDescent="0.25">
      <c r="A3">
        <v>21</v>
      </c>
      <c r="B3" t="s">
        <v>50</v>
      </c>
      <c r="F3" t="s">
        <v>51</v>
      </c>
      <c r="H3" t="s">
        <v>42</v>
      </c>
      <c r="I3" t="s">
        <v>43</v>
      </c>
      <c r="J3" s="21" t="s">
        <v>52</v>
      </c>
      <c r="K3" t="s">
        <v>44</v>
      </c>
      <c r="L3" t="s">
        <v>53</v>
      </c>
      <c r="M3" s="17" t="s">
        <v>54</v>
      </c>
      <c r="N3" t="s">
        <v>1301</v>
      </c>
      <c r="AR3" t="s">
        <v>379</v>
      </c>
      <c r="AS3" t="s">
        <v>380</v>
      </c>
      <c r="AW3" t="s">
        <v>394</v>
      </c>
      <c r="AX3" t="s">
        <v>395</v>
      </c>
      <c r="AY3" s="6" t="s">
        <v>396</v>
      </c>
      <c r="AZ3" t="s">
        <v>384</v>
      </c>
      <c r="BA3" t="s">
        <v>397</v>
      </c>
      <c r="BB3" t="s">
        <v>398</v>
      </c>
      <c r="BC3" t="s">
        <v>380</v>
      </c>
      <c r="BD3" t="s">
        <v>380</v>
      </c>
      <c r="BE3" t="s">
        <v>380</v>
      </c>
      <c r="BF3" t="s">
        <v>380</v>
      </c>
      <c r="BG3">
        <v>34.200123099999999</v>
      </c>
      <c r="BH3">
        <v>-118.3598214</v>
      </c>
      <c r="BI3" t="s">
        <v>399</v>
      </c>
      <c r="BJ3" t="s">
        <v>400</v>
      </c>
      <c r="BK3" t="s">
        <v>53</v>
      </c>
      <c r="BL3" t="s">
        <v>389</v>
      </c>
      <c r="BN3" t="s">
        <v>401</v>
      </c>
      <c r="BO3" t="s">
        <v>391</v>
      </c>
      <c r="BP3">
        <v>-480</v>
      </c>
      <c r="BQ3" t="s">
        <v>402</v>
      </c>
      <c r="BR3" t="s">
        <v>403</v>
      </c>
      <c r="BS3">
        <v>4.7</v>
      </c>
      <c r="BT3">
        <v>5</v>
      </c>
    </row>
    <row r="4" spans="1:72" x14ac:dyDescent="0.25">
      <c r="A4">
        <v>22</v>
      </c>
      <c r="B4" t="s">
        <v>55</v>
      </c>
      <c r="F4" t="s">
        <v>56</v>
      </c>
      <c r="G4" t="s">
        <v>57</v>
      </c>
      <c r="H4" t="s">
        <v>58</v>
      </c>
      <c r="I4" t="s">
        <v>43</v>
      </c>
      <c r="J4" s="21">
        <v>91504</v>
      </c>
      <c r="K4" t="s">
        <v>44</v>
      </c>
      <c r="N4" t="s">
        <v>1301</v>
      </c>
      <c r="AR4" t="s">
        <v>379</v>
      </c>
      <c r="AT4" t="s">
        <v>380</v>
      </c>
      <c r="AW4" t="s">
        <v>404</v>
      </c>
      <c r="AX4" t="s">
        <v>405</v>
      </c>
      <c r="AY4" s="6" t="s">
        <v>406</v>
      </c>
      <c r="AZ4" t="s">
        <v>384</v>
      </c>
      <c r="BA4" t="s">
        <v>407</v>
      </c>
      <c r="BB4" t="s">
        <v>408</v>
      </c>
      <c r="BC4" t="s">
        <v>380</v>
      </c>
      <c r="BD4" t="s">
        <v>61</v>
      </c>
      <c r="BE4" t="s">
        <v>380</v>
      </c>
      <c r="BF4" t="s">
        <v>380</v>
      </c>
      <c r="BG4">
        <v>34.203241900000002</v>
      </c>
      <c r="BH4">
        <v>-118.342911</v>
      </c>
      <c r="BI4" t="s">
        <v>409</v>
      </c>
      <c r="BJ4" t="s">
        <v>410</v>
      </c>
      <c r="BK4" t="s">
        <v>411</v>
      </c>
      <c r="BL4" t="s">
        <v>412</v>
      </c>
      <c r="BN4" t="s">
        <v>413</v>
      </c>
      <c r="BO4" t="s">
        <v>414</v>
      </c>
      <c r="BP4">
        <v>-480</v>
      </c>
      <c r="BQ4" t="s">
        <v>415</v>
      </c>
      <c r="BR4" t="s">
        <v>416</v>
      </c>
      <c r="BS4">
        <v>4.3</v>
      </c>
      <c r="BT4">
        <v>4</v>
      </c>
    </row>
    <row r="5" spans="1:72" x14ac:dyDescent="0.25">
      <c r="A5">
        <v>23</v>
      </c>
      <c r="B5" t="s">
        <v>59</v>
      </c>
      <c r="F5" t="s">
        <v>60</v>
      </c>
      <c r="G5" t="s">
        <v>61</v>
      </c>
      <c r="H5" t="s">
        <v>58</v>
      </c>
      <c r="I5" t="s">
        <v>43</v>
      </c>
      <c r="J5" s="21">
        <v>91505</v>
      </c>
      <c r="K5" t="s">
        <v>44</v>
      </c>
      <c r="N5" t="s">
        <v>1301</v>
      </c>
      <c r="AR5" t="s">
        <v>379</v>
      </c>
      <c r="AT5" t="s">
        <v>380</v>
      </c>
      <c r="AW5" t="s">
        <v>417</v>
      </c>
      <c r="AX5" t="s">
        <v>418</v>
      </c>
      <c r="AY5" s="6" t="s">
        <v>419</v>
      </c>
      <c r="AZ5" t="s">
        <v>384</v>
      </c>
      <c r="BA5" t="s">
        <v>420</v>
      </c>
      <c r="BB5" t="s">
        <v>421</v>
      </c>
      <c r="BC5" t="s">
        <v>380</v>
      </c>
      <c r="BD5" t="s">
        <v>61</v>
      </c>
      <c r="BE5" t="s">
        <v>380</v>
      </c>
      <c r="BF5" t="s">
        <v>380</v>
      </c>
      <c r="BG5">
        <v>34.195823099999998</v>
      </c>
      <c r="BH5">
        <v>-118.3648019</v>
      </c>
      <c r="BI5" t="s">
        <v>422</v>
      </c>
      <c r="BJ5" t="s">
        <v>423</v>
      </c>
      <c r="BK5" t="s">
        <v>424</v>
      </c>
      <c r="BL5" t="s">
        <v>389</v>
      </c>
      <c r="BN5" t="s">
        <v>425</v>
      </c>
      <c r="BO5" t="s">
        <v>391</v>
      </c>
      <c r="BP5">
        <v>-480</v>
      </c>
      <c r="BQ5" t="s">
        <v>426</v>
      </c>
      <c r="BR5" t="s">
        <v>427</v>
      </c>
      <c r="BS5">
        <v>4</v>
      </c>
      <c r="BT5">
        <v>5</v>
      </c>
    </row>
    <row r="6" spans="1:72" x14ac:dyDescent="0.25">
      <c r="A6">
        <v>24</v>
      </c>
      <c r="B6" t="s">
        <v>59</v>
      </c>
      <c r="F6" t="s">
        <v>60</v>
      </c>
      <c r="G6" t="s">
        <v>61</v>
      </c>
      <c r="H6" t="s">
        <v>58</v>
      </c>
      <c r="I6" t="s">
        <v>43</v>
      </c>
      <c r="J6" s="21">
        <v>91505</v>
      </c>
      <c r="K6" t="s">
        <v>44</v>
      </c>
      <c r="N6" t="s">
        <v>1301</v>
      </c>
      <c r="AR6" t="s">
        <v>379</v>
      </c>
      <c r="AT6" t="s">
        <v>380</v>
      </c>
      <c r="AW6" t="s">
        <v>417</v>
      </c>
      <c r="AX6" t="s">
        <v>418</v>
      </c>
      <c r="AY6" s="6" t="s">
        <v>419</v>
      </c>
      <c r="AZ6" t="s">
        <v>384</v>
      </c>
      <c r="BA6" t="s">
        <v>420</v>
      </c>
      <c r="BB6" t="s">
        <v>421</v>
      </c>
      <c r="BC6" t="s">
        <v>380</v>
      </c>
      <c r="BD6" t="s">
        <v>61</v>
      </c>
      <c r="BE6" t="s">
        <v>380</v>
      </c>
      <c r="BF6" t="s">
        <v>380</v>
      </c>
      <c r="BG6">
        <v>34.195823099999998</v>
      </c>
      <c r="BH6">
        <v>-118.3648019</v>
      </c>
      <c r="BI6" t="s">
        <v>422</v>
      </c>
      <c r="BJ6" t="s">
        <v>423</v>
      </c>
      <c r="BK6" t="s">
        <v>424</v>
      </c>
      <c r="BL6" t="s">
        <v>389</v>
      </c>
      <c r="BN6" t="s">
        <v>425</v>
      </c>
      <c r="BO6" t="s">
        <v>391</v>
      </c>
      <c r="BP6">
        <v>-480</v>
      </c>
      <c r="BQ6" t="s">
        <v>426</v>
      </c>
      <c r="BR6" t="s">
        <v>427</v>
      </c>
      <c r="BS6">
        <v>4</v>
      </c>
      <c r="BT6">
        <v>5</v>
      </c>
    </row>
    <row r="7" spans="1:72" x14ac:dyDescent="0.25">
      <c r="A7">
        <v>25</v>
      </c>
      <c r="B7" t="s">
        <v>62</v>
      </c>
      <c r="F7" t="s">
        <v>63</v>
      </c>
      <c r="G7" t="s">
        <v>61</v>
      </c>
      <c r="H7" t="s">
        <v>58</v>
      </c>
      <c r="I7" t="s">
        <v>43</v>
      </c>
      <c r="J7" s="21">
        <v>91505</v>
      </c>
      <c r="K7" t="s">
        <v>44</v>
      </c>
      <c r="N7" t="s">
        <v>1301</v>
      </c>
      <c r="AR7" t="s">
        <v>379</v>
      </c>
      <c r="AT7" t="s">
        <v>380</v>
      </c>
      <c r="AW7" t="s">
        <v>428</v>
      </c>
      <c r="AX7" t="s">
        <v>429</v>
      </c>
      <c r="AY7" s="6" t="s">
        <v>383</v>
      </c>
      <c r="AZ7" t="s">
        <v>384</v>
      </c>
      <c r="BA7" t="s">
        <v>385</v>
      </c>
      <c r="BB7" t="s">
        <v>430</v>
      </c>
      <c r="BC7" t="s">
        <v>380</v>
      </c>
      <c r="BD7" t="s">
        <v>61</v>
      </c>
      <c r="BE7" t="s">
        <v>380</v>
      </c>
      <c r="BF7" t="s">
        <v>380</v>
      </c>
      <c r="BG7">
        <v>34.194656999999999</v>
      </c>
      <c r="BH7">
        <v>-118.35889899999999</v>
      </c>
      <c r="BI7" t="s">
        <v>387</v>
      </c>
      <c r="BJ7" t="s">
        <v>388</v>
      </c>
      <c r="BK7" t="s">
        <v>48</v>
      </c>
      <c r="BL7" t="s">
        <v>389</v>
      </c>
      <c r="BN7" t="s">
        <v>390</v>
      </c>
      <c r="BO7" t="s">
        <v>391</v>
      </c>
      <c r="BP7">
        <v>-480</v>
      </c>
      <c r="BQ7" t="s">
        <v>392</v>
      </c>
      <c r="BR7" t="s">
        <v>393</v>
      </c>
      <c r="BS7">
        <v>4.2</v>
      </c>
      <c r="BT7">
        <v>5</v>
      </c>
    </row>
    <row r="8" spans="1:72" x14ac:dyDescent="0.25">
      <c r="A8">
        <v>26</v>
      </c>
      <c r="B8" t="s">
        <v>64</v>
      </c>
      <c r="F8" t="s">
        <v>65</v>
      </c>
      <c r="G8" t="s">
        <v>61</v>
      </c>
      <c r="H8" t="s">
        <v>58</v>
      </c>
      <c r="I8" t="s">
        <v>43</v>
      </c>
      <c r="J8" s="21">
        <v>91505</v>
      </c>
      <c r="K8" t="s">
        <v>44</v>
      </c>
      <c r="N8" t="s">
        <v>1301</v>
      </c>
      <c r="AR8" t="s">
        <v>379</v>
      </c>
      <c r="AT8" t="s">
        <v>380</v>
      </c>
      <c r="AW8" t="s">
        <v>431</v>
      </c>
      <c r="AX8" t="s">
        <v>432</v>
      </c>
      <c r="AY8" s="6" t="s">
        <v>433</v>
      </c>
      <c r="AZ8" t="s">
        <v>384</v>
      </c>
      <c r="BA8" t="s">
        <v>434</v>
      </c>
      <c r="BB8" t="s">
        <v>435</v>
      </c>
      <c r="BC8" t="s">
        <v>380</v>
      </c>
      <c r="BD8" t="s">
        <v>61</v>
      </c>
      <c r="BE8" t="s">
        <v>380</v>
      </c>
      <c r="BF8" t="s">
        <v>380</v>
      </c>
      <c r="BG8">
        <v>34.193016</v>
      </c>
      <c r="BH8">
        <v>-118.359848</v>
      </c>
      <c r="BI8" t="s">
        <v>436</v>
      </c>
      <c r="BJ8" t="s">
        <v>437</v>
      </c>
      <c r="BK8" t="s">
        <v>438</v>
      </c>
      <c r="BL8" t="s">
        <v>412</v>
      </c>
      <c r="BN8" t="s">
        <v>439</v>
      </c>
      <c r="BO8" t="s">
        <v>414</v>
      </c>
      <c r="BP8">
        <v>-480</v>
      </c>
      <c r="BQ8" t="s">
        <v>440</v>
      </c>
      <c r="BR8" t="s">
        <v>441</v>
      </c>
      <c r="BS8">
        <v>4</v>
      </c>
      <c r="BT8">
        <v>4</v>
      </c>
    </row>
    <row r="9" spans="1:72" x14ac:dyDescent="0.25">
      <c r="A9">
        <v>27</v>
      </c>
      <c r="B9" t="s">
        <v>66</v>
      </c>
      <c r="F9" t="s">
        <v>67</v>
      </c>
      <c r="H9" t="s">
        <v>68</v>
      </c>
      <c r="I9" t="s">
        <v>43</v>
      </c>
      <c r="J9" s="21">
        <v>92011</v>
      </c>
      <c r="K9" t="s">
        <v>44</v>
      </c>
      <c r="L9" t="s">
        <v>69</v>
      </c>
      <c r="N9" t="s">
        <v>1301</v>
      </c>
      <c r="AR9" t="s">
        <v>379</v>
      </c>
      <c r="AS9" t="s">
        <v>380</v>
      </c>
      <c r="AW9" t="s">
        <v>442</v>
      </c>
      <c r="AX9" t="s">
        <v>443</v>
      </c>
      <c r="AY9" s="6" t="s">
        <v>444</v>
      </c>
      <c r="AZ9" t="s">
        <v>384</v>
      </c>
      <c r="BA9" t="s">
        <v>445</v>
      </c>
      <c r="BB9" t="s">
        <v>446</v>
      </c>
      <c r="BC9" t="s">
        <v>61</v>
      </c>
      <c r="BD9" t="s">
        <v>380</v>
      </c>
      <c r="BE9" t="s">
        <v>380</v>
      </c>
      <c r="BF9" t="s">
        <v>380</v>
      </c>
      <c r="BG9">
        <v>33.125780499999998</v>
      </c>
      <c r="BH9">
        <v>-117.2754738</v>
      </c>
      <c r="BI9" t="s">
        <v>447</v>
      </c>
      <c r="BJ9" t="s">
        <v>448</v>
      </c>
      <c r="BK9" t="s">
        <v>449</v>
      </c>
      <c r="BL9" t="s">
        <v>450</v>
      </c>
      <c r="BN9" t="s">
        <v>451</v>
      </c>
      <c r="BO9" t="s">
        <v>452</v>
      </c>
      <c r="BP9">
        <v>-480</v>
      </c>
      <c r="BQ9" t="s">
        <v>453</v>
      </c>
      <c r="BR9" t="s">
        <v>454</v>
      </c>
      <c r="BS9">
        <v>3.8</v>
      </c>
      <c r="BT9">
        <v>5</v>
      </c>
    </row>
    <row r="10" spans="1:72" x14ac:dyDescent="0.25">
      <c r="A10">
        <v>28</v>
      </c>
      <c r="B10" t="s">
        <v>70</v>
      </c>
      <c r="F10" t="s">
        <v>71</v>
      </c>
      <c r="H10" t="s">
        <v>68</v>
      </c>
      <c r="I10" t="s">
        <v>43</v>
      </c>
      <c r="J10" s="21">
        <v>92011</v>
      </c>
      <c r="K10" t="s">
        <v>44</v>
      </c>
      <c r="L10" t="s">
        <v>72</v>
      </c>
      <c r="N10" t="s">
        <v>1301</v>
      </c>
      <c r="AR10" t="s">
        <v>379</v>
      </c>
      <c r="AS10" t="s">
        <v>380</v>
      </c>
      <c r="AW10" t="s">
        <v>455</v>
      </c>
      <c r="AX10" t="s">
        <v>456</v>
      </c>
      <c r="AY10" s="6" t="s">
        <v>457</v>
      </c>
      <c r="AZ10" t="s">
        <v>384</v>
      </c>
      <c r="BA10" t="s">
        <v>458</v>
      </c>
      <c r="BB10" t="s">
        <v>459</v>
      </c>
      <c r="BC10" t="s">
        <v>380</v>
      </c>
      <c r="BD10" t="s">
        <v>380</v>
      </c>
      <c r="BE10" t="s">
        <v>380</v>
      </c>
      <c r="BF10" t="s">
        <v>380</v>
      </c>
      <c r="BG10">
        <v>33.126951800000001</v>
      </c>
      <c r="BH10">
        <v>-117.2758425</v>
      </c>
      <c r="BI10" t="s">
        <v>460</v>
      </c>
      <c r="BJ10" t="s">
        <v>461</v>
      </c>
      <c r="BK10" t="s">
        <v>462</v>
      </c>
      <c r="BL10" t="s">
        <v>450</v>
      </c>
      <c r="BN10" t="s">
        <v>463</v>
      </c>
      <c r="BO10" t="s">
        <v>452</v>
      </c>
      <c r="BP10">
        <v>-480</v>
      </c>
      <c r="BQ10" t="s">
        <v>464</v>
      </c>
      <c r="BR10" t="s">
        <v>465</v>
      </c>
      <c r="BS10">
        <v>4.5999999999999996</v>
      </c>
      <c r="BT10">
        <v>5</v>
      </c>
    </row>
    <row r="11" spans="1:72" x14ac:dyDescent="0.25">
      <c r="A11">
        <v>29</v>
      </c>
      <c r="B11" t="s">
        <v>73</v>
      </c>
      <c r="F11" t="s">
        <v>74</v>
      </c>
      <c r="G11" t="s">
        <v>75</v>
      </c>
      <c r="H11" t="s">
        <v>76</v>
      </c>
      <c r="I11" t="s">
        <v>43</v>
      </c>
      <c r="J11" s="21" t="s">
        <v>77</v>
      </c>
      <c r="K11" t="s">
        <v>44</v>
      </c>
      <c r="L11" t="s">
        <v>78</v>
      </c>
      <c r="N11" t="s">
        <v>1301</v>
      </c>
      <c r="AR11" t="s">
        <v>379</v>
      </c>
      <c r="AS11" t="s">
        <v>380</v>
      </c>
      <c r="AW11" t="s">
        <v>466</v>
      </c>
      <c r="AX11" t="s">
        <v>467</v>
      </c>
      <c r="AY11" s="6" t="s">
        <v>73</v>
      </c>
      <c r="AZ11" t="s">
        <v>384</v>
      </c>
      <c r="BA11" t="s">
        <v>468</v>
      </c>
      <c r="BB11" t="s">
        <v>469</v>
      </c>
      <c r="BC11" t="s">
        <v>61</v>
      </c>
      <c r="BD11" t="s">
        <v>61</v>
      </c>
      <c r="BE11" t="s">
        <v>380</v>
      </c>
      <c r="BF11" t="s">
        <v>61</v>
      </c>
      <c r="BG11">
        <v>33.060730999999997</v>
      </c>
      <c r="BH11">
        <v>-117.2960612</v>
      </c>
      <c r="BI11" t="s">
        <v>470</v>
      </c>
      <c r="BJ11" t="s">
        <v>471</v>
      </c>
      <c r="BK11" t="s">
        <v>472</v>
      </c>
      <c r="BL11" t="s">
        <v>389</v>
      </c>
      <c r="BN11" t="s">
        <v>473</v>
      </c>
      <c r="BO11" t="s">
        <v>391</v>
      </c>
      <c r="BP11">
        <v>-480</v>
      </c>
      <c r="BQ11" t="s">
        <v>474</v>
      </c>
      <c r="BR11" t="s">
        <v>475</v>
      </c>
      <c r="BT11" t="s">
        <v>61</v>
      </c>
    </row>
    <row r="12" spans="1:72" x14ac:dyDescent="0.25">
      <c r="A12">
        <v>30</v>
      </c>
      <c r="B12" t="s">
        <v>79</v>
      </c>
      <c r="F12" t="s">
        <v>80</v>
      </c>
      <c r="H12" t="s">
        <v>76</v>
      </c>
      <c r="I12" t="s">
        <v>43</v>
      </c>
      <c r="J12" s="21" t="s">
        <v>77</v>
      </c>
      <c r="K12" t="s">
        <v>44</v>
      </c>
      <c r="N12" t="s">
        <v>1301</v>
      </c>
      <c r="AR12" t="s">
        <v>379</v>
      </c>
      <c r="AT12" t="s">
        <v>380</v>
      </c>
      <c r="AW12" t="s">
        <v>476</v>
      </c>
      <c r="AX12" t="s">
        <v>477</v>
      </c>
      <c r="AY12" s="6" t="s">
        <v>478</v>
      </c>
      <c r="AZ12" t="s">
        <v>384</v>
      </c>
      <c r="BA12" t="s">
        <v>479</v>
      </c>
      <c r="BB12" t="s">
        <v>480</v>
      </c>
      <c r="BC12" t="s">
        <v>380</v>
      </c>
      <c r="BD12" t="s">
        <v>380</v>
      </c>
      <c r="BE12" t="s">
        <v>380</v>
      </c>
      <c r="BF12" t="s">
        <v>380</v>
      </c>
      <c r="BG12">
        <v>33.125393299999999</v>
      </c>
      <c r="BH12">
        <v>-117.27619970000001</v>
      </c>
      <c r="BI12" t="s">
        <v>481</v>
      </c>
      <c r="BJ12" t="s">
        <v>482</v>
      </c>
      <c r="BK12" t="s">
        <v>483</v>
      </c>
      <c r="BL12" t="s">
        <v>389</v>
      </c>
      <c r="BN12" t="s">
        <v>484</v>
      </c>
      <c r="BO12" t="s">
        <v>391</v>
      </c>
      <c r="BP12">
        <v>-480</v>
      </c>
      <c r="BQ12" t="s">
        <v>485</v>
      </c>
      <c r="BR12" t="s">
        <v>486</v>
      </c>
      <c r="BT12" t="s">
        <v>61</v>
      </c>
    </row>
    <row r="13" spans="1:72" x14ac:dyDescent="0.25">
      <c r="A13">
        <v>31</v>
      </c>
      <c r="B13" t="s">
        <v>81</v>
      </c>
      <c r="F13" t="s">
        <v>82</v>
      </c>
      <c r="G13" t="s">
        <v>83</v>
      </c>
      <c r="H13" t="s">
        <v>76</v>
      </c>
      <c r="I13" t="s">
        <v>43</v>
      </c>
      <c r="J13" s="21" t="s">
        <v>77</v>
      </c>
      <c r="K13" t="s">
        <v>44</v>
      </c>
      <c r="L13" t="s">
        <v>84</v>
      </c>
      <c r="N13" s="23" t="s">
        <v>1264</v>
      </c>
      <c r="O13" s="23"/>
      <c r="P13" s="23"/>
      <c r="Q13" s="23"/>
      <c r="R13" s="23"/>
      <c r="S13" s="23"/>
      <c r="T13" s="23"/>
      <c r="U13" s="17"/>
      <c r="V13" s="17"/>
      <c r="W13" s="17"/>
      <c r="X13" s="17"/>
      <c r="Y13" s="17"/>
      <c r="Z13" s="17"/>
      <c r="AA13" s="17"/>
      <c r="AB13" s="17"/>
      <c r="AC13" s="17"/>
      <c r="AD13" s="17"/>
      <c r="AE13" s="17"/>
      <c r="AF13" s="17"/>
      <c r="AG13" s="17"/>
      <c r="AH13" s="17"/>
      <c r="AI13" s="17"/>
      <c r="AJ13" s="17"/>
      <c r="AK13" s="17"/>
      <c r="AL13" s="17"/>
      <c r="AM13" s="17"/>
      <c r="AN13" s="17"/>
      <c r="AO13" s="17"/>
      <c r="AP13" s="17"/>
      <c r="AQ13" s="17"/>
      <c r="AR13" t="s">
        <v>379</v>
      </c>
      <c r="AS13" t="s">
        <v>380</v>
      </c>
      <c r="AW13" t="s">
        <v>487</v>
      </c>
      <c r="AX13" t="s">
        <v>488</v>
      </c>
      <c r="AY13" s="6" t="s">
        <v>81</v>
      </c>
      <c r="AZ13" t="s">
        <v>384</v>
      </c>
      <c r="BA13" t="s">
        <v>489</v>
      </c>
      <c r="BB13" t="s">
        <v>490</v>
      </c>
      <c r="BC13" t="s">
        <v>380</v>
      </c>
      <c r="BD13" t="s">
        <v>380</v>
      </c>
      <c r="BE13" t="s">
        <v>380</v>
      </c>
      <c r="BF13" t="s">
        <v>380</v>
      </c>
      <c r="BG13">
        <v>33.125481999999998</v>
      </c>
      <c r="BH13">
        <v>-117.281969</v>
      </c>
      <c r="BI13" t="s">
        <v>491</v>
      </c>
      <c r="BJ13" t="s">
        <v>492</v>
      </c>
      <c r="BK13" t="s">
        <v>493</v>
      </c>
      <c r="BL13" t="s">
        <v>389</v>
      </c>
      <c r="BN13" t="s">
        <v>494</v>
      </c>
      <c r="BO13" t="s">
        <v>391</v>
      </c>
      <c r="BP13">
        <v>-480</v>
      </c>
      <c r="BQ13" t="s">
        <v>495</v>
      </c>
      <c r="BR13" t="s">
        <v>496</v>
      </c>
      <c r="BT13" t="s">
        <v>61</v>
      </c>
    </row>
    <row r="14" spans="1:72" x14ac:dyDescent="0.25">
      <c r="A14">
        <v>32</v>
      </c>
      <c r="B14" t="s">
        <v>85</v>
      </c>
      <c r="F14" t="s">
        <v>86</v>
      </c>
      <c r="G14" t="s">
        <v>87</v>
      </c>
      <c r="H14" t="s">
        <v>76</v>
      </c>
      <c r="I14" t="s">
        <v>43</v>
      </c>
      <c r="J14" s="21" t="s">
        <v>77</v>
      </c>
      <c r="K14" t="s">
        <v>44</v>
      </c>
      <c r="L14" t="s">
        <v>88</v>
      </c>
      <c r="N14" t="s">
        <v>1301</v>
      </c>
      <c r="AR14" t="s">
        <v>379</v>
      </c>
      <c r="AS14" t="s">
        <v>380</v>
      </c>
      <c r="AW14" t="s">
        <v>497</v>
      </c>
      <c r="AX14" t="s">
        <v>498</v>
      </c>
      <c r="AY14" s="6" t="s">
        <v>499</v>
      </c>
      <c r="AZ14" t="s">
        <v>384</v>
      </c>
      <c r="BA14" t="s">
        <v>500</v>
      </c>
      <c r="BB14" t="s">
        <v>501</v>
      </c>
      <c r="BC14" t="s">
        <v>380</v>
      </c>
      <c r="BD14" t="s">
        <v>380</v>
      </c>
      <c r="BE14" t="s">
        <v>380</v>
      </c>
      <c r="BF14" t="s">
        <v>380</v>
      </c>
      <c r="BG14">
        <v>33.126788400000002</v>
      </c>
      <c r="BH14">
        <v>-117.2787256</v>
      </c>
      <c r="BI14" t="s">
        <v>502</v>
      </c>
      <c r="BJ14" t="s">
        <v>503</v>
      </c>
      <c r="BK14" t="s">
        <v>504</v>
      </c>
      <c r="BL14" t="s">
        <v>389</v>
      </c>
      <c r="BN14" t="s">
        <v>505</v>
      </c>
      <c r="BO14" t="s">
        <v>391</v>
      </c>
      <c r="BP14">
        <v>-480</v>
      </c>
      <c r="BQ14" t="s">
        <v>506</v>
      </c>
      <c r="BR14" t="s">
        <v>507</v>
      </c>
      <c r="BS14">
        <v>5</v>
      </c>
      <c r="BT14">
        <v>3</v>
      </c>
    </row>
    <row r="15" spans="1:72" x14ac:dyDescent="0.25">
      <c r="A15">
        <v>33</v>
      </c>
      <c r="B15" t="s">
        <v>89</v>
      </c>
      <c r="F15" t="s">
        <v>82</v>
      </c>
      <c r="G15" t="s">
        <v>90</v>
      </c>
      <c r="H15" t="s">
        <v>76</v>
      </c>
      <c r="I15" t="s">
        <v>43</v>
      </c>
      <c r="J15" s="21" t="s">
        <v>77</v>
      </c>
      <c r="K15" t="s">
        <v>44</v>
      </c>
      <c r="L15" t="s">
        <v>91</v>
      </c>
      <c r="N15" t="s">
        <v>1301</v>
      </c>
      <c r="AR15" t="s">
        <v>379</v>
      </c>
      <c r="AS15" t="s">
        <v>380</v>
      </c>
      <c r="AW15" t="s">
        <v>508</v>
      </c>
      <c r="AX15" t="s">
        <v>509</v>
      </c>
      <c r="AY15" s="6" t="s">
        <v>89</v>
      </c>
      <c r="AZ15" t="s">
        <v>384</v>
      </c>
      <c r="BA15" t="s">
        <v>510</v>
      </c>
      <c r="BB15" t="s">
        <v>511</v>
      </c>
      <c r="BC15" t="s">
        <v>380</v>
      </c>
      <c r="BD15" t="s">
        <v>380</v>
      </c>
      <c r="BE15" t="s">
        <v>380</v>
      </c>
      <c r="BF15" t="s">
        <v>380</v>
      </c>
      <c r="BG15">
        <v>33.125520399999999</v>
      </c>
      <c r="BH15">
        <v>-117.2820321</v>
      </c>
      <c r="BI15" t="s">
        <v>512</v>
      </c>
      <c r="BJ15" t="s">
        <v>513</v>
      </c>
      <c r="BK15" t="s">
        <v>514</v>
      </c>
      <c r="BL15" t="s">
        <v>389</v>
      </c>
      <c r="BN15" t="s">
        <v>515</v>
      </c>
      <c r="BO15" t="s">
        <v>516</v>
      </c>
      <c r="BP15">
        <v>-480</v>
      </c>
      <c r="BQ15" t="s">
        <v>517</v>
      </c>
      <c r="BR15" t="s">
        <v>518</v>
      </c>
      <c r="BS15">
        <v>5</v>
      </c>
      <c r="BT15">
        <v>4</v>
      </c>
    </row>
    <row r="16" spans="1:72" x14ac:dyDescent="0.25">
      <c r="A16">
        <v>34</v>
      </c>
      <c r="B16" t="s">
        <v>92</v>
      </c>
      <c r="F16" t="s">
        <v>93</v>
      </c>
      <c r="H16" t="s">
        <v>76</v>
      </c>
      <c r="I16" t="s">
        <v>43</v>
      </c>
      <c r="J16" s="21" t="s">
        <v>77</v>
      </c>
      <c r="K16" t="s">
        <v>44</v>
      </c>
      <c r="L16" t="s">
        <v>94</v>
      </c>
      <c r="N16" t="s">
        <v>1301</v>
      </c>
      <c r="AR16" t="s">
        <v>379</v>
      </c>
      <c r="AS16" t="s">
        <v>380</v>
      </c>
      <c r="AW16" t="s">
        <v>519</v>
      </c>
      <c r="AX16" t="s">
        <v>520</v>
      </c>
      <c r="AY16" s="6" t="s">
        <v>521</v>
      </c>
      <c r="AZ16" t="s">
        <v>384</v>
      </c>
      <c r="BA16" t="s">
        <v>522</v>
      </c>
      <c r="BB16" t="s">
        <v>523</v>
      </c>
      <c r="BC16" t="s">
        <v>380</v>
      </c>
      <c r="BD16" t="s">
        <v>380</v>
      </c>
      <c r="BE16" t="s">
        <v>380</v>
      </c>
      <c r="BF16" t="s">
        <v>380</v>
      </c>
      <c r="BG16">
        <v>33.120852900000003</v>
      </c>
      <c r="BH16">
        <v>-117.2807857</v>
      </c>
      <c r="BI16" t="s">
        <v>524</v>
      </c>
      <c r="BJ16" t="s">
        <v>525</v>
      </c>
      <c r="BK16" t="s">
        <v>100</v>
      </c>
      <c r="BL16" t="s">
        <v>389</v>
      </c>
      <c r="BN16" t="s">
        <v>526</v>
      </c>
      <c r="BO16" t="s">
        <v>391</v>
      </c>
      <c r="BP16">
        <v>-480</v>
      </c>
      <c r="BQ16" t="s">
        <v>527</v>
      </c>
      <c r="BT16" t="s">
        <v>61</v>
      </c>
    </row>
    <row r="17" spans="1:74" x14ac:dyDescent="0.25">
      <c r="A17">
        <v>35</v>
      </c>
      <c r="B17" t="s">
        <v>95</v>
      </c>
      <c r="F17" t="s">
        <v>96</v>
      </c>
      <c r="H17" t="s">
        <v>76</v>
      </c>
      <c r="I17" t="s">
        <v>43</v>
      </c>
      <c r="J17" s="21" t="s">
        <v>77</v>
      </c>
      <c r="K17" t="s">
        <v>44</v>
      </c>
      <c r="N17" t="s">
        <v>1301</v>
      </c>
      <c r="AR17" t="s">
        <v>379</v>
      </c>
      <c r="AT17" t="s">
        <v>380</v>
      </c>
      <c r="AW17" t="s">
        <v>528</v>
      </c>
      <c r="AX17" t="s">
        <v>529</v>
      </c>
      <c r="AY17" s="6" t="s">
        <v>530</v>
      </c>
      <c r="AZ17" t="s">
        <v>384</v>
      </c>
      <c r="BA17" t="s">
        <v>531</v>
      </c>
      <c r="BB17" t="s">
        <v>532</v>
      </c>
      <c r="BC17" t="s">
        <v>380</v>
      </c>
      <c r="BD17" t="s">
        <v>380</v>
      </c>
      <c r="BE17" t="s">
        <v>380</v>
      </c>
      <c r="BF17" t="s">
        <v>380</v>
      </c>
      <c r="BG17">
        <v>33.125491799999999</v>
      </c>
      <c r="BH17">
        <v>-117.28208890000001</v>
      </c>
      <c r="BI17" t="s">
        <v>533</v>
      </c>
      <c r="BJ17" t="s">
        <v>534</v>
      </c>
      <c r="BK17" t="s">
        <v>535</v>
      </c>
      <c r="BL17" t="s">
        <v>389</v>
      </c>
      <c r="BN17" t="s">
        <v>536</v>
      </c>
      <c r="BO17" t="s">
        <v>391</v>
      </c>
      <c r="BP17">
        <v>-480</v>
      </c>
      <c r="BQ17" t="s">
        <v>537</v>
      </c>
      <c r="BR17" t="s">
        <v>538</v>
      </c>
      <c r="BT17" t="s">
        <v>61</v>
      </c>
    </row>
    <row r="18" spans="1:74" x14ac:dyDescent="0.25">
      <c r="A18">
        <v>36</v>
      </c>
      <c r="B18" s="12" t="s">
        <v>97</v>
      </c>
      <c r="F18" t="s">
        <v>98</v>
      </c>
      <c r="H18" t="s">
        <v>76</v>
      </c>
      <c r="I18" t="s">
        <v>43</v>
      </c>
      <c r="J18" s="21" t="s">
        <v>99</v>
      </c>
      <c r="K18" t="s">
        <v>44</v>
      </c>
      <c r="L18" t="s">
        <v>100</v>
      </c>
      <c r="M18" s="17" t="s">
        <v>101</v>
      </c>
      <c r="N18" t="s">
        <v>1301</v>
      </c>
      <c r="AR18" t="s">
        <v>379</v>
      </c>
      <c r="AS18" t="s">
        <v>380</v>
      </c>
      <c r="AW18" t="s">
        <v>519</v>
      </c>
      <c r="AX18" t="s">
        <v>520</v>
      </c>
      <c r="AY18" s="7" t="s">
        <v>521</v>
      </c>
      <c r="AZ18" t="s">
        <v>384</v>
      </c>
      <c r="BA18" t="s">
        <v>522</v>
      </c>
      <c r="BB18" t="s">
        <v>523</v>
      </c>
      <c r="BC18" t="s">
        <v>380</v>
      </c>
      <c r="BD18" t="s">
        <v>380</v>
      </c>
      <c r="BE18" t="s">
        <v>380</v>
      </c>
      <c r="BF18" t="s">
        <v>380</v>
      </c>
      <c r="BG18">
        <v>33.120852900000003</v>
      </c>
      <c r="BH18">
        <v>-117.2807857</v>
      </c>
      <c r="BI18" t="s">
        <v>524</v>
      </c>
      <c r="BJ18" t="s">
        <v>525</v>
      </c>
      <c r="BK18" t="s">
        <v>100</v>
      </c>
      <c r="BL18" t="s">
        <v>389</v>
      </c>
      <c r="BN18" t="s">
        <v>526</v>
      </c>
      <c r="BO18" t="s">
        <v>391</v>
      </c>
      <c r="BP18">
        <v>-480</v>
      </c>
      <c r="BQ18" t="s">
        <v>527</v>
      </c>
      <c r="BT18" t="s">
        <v>61</v>
      </c>
    </row>
    <row r="19" spans="1:74" x14ac:dyDescent="0.25">
      <c r="A19">
        <v>37</v>
      </c>
      <c r="B19" t="s">
        <v>102</v>
      </c>
      <c r="C19" s="12" t="s">
        <v>103</v>
      </c>
      <c r="F19" t="s">
        <v>104</v>
      </c>
      <c r="G19" t="s">
        <v>105</v>
      </c>
      <c r="H19" t="s">
        <v>76</v>
      </c>
      <c r="I19" t="s">
        <v>43</v>
      </c>
      <c r="J19" s="21" t="s">
        <v>77</v>
      </c>
      <c r="K19" t="s">
        <v>44</v>
      </c>
      <c r="N19" t="s">
        <v>1301</v>
      </c>
      <c r="AR19" t="s">
        <v>379</v>
      </c>
      <c r="AT19" t="s">
        <v>380</v>
      </c>
      <c r="AW19" t="s">
        <v>539</v>
      </c>
      <c r="AX19" t="s">
        <v>540</v>
      </c>
      <c r="AY19" s="6" t="s">
        <v>103</v>
      </c>
      <c r="AZ19" t="s">
        <v>384</v>
      </c>
      <c r="BA19" t="s">
        <v>541</v>
      </c>
      <c r="BB19" t="s">
        <v>542</v>
      </c>
      <c r="BC19" t="s">
        <v>380</v>
      </c>
      <c r="BD19" t="s">
        <v>61</v>
      </c>
      <c r="BE19" t="s">
        <v>380</v>
      </c>
      <c r="BF19" t="s">
        <v>380</v>
      </c>
      <c r="BG19">
        <v>33.123883999999997</v>
      </c>
      <c r="BH19">
        <v>-117.2721839</v>
      </c>
      <c r="BI19" t="s">
        <v>543</v>
      </c>
      <c r="BJ19" t="s">
        <v>544</v>
      </c>
      <c r="BK19" t="s">
        <v>545</v>
      </c>
      <c r="BL19" t="s">
        <v>389</v>
      </c>
      <c r="BN19" t="s">
        <v>546</v>
      </c>
      <c r="BO19" t="s">
        <v>391</v>
      </c>
      <c r="BP19">
        <v>-480</v>
      </c>
      <c r="BQ19" t="s">
        <v>547</v>
      </c>
      <c r="BR19" t="s">
        <v>548</v>
      </c>
      <c r="BS19">
        <v>5</v>
      </c>
      <c r="BT19">
        <v>5</v>
      </c>
    </row>
    <row r="20" spans="1:74" x14ac:dyDescent="0.25">
      <c r="A20">
        <v>38</v>
      </c>
      <c r="B20" t="s">
        <v>106</v>
      </c>
      <c r="F20" t="s">
        <v>107</v>
      </c>
      <c r="H20" t="s">
        <v>76</v>
      </c>
      <c r="I20" t="s">
        <v>43</v>
      </c>
      <c r="J20" s="21" t="s">
        <v>108</v>
      </c>
      <c r="K20" t="s">
        <v>44</v>
      </c>
      <c r="N20" s="23" t="s">
        <v>1302</v>
      </c>
      <c r="O20" s="23"/>
      <c r="P20" s="23"/>
      <c r="Q20" s="23"/>
      <c r="R20" s="23"/>
      <c r="S20" s="23"/>
      <c r="T20" s="23"/>
      <c r="U20" s="17"/>
      <c r="V20" s="17"/>
      <c r="W20" s="17"/>
      <c r="X20" s="17"/>
      <c r="Y20" s="17"/>
      <c r="Z20" s="17"/>
      <c r="AA20" s="17"/>
      <c r="AB20" s="17"/>
      <c r="AC20" s="17"/>
      <c r="AD20" s="17"/>
      <c r="AE20" s="17"/>
      <c r="AF20" s="17"/>
      <c r="AG20" s="17"/>
      <c r="AH20" s="17"/>
      <c r="AI20" s="17"/>
      <c r="AJ20" s="17"/>
      <c r="AK20" s="17"/>
      <c r="AL20" s="17"/>
      <c r="AM20" s="17"/>
      <c r="AN20" s="17"/>
      <c r="AO20" s="17"/>
      <c r="AP20" s="17"/>
      <c r="AQ20" s="17"/>
      <c r="AR20" t="s">
        <v>379</v>
      </c>
      <c r="AT20" t="s">
        <v>380</v>
      </c>
      <c r="AW20" t="s">
        <v>549</v>
      </c>
      <c r="AX20" t="s">
        <v>550</v>
      </c>
      <c r="AY20" s="6" t="s">
        <v>551</v>
      </c>
      <c r="AZ20" t="s">
        <v>384</v>
      </c>
      <c r="BA20" t="s">
        <v>552</v>
      </c>
      <c r="BB20" t="s">
        <v>553</v>
      </c>
      <c r="BC20" t="s">
        <v>380</v>
      </c>
      <c r="BD20" t="s">
        <v>61</v>
      </c>
      <c r="BE20" t="s">
        <v>380</v>
      </c>
      <c r="BF20" t="s">
        <v>380</v>
      </c>
      <c r="BG20">
        <v>33.128709999999998</v>
      </c>
      <c r="BH20">
        <v>-117.257959</v>
      </c>
      <c r="BI20" t="s">
        <v>554</v>
      </c>
      <c r="BJ20" t="s">
        <v>555</v>
      </c>
      <c r="BK20" t="s">
        <v>556</v>
      </c>
      <c r="BL20" t="s">
        <v>450</v>
      </c>
      <c r="BN20" t="s">
        <v>557</v>
      </c>
      <c r="BO20" t="s">
        <v>452</v>
      </c>
      <c r="BP20">
        <v>-480</v>
      </c>
      <c r="BQ20" t="s">
        <v>558</v>
      </c>
      <c r="BR20" t="s">
        <v>559</v>
      </c>
      <c r="BS20">
        <v>4.4000000000000004</v>
      </c>
      <c r="BT20">
        <v>5</v>
      </c>
    </row>
    <row r="21" spans="1:74" x14ac:dyDescent="0.25">
      <c r="A21">
        <v>39</v>
      </c>
      <c r="B21" s="12" t="s">
        <v>1248</v>
      </c>
      <c r="F21" s="12" t="s">
        <v>109</v>
      </c>
      <c r="G21" t="s">
        <v>61</v>
      </c>
      <c r="H21" t="s">
        <v>68</v>
      </c>
      <c r="I21" t="s">
        <v>43</v>
      </c>
      <c r="J21" s="21">
        <v>92010</v>
      </c>
      <c r="K21" t="s">
        <v>44</v>
      </c>
      <c r="M21" s="17" t="s">
        <v>1268</v>
      </c>
      <c r="N21" t="s">
        <v>1301</v>
      </c>
      <c r="AR21" t="s">
        <v>560</v>
      </c>
      <c r="AT21" t="s">
        <v>61</v>
      </c>
      <c r="AW21" t="s">
        <v>561</v>
      </c>
      <c r="BO21" t="s">
        <v>562</v>
      </c>
    </row>
    <row r="22" spans="1:74" x14ac:dyDescent="0.25">
      <c r="A22">
        <v>45</v>
      </c>
      <c r="B22" s="12" t="s">
        <v>1249</v>
      </c>
      <c r="F22" s="12" t="s">
        <v>114</v>
      </c>
      <c r="G22" t="s">
        <v>61</v>
      </c>
      <c r="H22" t="s">
        <v>68</v>
      </c>
      <c r="I22" t="s">
        <v>43</v>
      </c>
      <c r="J22" s="21">
        <v>92011</v>
      </c>
      <c r="K22" t="s">
        <v>44</v>
      </c>
      <c r="N22" t="s">
        <v>1301</v>
      </c>
      <c r="AR22" t="s">
        <v>560</v>
      </c>
      <c r="AT22" t="s">
        <v>61</v>
      </c>
      <c r="AW22" t="s">
        <v>573</v>
      </c>
      <c r="BO22" t="s">
        <v>574</v>
      </c>
    </row>
    <row r="23" spans="1:74" x14ac:dyDescent="0.25">
      <c r="A23">
        <v>46</v>
      </c>
      <c r="B23" s="12" t="s">
        <v>112</v>
      </c>
      <c r="F23" s="12" t="s">
        <v>113</v>
      </c>
      <c r="H23" t="s">
        <v>68</v>
      </c>
      <c r="I23" t="s">
        <v>43</v>
      </c>
      <c r="J23" s="21">
        <v>92011</v>
      </c>
      <c r="K23" t="s">
        <v>44</v>
      </c>
      <c r="N23" t="s">
        <v>1301</v>
      </c>
    </row>
    <row r="24" spans="1:74" x14ac:dyDescent="0.25">
      <c r="A24">
        <v>47</v>
      </c>
      <c r="B24" s="12" t="s">
        <v>110</v>
      </c>
      <c r="F24" t="s">
        <v>111</v>
      </c>
      <c r="G24" t="s">
        <v>61</v>
      </c>
      <c r="H24" t="s">
        <v>68</v>
      </c>
      <c r="I24" t="s">
        <v>43</v>
      </c>
      <c r="J24" s="21">
        <v>92011</v>
      </c>
      <c r="K24" t="s">
        <v>44</v>
      </c>
      <c r="N24" t="s">
        <v>1301</v>
      </c>
      <c r="AR24" t="s">
        <v>379</v>
      </c>
      <c r="AT24" t="s">
        <v>380</v>
      </c>
      <c r="AW24" t="s">
        <v>563</v>
      </c>
      <c r="AX24" t="s">
        <v>564</v>
      </c>
      <c r="AY24" s="6" t="s">
        <v>565</v>
      </c>
      <c r="AZ24" t="s">
        <v>384</v>
      </c>
      <c r="BA24" t="s">
        <v>566</v>
      </c>
      <c r="BB24" t="s">
        <v>567</v>
      </c>
      <c r="BC24" t="s">
        <v>380</v>
      </c>
      <c r="BD24" t="s">
        <v>61</v>
      </c>
      <c r="BE24" t="s">
        <v>380</v>
      </c>
      <c r="BF24" t="s">
        <v>380</v>
      </c>
      <c r="BG24">
        <v>33.125228300000003</v>
      </c>
      <c r="BH24">
        <v>-117.2807174</v>
      </c>
      <c r="BI24" t="s">
        <v>568</v>
      </c>
      <c r="BJ24" t="s">
        <v>569</v>
      </c>
      <c r="BK24" t="s">
        <v>570</v>
      </c>
      <c r="BL24" t="s">
        <v>389</v>
      </c>
      <c r="BN24" t="s">
        <v>571</v>
      </c>
      <c r="BO24" t="s">
        <v>391</v>
      </c>
      <c r="BP24">
        <v>-480</v>
      </c>
      <c r="BQ24" t="s">
        <v>527</v>
      </c>
      <c r="BR24" t="s">
        <v>572</v>
      </c>
      <c r="BS24">
        <v>3.7</v>
      </c>
      <c r="BT24">
        <v>3</v>
      </c>
    </row>
    <row r="25" spans="1:74" x14ac:dyDescent="0.25">
      <c r="A25">
        <v>48</v>
      </c>
      <c r="B25" t="s">
        <v>115</v>
      </c>
      <c r="F25" t="s">
        <v>116</v>
      </c>
      <c r="G25" t="s">
        <v>117</v>
      </c>
      <c r="H25" t="s">
        <v>76</v>
      </c>
      <c r="I25" t="s">
        <v>43</v>
      </c>
      <c r="J25" s="21">
        <v>92011</v>
      </c>
      <c r="K25" t="s">
        <v>44</v>
      </c>
      <c r="N25" t="s">
        <v>1301</v>
      </c>
      <c r="AR25" t="s">
        <v>379</v>
      </c>
      <c r="AT25" t="s">
        <v>380</v>
      </c>
      <c r="AW25" t="s">
        <v>575</v>
      </c>
      <c r="AX25" t="s">
        <v>576</v>
      </c>
      <c r="AY25" s="6" t="s">
        <v>577</v>
      </c>
      <c r="AZ25" t="s">
        <v>384</v>
      </c>
      <c r="BA25" t="s">
        <v>578</v>
      </c>
      <c r="BB25" t="s">
        <v>579</v>
      </c>
      <c r="BC25" t="s">
        <v>61</v>
      </c>
      <c r="BD25" t="s">
        <v>61</v>
      </c>
      <c r="BE25" t="s">
        <v>380</v>
      </c>
      <c r="BF25" t="s">
        <v>380</v>
      </c>
      <c r="BG25">
        <v>33.126609999999999</v>
      </c>
      <c r="BH25">
        <v>-117.27851</v>
      </c>
      <c r="BI25" t="s">
        <v>580</v>
      </c>
      <c r="BJ25" t="s">
        <v>581</v>
      </c>
      <c r="BK25" t="s">
        <v>582</v>
      </c>
      <c r="BL25" t="s">
        <v>389</v>
      </c>
      <c r="BN25" t="s">
        <v>583</v>
      </c>
      <c r="BO25" t="s">
        <v>391</v>
      </c>
      <c r="BP25">
        <v>-480</v>
      </c>
      <c r="BQ25" t="s">
        <v>584</v>
      </c>
      <c r="BR25" t="s">
        <v>585</v>
      </c>
      <c r="BS25">
        <v>4.2</v>
      </c>
      <c r="BT25">
        <v>5</v>
      </c>
    </row>
    <row r="26" spans="1:74" x14ac:dyDescent="0.25">
      <c r="A26">
        <v>49</v>
      </c>
      <c r="B26" t="s">
        <v>66</v>
      </c>
      <c r="F26" t="s">
        <v>118</v>
      </c>
      <c r="G26" t="s">
        <v>61</v>
      </c>
      <c r="H26" t="s">
        <v>68</v>
      </c>
      <c r="I26" t="s">
        <v>43</v>
      </c>
      <c r="J26" s="21">
        <v>92011</v>
      </c>
      <c r="K26" t="s">
        <v>44</v>
      </c>
      <c r="N26" t="s">
        <v>1301</v>
      </c>
      <c r="AR26" t="s">
        <v>379</v>
      </c>
      <c r="AT26" t="s">
        <v>380</v>
      </c>
      <c r="AW26" t="s">
        <v>586</v>
      </c>
      <c r="AX26" t="s">
        <v>587</v>
      </c>
      <c r="AY26" s="6" t="s">
        <v>444</v>
      </c>
      <c r="AZ26" t="s">
        <v>384</v>
      </c>
      <c r="BA26" t="s">
        <v>445</v>
      </c>
      <c r="BB26" t="s">
        <v>588</v>
      </c>
      <c r="BC26" t="s">
        <v>380</v>
      </c>
      <c r="BD26" t="s">
        <v>61</v>
      </c>
      <c r="BE26" t="s">
        <v>380</v>
      </c>
      <c r="BF26" t="s">
        <v>380</v>
      </c>
      <c r="BG26">
        <v>33.125780499999998</v>
      </c>
      <c r="BH26">
        <v>-117.2754738</v>
      </c>
      <c r="BI26" t="s">
        <v>447</v>
      </c>
      <c r="BJ26" t="s">
        <v>448</v>
      </c>
      <c r="BK26" t="s">
        <v>449</v>
      </c>
      <c r="BL26" t="s">
        <v>450</v>
      </c>
      <c r="BN26" t="s">
        <v>451</v>
      </c>
      <c r="BO26" t="s">
        <v>452</v>
      </c>
      <c r="BP26">
        <v>-480</v>
      </c>
      <c r="BQ26" t="s">
        <v>453</v>
      </c>
      <c r="BR26" t="s">
        <v>454</v>
      </c>
      <c r="BS26">
        <v>3.8</v>
      </c>
      <c r="BT26">
        <v>5</v>
      </c>
    </row>
    <row r="27" spans="1:74" x14ac:dyDescent="0.25">
      <c r="A27">
        <v>334</v>
      </c>
      <c r="B27" s="12" t="s">
        <v>119</v>
      </c>
      <c r="F27" t="s">
        <v>120</v>
      </c>
      <c r="H27" t="s">
        <v>121</v>
      </c>
      <c r="I27" t="s">
        <v>43</v>
      </c>
      <c r="J27" s="21">
        <v>90807</v>
      </c>
      <c r="K27" t="s">
        <v>44</v>
      </c>
      <c r="L27" t="s">
        <v>122</v>
      </c>
      <c r="M27" s="15" t="s">
        <v>632</v>
      </c>
      <c r="N27" t="s">
        <v>1301</v>
      </c>
      <c r="AY27" s="15"/>
      <c r="BV27" t="s">
        <v>1250</v>
      </c>
    </row>
    <row r="28" spans="1:74" ht="15.75" x14ac:dyDescent="0.25">
      <c r="A28">
        <v>335</v>
      </c>
      <c r="B28" t="s">
        <v>123</v>
      </c>
      <c r="C28" s="12" t="s">
        <v>124</v>
      </c>
      <c r="F28" t="s">
        <v>125</v>
      </c>
      <c r="H28" t="s">
        <v>121</v>
      </c>
      <c r="I28" t="s">
        <v>43</v>
      </c>
      <c r="J28" s="21" t="s">
        <v>126</v>
      </c>
      <c r="K28" t="s">
        <v>44</v>
      </c>
      <c r="L28" t="s">
        <v>127</v>
      </c>
      <c r="N28" t="s">
        <v>1301</v>
      </c>
      <c r="AR28" t="s">
        <v>379</v>
      </c>
      <c r="AS28" t="s">
        <v>380</v>
      </c>
      <c r="AW28" t="s">
        <v>589</v>
      </c>
      <c r="AX28" t="s">
        <v>590</v>
      </c>
      <c r="AY28" s="8" t="s">
        <v>591</v>
      </c>
      <c r="AZ28" t="s">
        <v>384</v>
      </c>
      <c r="BA28" t="s">
        <v>592</v>
      </c>
      <c r="BB28" t="s">
        <v>593</v>
      </c>
      <c r="BC28" t="s">
        <v>380</v>
      </c>
      <c r="BD28" t="s">
        <v>380</v>
      </c>
      <c r="BE28" t="s">
        <v>380</v>
      </c>
      <c r="BF28" t="s">
        <v>380</v>
      </c>
      <c r="BG28">
        <v>33.812209500000002</v>
      </c>
      <c r="BH28">
        <v>-118.1610017</v>
      </c>
      <c r="BI28" t="s">
        <v>594</v>
      </c>
      <c r="BJ28" t="s">
        <v>595</v>
      </c>
      <c r="BK28" t="s">
        <v>596</v>
      </c>
      <c r="BL28" t="s">
        <v>450</v>
      </c>
      <c r="BN28" t="s">
        <v>597</v>
      </c>
      <c r="BO28" t="s">
        <v>452</v>
      </c>
      <c r="BP28">
        <v>-480</v>
      </c>
      <c r="BQ28" t="s">
        <v>598</v>
      </c>
      <c r="BR28" t="s">
        <v>599</v>
      </c>
      <c r="BS28">
        <v>4.0999999999999996</v>
      </c>
      <c r="BT28">
        <v>5</v>
      </c>
    </row>
    <row r="29" spans="1:74" ht="15.75" x14ac:dyDescent="0.25">
      <c r="A29">
        <v>336</v>
      </c>
      <c r="B29" t="s">
        <v>128</v>
      </c>
      <c r="F29" t="s">
        <v>129</v>
      </c>
      <c r="G29" t="s">
        <v>130</v>
      </c>
      <c r="H29" t="s">
        <v>121</v>
      </c>
      <c r="I29" t="s">
        <v>43</v>
      </c>
      <c r="J29" s="21">
        <v>92618</v>
      </c>
      <c r="K29" t="s">
        <v>44</v>
      </c>
      <c r="L29" t="s">
        <v>131</v>
      </c>
      <c r="N29" t="s">
        <v>1301</v>
      </c>
      <c r="AR29" t="s">
        <v>379</v>
      </c>
      <c r="AS29" t="s">
        <v>380</v>
      </c>
      <c r="AW29" t="s">
        <v>600</v>
      </c>
      <c r="AX29" t="s">
        <v>601</v>
      </c>
      <c r="AY29" s="8" t="s">
        <v>602</v>
      </c>
      <c r="AZ29" t="s">
        <v>384</v>
      </c>
      <c r="BA29" t="s">
        <v>603</v>
      </c>
      <c r="BB29" t="s">
        <v>604</v>
      </c>
      <c r="BC29" t="s">
        <v>380</v>
      </c>
      <c r="BD29" t="s">
        <v>380</v>
      </c>
      <c r="BE29" t="s">
        <v>380</v>
      </c>
      <c r="BF29" t="s">
        <v>611</v>
      </c>
      <c r="BG29">
        <v>33.812314299999997</v>
      </c>
      <c r="BH29">
        <v>-118.15866130000001</v>
      </c>
      <c r="BI29" t="s">
        <v>605</v>
      </c>
      <c r="BJ29" t="s">
        <v>606</v>
      </c>
      <c r="BK29" t="s">
        <v>607</v>
      </c>
      <c r="BL29" t="s">
        <v>450</v>
      </c>
      <c r="BN29" t="s">
        <v>608</v>
      </c>
      <c r="BO29" t="s">
        <v>452</v>
      </c>
      <c r="BP29">
        <v>-480</v>
      </c>
      <c r="BQ29" t="s">
        <v>609</v>
      </c>
      <c r="BR29" t="s">
        <v>610</v>
      </c>
      <c r="BS29">
        <v>4.7</v>
      </c>
      <c r="BT29">
        <v>3</v>
      </c>
    </row>
    <row r="30" spans="1:74" ht="15.75" x14ac:dyDescent="0.25">
      <c r="A30">
        <v>337</v>
      </c>
      <c r="B30" t="s">
        <v>132</v>
      </c>
      <c r="F30" t="s">
        <v>133</v>
      </c>
      <c r="H30" t="s">
        <v>134</v>
      </c>
      <c r="I30" t="s">
        <v>43</v>
      </c>
      <c r="J30" s="21" t="s">
        <v>135</v>
      </c>
      <c r="K30" t="s">
        <v>44</v>
      </c>
      <c r="L30" t="s">
        <v>136</v>
      </c>
      <c r="N30" t="s">
        <v>1301</v>
      </c>
      <c r="AR30" t="s">
        <v>379</v>
      </c>
      <c r="AS30" t="s">
        <v>380</v>
      </c>
      <c r="AW30" t="s">
        <v>612</v>
      </c>
      <c r="AX30" t="s">
        <v>613</v>
      </c>
      <c r="AY30" s="8" t="s">
        <v>614</v>
      </c>
      <c r="AZ30" t="s">
        <v>384</v>
      </c>
      <c r="BA30" t="s">
        <v>615</v>
      </c>
      <c r="BB30" t="s">
        <v>616</v>
      </c>
      <c r="BC30" t="s">
        <v>611</v>
      </c>
      <c r="BD30" t="s">
        <v>611</v>
      </c>
      <c r="BE30" t="s">
        <v>611</v>
      </c>
      <c r="BF30" t="s">
        <v>611</v>
      </c>
      <c r="BG30">
        <v>40.734672799999998</v>
      </c>
      <c r="BH30">
        <v>-73.412813200000002</v>
      </c>
      <c r="BI30" t="s">
        <v>617</v>
      </c>
      <c r="BJ30" t="s">
        <v>618</v>
      </c>
      <c r="BK30" t="s">
        <v>619</v>
      </c>
      <c r="BL30" t="s">
        <v>389</v>
      </c>
      <c r="BN30" t="s">
        <v>620</v>
      </c>
      <c r="BO30" t="s">
        <v>391</v>
      </c>
      <c r="BP30">
        <v>-300</v>
      </c>
      <c r="BQ30" t="s">
        <v>621</v>
      </c>
      <c r="BT30" t="s">
        <v>61</v>
      </c>
    </row>
    <row r="31" spans="1:74" ht="15.75" x14ac:dyDescent="0.25">
      <c r="A31">
        <v>338</v>
      </c>
      <c r="B31" s="12" t="s">
        <v>137</v>
      </c>
      <c r="F31" t="s">
        <v>133</v>
      </c>
      <c r="H31" t="s">
        <v>134</v>
      </c>
      <c r="I31" t="s">
        <v>43</v>
      </c>
      <c r="J31" s="21" t="s">
        <v>135</v>
      </c>
      <c r="K31" t="s">
        <v>44</v>
      </c>
      <c r="L31" t="s">
        <v>136</v>
      </c>
      <c r="M31" s="17" t="s">
        <v>1269</v>
      </c>
      <c r="N31" t="s">
        <v>1301</v>
      </c>
      <c r="AR31" t="s">
        <v>379</v>
      </c>
      <c r="AS31" t="s">
        <v>380</v>
      </c>
      <c r="AW31" t="s">
        <v>612</v>
      </c>
      <c r="AX31" t="s">
        <v>613</v>
      </c>
      <c r="AY31" s="9" t="s">
        <v>614</v>
      </c>
      <c r="AZ31" t="s">
        <v>384</v>
      </c>
      <c r="BA31" t="s">
        <v>615</v>
      </c>
      <c r="BB31" t="s">
        <v>616</v>
      </c>
      <c r="BC31" t="s">
        <v>611</v>
      </c>
      <c r="BD31" t="s">
        <v>611</v>
      </c>
      <c r="BE31" t="s">
        <v>611</v>
      </c>
      <c r="BF31" t="s">
        <v>611</v>
      </c>
      <c r="BG31">
        <v>40.734672799999998</v>
      </c>
      <c r="BH31">
        <v>-73.412813200000002</v>
      </c>
      <c r="BI31" t="s">
        <v>617</v>
      </c>
      <c r="BJ31" t="s">
        <v>618</v>
      </c>
      <c r="BK31" t="s">
        <v>619</v>
      </c>
      <c r="BL31" t="s">
        <v>389</v>
      </c>
      <c r="BN31" t="s">
        <v>620</v>
      </c>
      <c r="BO31" t="s">
        <v>391</v>
      </c>
      <c r="BP31">
        <v>-300</v>
      </c>
      <c r="BQ31" t="s">
        <v>621</v>
      </c>
      <c r="BT31" t="s">
        <v>61</v>
      </c>
    </row>
    <row r="32" spans="1:74" ht="15.75" x14ac:dyDescent="0.25">
      <c r="A32">
        <v>339</v>
      </c>
      <c r="B32" t="s">
        <v>138</v>
      </c>
      <c r="F32" t="s">
        <v>139</v>
      </c>
      <c r="H32" t="s">
        <v>134</v>
      </c>
      <c r="I32" t="s">
        <v>43</v>
      </c>
      <c r="J32" s="21" t="s">
        <v>140</v>
      </c>
      <c r="K32" t="s">
        <v>44</v>
      </c>
      <c r="L32" t="s">
        <v>141</v>
      </c>
      <c r="N32" t="s">
        <v>1301</v>
      </c>
      <c r="AR32" t="s">
        <v>379</v>
      </c>
      <c r="AS32" t="s">
        <v>380</v>
      </c>
      <c r="AW32" t="s">
        <v>622</v>
      </c>
      <c r="AX32" t="s">
        <v>624</v>
      </c>
      <c r="AY32" s="8" t="s">
        <v>138</v>
      </c>
      <c r="AZ32" t="s">
        <v>384</v>
      </c>
      <c r="BA32" t="s">
        <v>625</v>
      </c>
      <c r="BB32" t="s">
        <v>626</v>
      </c>
      <c r="BC32" t="s">
        <v>380</v>
      </c>
      <c r="BD32" t="s">
        <v>380</v>
      </c>
      <c r="BE32" t="s">
        <v>380</v>
      </c>
      <c r="BF32" t="s">
        <v>380</v>
      </c>
      <c r="BG32">
        <v>33.815632200000003</v>
      </c>
      <c r="BH32">
        <v>-118.15863659999999</v>
      </c>
      <c r="BI32" t="s">
        <v>627</v>
      </c>
      <c r="BJ32" t="s">
        <v>628</v>
      </c>
      <c r="BK32" t="s">
        <v>629</v>
      </c>
      <c r="BL32" t="s">
        <v>389</v>
      </c>
      <c r="BN32" t="s">
        <v>630</v>
      </c>
      <c r="BO32" t="s">
        <v>623</v>
      </c>
      <c r="BP32">
        <v>-480</v>
      </c>
      <c r="BQ32" t="s">
        <v>631</v>
      </c>
      <c r="BR32" t="s">
        <v>632</v>
      </c>
      <c r="BS32">
        <v>4.0999999999999996</v>
      </c>
      <c r="BT32">
        <v>5</v>
      </c>
    </row>
    <row r="33" spans="1:74" ht="15.75" x14ac:dyDescent="0.25">
      <c r="A33">
        <v>340</v>
      </c>
      <c r="B33" t="s">
        <v>142</v>
      </c>
      <c r="F33" t="s">
        <v>143</v>
      </c>
      <c r="H33" t="s">
        <v>134</v>
      </c>
      <c r="I33" t="s">
        <v>43</v>
      </c>
      <c r="J33" s="21" t="s">
        <v>144</v>
      </c>
      <c r="K33" t="s">
        <v>44</v>
      </c>
      <c r="L33" t="s">
        <v>145</v>
      </c>
      <c r="N33" t="s">
        <v>1301</v>
      </c>
      <c r="AR33" t="s">
        <v>379</v>
      </c>
      <c r="AS33" t="s">
        <v>380</v>
      </c>
      <c r="AW33" t="s">
        <v>633</v>
      </c>
      <c r="AX33" t="s">
        <v>635</v>
      </c>
      <c r="AY33" s="8" t="s">
        <v>636</v>
      </c>
      <c r="AZ33" t="s">
        <v>384</v>
      </c>
      <c r="BA33" t="s">
        <v>637</v>
      </c>
      <c r="BB33" t="s">
        <v>638</v>
      </c>
      <c r="BC33" t="s">
        <v>611</v>
      </c>
      <c r="BD33" t="s">
        <v>611</v>
      </c>
      <c r="BE33" t="s">
        <v>380</v>
      </c>
      <c r="BF33" t="s">
        <v>611</v>
      </c>
      <c r="BG33">
        <v>33.336504200000007</v>
      </c>
      <c r="BH33">
        <v>-118.3120466</v>
      </c>
      <c r="BI33" t="s">
        <v>639</v>
      </c>
      <c r="BJ33" t="s">
        <v>640</v>
      </c>
      <c r="BK33" t="s">
        <v>641</v>
      </c>
      <c r="BL33" t="s">
        <v>389</v>
      </c>
      <c r="BN33" t="s">
        <v>642</v>
      </c>
      <c r="BO33" t="s">
        <v>634</v>
      </c>
      <c r="BP33">
        <v>-480</v>
      </c>
      <c r="BQ33" t="s">
        <v>643</v>
      </c>
      <c r="BR33" t="s">
        <v>644</v>
      </c>
      <c r="BS33">
        <v>4.7</v>
      </c>
      <c r="BT33">
        <v>5</v>
      </c>
    </row>
    <row r="34" spans="1:74" ht="15.75" x14ac:dyDescent="0.25">
      <c r="A34">
        <v>342</v>
      </c>
      <c r="B34" t="s">
        <v>146</v>
      </c>
      <c r="F34" t="s">
        <v>147</v>
      </c>
      <c r="H34" t="s">
        <v>134</v>
      </c>
      <c r="I34" t="s">
        <v>43</v>
      </c>
      <c r="J34" s="21" t="s">
        <v>126</v>
      </c>
      <c r="K34" t="s">
        <v>44</v>
      </c>
      <c r="L34" t="s">
        <v>148</v>
      </c>
      <c r="N34" t="s">
        <v>1301</v>
      </c>
      <c r="AR34" t="s">
        <v>379</v>
      </c>
      <c r="AT34" t="s">
        <v>380</v>
      </c>
      <c r="AW34" t="s">
        <v>645</v>
      </c>
      <c r="AX34" t="s">
        <v>646</v>
      </c>
      <c r="AY34" s="8" t="s">
        <v>647</v>
      </c>
      <c r="AZ34" t="s">
        <v>648</v>
      </c>
      <c r="BA34" t="s">
        <v>649</v>
      </c>
      <c r="BB34" t="s">
        <v>650</v>
      </c>
      <c r="BC34" t="s">
        <v>380</v>
      </c>
      <c r="BD34" t="s">
        <v>380</v>
      </c>
      <c r="BE34" t="s">
        <v>380</v>
      </c>
      <c r="BF34" t="s">
        <v>380</v>
      </c>
      <c r="BG34">
        <v>33.8124088</v>
      </c>
      <c r="BH34">
        <v>-118.16148750000001</v>
      </c>
      <c r="BI34" t="s">
        <v>651</v>
      </c>
      <c r="BJ34" t="s">
        <v>652</v>
      </c>
      <c r="BK34" t="s">
        <v>653</v>
      </c>
      <c r="BL34" t="s">
        <v>450</v>
      </c>
      <c r="BN34" t="s">
        <v>654</v>
      </c>
      <c r="BO34" t="s">
        <v>452</v>
      </c>
      <c r="BP34">
        <v>-480</v>
      </c>
      <c r="BQ34" t="s">
        <v>655</v>
      </c>
      <c r="BT34" t="s">
        <v>61</v>
      </c>
    </row>
    <row r="35" spans="1:74" ht="15.75" x14ac:dyDescent="0.25">
      <c r="A35">
        <v>343</v>
      </c>
      <c r="B35" t="s">
        <v>149</v>
      </c>
      <c r="F35" t="s">
        <v>150</v>
      </c>
      <c r="H35" t="s">
        <v>134</v>
      </c>
      <c r="I35" t="s">
        <v>43</v>
      </c>
      <c r="J35" s="21" t="s">
        <v>151</v>
      </c>
      <c r="K35" t="s">
        <v>44</v>
      </c>
      <c r="L35" t="s">
        <v>152</v>
      </c>
      <c r="M35" s="17" t="s">
        <v>153</v>
      </c>
      <c r="N35" t="s">
        <v>1301</v>
      </c>
      <c r="AR35" t="s">
        <v>379</v>
      </c>
      <c r="AS35" t="s">
        <v>380</v>
      </c>
      <c r="AW35" t="s">
        <v>656</v>
      </c>
      <c r="AX35" t="s">
        <v>657</v>
      </c>
      <c r="AY35" s="8" t="s">
        <v>658</v>
      </c>
      <c r="AZ35" t="s">
        <v>384</v>
      </c>
      <c r="BA35" t="s">
        <v>659</v>
      </c>
      <c r="BB35" t="s">
        <v>660</v>
      </c>
      <c r="BC35" t="s">
        <v>380</v>
      </c>
      <c r="BD35" t="s">
        <v>380</v>
      </c>
      <c r="BE35" t="s">
        <v>380</v>
      </c>
      <c r="BF35" t="s">
        <v>380</v>
      </c>
      <c r="BG35">
        <v>33.811868099999998</v>
      </c>
      <c r="BH35">
        <v>-118.1527323</v>
      </c>
      <c r="BI35" t="s">
        <v>661</v>
      </c>
      <c r="BJ35" t="s">
        <v>662</v>
      </c>
      <c r="BK35" t="s">
        <v>152</v>
      </c>
      <c r="BL35" t="s">
        <v>389</v>
      </c>
      <c r="BN35" t="s">
        <v>663</v>
      </c>
      <c r="BO35" t="s">
        <v>391</v>
      </c>
      <c r="BP35">
        <v>-480</v>
      </c>
      <c r="BQ35" t="s">
        <v>664</v>
      </c>
      <c r="BR35" t="s">
        <v>665</v>
      </c>
      <c r="BS35">
        <v>4.3</v>
      </c>
      <c r="BT35">
        <v>4</v>
      </c>
    </row>
    <row r="36" spans="1:74" ht="15.75" x14ac:dyDescent="0.25">
      <c r="A36">
        <v>345</v>
      </c>
      <c r="B36" t="s">
        <v>154</v>
      </c>
      <c r="F36" t="s">
        <v>155</v>
      </c>
      <c r="G36" t="s">
        <v>61</v>
      </c>
      <c r="H36" t="s">
        <v>134</v>
      </c>
      <c r="I36" t="s">
        <v>43</v>
      </c>
      <c r="J36" s="21">
        <v>90806</v>
      </c>
      <c r="K36" t="s">
        <v>44</v>
      </c>
      <c r="N36" t="s">
        <v>1301</v>
      </c>
      <c r="AR36" t="s">
        <v>379</v>
      </c>
      <c r="AT36" t="s">
        <v>380</v>
      </c>
      <c r="AW36" t="s">
        <v>666</v>
      </c>
      <c r="AX36" t="s">
        <v>667</v>
      </c>
      <c r="AY36" s="8" t="s">
        <v>668</v>
      </c>
      <c r="AZ36" t="s">
        <v>384</v>
      </c>
      <c r="BA36" t="s">
        <v>669</v>
      </c>
      <c r="BB36" t="s">
        <v>670</v>
      </c>
      <c r="BC36" t="s">
        <v>380</v>
      </c>
      <c r="BD36" t="s">
        <v>380</v>
      </c>
      <c r="BE36" t="s">
        <v>380</v>
      </c>
      <c r="BF36" t="s">
        <v>380</v>
      </c>
      <c r="BG36">
        <v>33.812214599999997</v>
      </c>
      <c r="BH36">
        <v>-118.1598357</v>
      </c>
      <c r="BI36" t="s">
        <v>671</v>
      </c>
      <c r="BJ36" t="s">
        <v>672</v>
      </c>
      <c r="BL36" t="s">
        <v>673</v>
      </c>
      <c r="BO36" t="s">
        <v>516</v>
      </c>
      <c r="BP36">
        <v>-480</v>
      </c>
      <c r="BQ36" t="s">
        <v>674</v>
      </c>
      <c r="BT36" t="s">
        <v>61</v>
      </c>
    </row>
    <row r="37" spans="1:74" ht="15.75" x14ac:dyDescent="0.25">
      <c r="A37">
        <v>346</v>
      </c>
      <c r="B37" t="s">
        <v>156</v>
      </c>
      <c r="F37" t="s">
        <v>157</v>
      </c>
      <c r="G37" t="s">
        <v>61</v>
      </c>
      <c r="H37" t="s">
        <v>121</v>
      </c>
      <c r="I37" t="s">
        <v>43</v>
      </c>
      <c r="J37" s="21">
        <v>90806</v>
      </c>
      <c r="K37" t="s">
        <v>44</v>
      </c>
      <c r="N37" t="s">
        <v>1301</v>
      </c>
      <c r="AR37" t="s">
        <v>379</v>
      </c>
      <c r="AT37" t="s">
        <v>380</v>
      </c>
      <c r="AW37" t="s">
        <v>675</v>
      </c>
      <c r="AX37" t="s">
        <v>676</v>
      </c>
      <c r="AY37" s="8" t="s">
        <v>677</v>
      </c>
      <c r="AZ37" t="s">
        <v>384</v>
      </c>
      <c r="BA37" t="s">
        <v>678</v>
      </c>
      <c r="BB37" t="s">
        <v>679</v>
      </c>
      <c r="BC37" t="s">
        <v>380</v>
      </c>
      <c r="BD37" t="s">
        <v>380</v>
      </c>
      <c r="BE37" t="s">
        <v>380</v>
      </c>
      <c r="BF37" t="s">
        <v>380</v>
      </c>
      <c r="BG37">
        <v>33.811540899999997</v>
      </c>
      <c r="BH37">
        <v>-118.1576434</v>
      </c>
      <c r="BI37" t="s">
        <v>680</v>
      </c>
      <c r="BJ37" t="s">
        <v>681</v>
      </c>
      <c r="BK37" t="s">
        <v>682</v>
      </c>
      <c r="BL37" t="s">
        <v>389</v>
      </c>
      <c r="BN37" t="s">
        <v>683</v>
      </c>
      <c r="BO37" t="s">
        <v>391</v>
      </c>
      <c r="BP37">
        <v>-480</v>
      </c>
      <c r="BQ37" t="s">
        <v>684</v>
      </c>
      <c r="BR37" t="s">
        <v>685</v>
      </c>
      <c r="BS37">
        <v>4.5</v>
      </c>
      <c r="BT37">
        <v>2</v>
      </c>
    </row>
    <row r="38" spans="1:74" ht="15.75" x14ac:dyDescent="0.25">
      <c r="A38">
        <v>347</v>
      </c>
      <c r="B38" t="s">
        <v>158</v>
      </c>
      <c r="F38" t="s">
        <v>159</v>
      </c>
      <c r="G38" t="s">
        <v>61</v>
      </c>
      <c r="H38" t="s">
        <v>121</v>
      </c>
      <c r="I38" t="s">
        <v>43</v>
      </c>
      <c r="J38" s="21">
        <v>90806</v>
      </c>
      <c r="K38" t="s">
        <v>44</v>
      </c>
      <c r="N38" t="s">
        <v>1301</v>
      </c>
      <c r="AR38" t="s">
        <v>379</v>
      </c>
      <c r="AT38" t="s">
        <v>380</v>
      </c>
      <c r="AW38" t="s">
        <v>686</v>
      </c>
      <c r="AX38" t="s">
        <v>687</v>
      </c>
      <c r="AY38" s="8" t="s">
        <v>688</v>
      </c>
      <c r="AZ38" t="s">
        <v>384</v>
      </c>
      <c r="BA38" t="s">
        <v>689</v>
      </c>
      <c r="BB38" t="s">
        <v>690</v>
      </c>
      <c r="BC38" t="s">
        <v>380</v>
      </c>
      <c r="BD38" t="s">
        <v>380</v>
      </c>
      <c r="BE38" t="s">
        <v>380</v>
      </c>
      <c r="BF38" t="s">
        <v>380</v>
      </c>
      <c r="BG38">
        <v>33.812251500000002</v>
      </c>
      <c r="BH38">
        <v>-118.1601986</v>
      </c>
      <c r="BI38" t="s">
        <v>691</v>
      </c>
      <c r="BJ38" t="s">
        <v>692</v>
      </c>
      <c r="BK38" t="s">
        <v>693</v>
      </c>
      <c r="BL38" t="s">
        <v>389</v>
      </c>
      <c r="BN38" t="s">
        <v>694</v>
      </c>
      <c r="BO38" t="s">
        <v>414</v>
      </c>
      <c r="BP38">
        <v>-480</v>
      </c>
      <c r="BQ38" t="s">
        <v>695</v>
      </c>
      <c r="BR38" t="s">
        <v>696</v>
      </c>
      <c r="BS38">
        <v>4.5</v>
      </c>
      <c r="BT38">
        <v>5</v>
      </c>
    </row>
    <row r="39" spans="1:74" ht="15.75" x14ac:dyDescent="0.25">
      <c r="A39">
        <v>348</v>
      </c>
      <c r="B39" t="s">
        <v>160</v>
      </c>
      <c r="F39" t="s">
        <v>161</v>
      </c>
      <c r="G39" t="s">
        <v>61</v>
      </c>
      <c r="H39" t="s">
        <v>121</v>
      </c>
      <c r="I39" t="s">
        <v>43</v>
      </c>
      <c r="J39" s="21">
        <v>90806</v>
      </c>
      <c r="K39" t="s">
        <v>44</v>
      </c>
      <c r="N39" t="s">
        <v>1265</v>
      </c>
      <c r="AR39" t="s">
        <v>379</v>
      </c>
      <c r="AT39" t="s">
        <v>380</v>
      </c>
      <c r="AW39" t="s">
        <v>697</v>
      </c>
      <c r="AX39" t="s">
        <v>698</v>
      </c>
      <c r="AY39" s="8" t="s">
        <v>699</v>
      </c>
      <c r="AZ39" t="s">
        <v>384</v>
      </c>
      <c r="BA39" t="s">
        <v>700</v>
      </c>
      <c r="BB39" t="s">
        <v>701</v>
      </c>
      <c r="BD39" t="s">
        <v>380</v>
      </c>
      <c r="BE39" t="s">
        <v>380</v>
      </c>
      <c r="BF39" t="s">
        <v>380</v>
      </c>
      <c r="BG39">
        <v>33.811671199999999</v>
      </c>
      <c r="BH39">
        <v>-118.152872</v>
      </c>
      <c r="BI39" t="s">
        <v>702</v>
      </c>
      <c r="BJ39" t="s">
        <v>703</v>
      </c>
      <c r="BK39" t="s">
        <v>704</v>
      </c>
      <c r="BL39" t="s">
        <v>389</v>
      </c>
      <c r="BN39" t="s">
        <v>705</v>
      </c>
      <c r="BO39" t="s">
        <v>391</v>
      </c>
      <c r="BP39">
        <v>-480</v>
      </c>
      <c r="BQ39" t="s">
        <v>706</v>
      </c>
      <c r="BR39" t="s">
        <v>707</v>
      </c>
      <c r="BS39">
        <v>5</v>
      </c>
      <c r="BT39">
        <v>3</v>
      </c>
    </row>
    <row r="40" spans="1:74" ht="15.75" x14ac:dyDescent="0.25">
      <c r="A40">
        <v>349</v>
      </c>
      <c r="B40" t="s">
        <v>154</v>
      </c>
      <c r="F40" t="s">
        <v>155</v>
      </c>
      <c r="G40" t="s">
        <v>61</v>
      </c>
      <c r="H40" t="s">
        <v>134</v>
      </c>
      <c r="I40" t="s">
        <v>43</v>
      </c>
      <c r="J40" s="21">
        <v>90806</v>
      </c>
      <c r="K40" t="s">
        <v>44</v>
      </c>
      <c r="N40" t="s">
        <v>1301</v>
      </c>
      <c r="AR40" t="s">
        <v>379</v>
      </c>
      <c r="AT40" t="s">
        <v>380</v>
      </c>
      <c r="AW40" t="s">
        <v>666</v>
      </c>
      <c r="AX40" t="s">
        <v>667</v>
      </c>
      <c r="AY40" s="8" t="s">
        <v>668</v>
      </c>
      <c r="AZ40" t="s">
        <v>384</v>
      </c>
      <c r="BA40" t="s">
        <v>669</v>
      </c>
      <c r="BB40" t="s">
        <v>670</v>
      </c>
      <c r="BC40" t="s">
        <v>380</v>
      </c>
      <c r="BD40" t="s">
        <v>380</v>
      </c>
      <c r="BE40" t="s">
        <v>380</v>
      </c>
      <c r="BF40" t="s">
        <v>380</v>
      </c>
      <c r="BG40">
        <v>33.812214599999997</v>
      </c>
      <c r="BH40">
        <v>-118.1598357</v>
      </c>
      <c r="BI40" t="s">
        <v>671</v>
      </c>
      <c r="BJ40" t="s">
        <v>672</v>
      </c>
      <c r="BL40" t="s">
        <v>673</v>
      </c>
      <c r="BO40" t="s">
        <v>516</v>
      </c>
      <c r="BP40">
        <v>-480</v>
      </c>
      <c r="BQ40" t="s">
        <v>674</v>
      </c>
      <c r="BT40" t="s">
        <v>61</v>
      </c>
    </row>
    <row r="41" spans="1:74" ht="15.75" x14ac:dyDescent="0.25">
      <c r="A41">
        <v>352</v>
      </c>
      <c r="B41" t="s">
        <v>162</v>
      </c>
      <c r="F41" t="s">
        <v>147</v>
      </c>
      <c r="G41" t="s">
        <v>61</v>
      </c>
      <c r="H41" t="s">
        <v>134</v>
      </c>
      <c r="I41" t="s">
        <v>43</v>
      </c>
      <c r="J41" s="21">
        <v>90806</v>
      </c>
      <c r="K41" t="s">
        <v>44</v>
      </c>
      <c r="N41" t="s">
        <v>1301</v>
      </c>
      <c r="AR41" t="s">
        <v>379</v>
      </c>
      <c r="AT41" t="s">
        <v>380</v>
      </c>
      <c r="AW41" t="s">
        <v>708</v>
      </c>
      <c r="AX41" t="s">
        <v>709</v>
      </c>
      <c r="AY41" s="8" t="s">
        <v>162</v>
      </c>
      <c r="AZ41" t="s">
        <v>384</v>
      </c>
      <c r="BA41" t="s">
        <v>710</v>
      </c>
      <c r="BB41" t="s">
        <v>650</v>
      </c>
      <c r="BC41" t="s">
        <v>380</v>
      </c>
      <c r="BD41" t="s">
        <v>380</v>
      </c>
      <c r="BE41" t="s">
        <v>380</v>
      </c>
      <c r="BF41" t="s">
        <v>380</v>
      </c>
      <c r="BG41">
        <v>33.812402300000002</v>
      </c>
      <c r="BH41">
        <v>-118.16151259999999</v>
      </c>
      <c r="BI41" t="s">
        <v>711</v>
      </c>
      <c r="BJ41" t="s">
        <v>652</v>
      </c>
      <c r="BK41" t="s">
        <v>712</v>
      </c>
      <c r="BL41" t="s">
        <v>389</v>
      </c>
      <c r="BN41" t="s">
        <v>713</v>
      </c>
      <c r="BO41" t="s">
        <v>391</v>
      </c>
      <c r="BP41">
        <v>-480</v>
      </c>
      <c r="BQ41" t="s">
        <v>655</v>
      </c>
      <c r="BR41" t="s">
        <v>714</v>
      </c>
      <c r="BT41" t="s">
        <v>61</v>
      </c>
    </row>
    <row r="42" spans="1:74" ht="15.75" x14ac:dyDescent="0.25">
      <c r="A42">
        <v>353</v>
      </c>
      <c r="B42" t="s">
        <v>158</v>
      </c>
      <c r="F42" t="s">
        <v>159</v>
      </c>
      <c r="G42" t="s">
        <v>61</v>
      </c>
      <c r="H42" t="s">
        <v>121</v>
      </c>
      <c r="I42" t="s">
        <v>43</v>
      </c>
      <c r="J42" s="21">
        <v>90806</v>
      </c>
      <c r="K42" t="s">
        <v>44</v>
      </c>
      <c r="N42" t="s">
        <v>1301</v>
      </c>
      <c r="AR42" t="s">
        <v>379</v>
      </c>
      <c r="AT42" t="s">
        <v>380</v>
      </c>
      <c r="AW42" t="s">
        <v>686</v>
      </c>
      <c r="AX42" t="s">
        <v>687</v>
      </c>
      <c r="AY42" s="8" t="s">
        <v>688</v>
      </c>
      <c r="AZ42" t="s">
        <v>384</v>
      </c>
      <c r="BA42" t="s">
        <v>689</v>
      </c>
      <c r="BB42" t="s">
        <v>690</v>
      </c>
      <c r="BC42" t="s">
        <v>380</v>
      </c>
      <c r="BD42" t="s">
        <v>380</v>
      </c>
      <c r="BE42" t="s">
        <v>380</v>
      </c>
      <c r="BF42" t="s">
        <v>380</v>
      </c>
      <c r="BG42">
        <v>33.812251500000002</v>
      </c>
      <c r="BH42">
        <v>-118.1601986</v>
      </c>
      <c r="BI42" t="s">
        <v>691</v>
      </c>
      <c r="BJ42" t="s">
        <v>692</v>
      </c>
      <c r="BK42" t="s">
        <v>693</v>
      </c>
      <c r="BL42" t="s">
        <v>389</v>
      </c>
      <c r="BN42" t="s">
        <v>694</v>
      </c>
      <c r="BO42" t="s">
        <v>414</v>
      </c>
      <c r="BP42">
        <v>-480</v>
      </c>
      <c r="BQ42" t="s">
        <v>695</v>
      </c>
      <c r="BR42" t="s">
        <v>696</v>
      </c>
      <c r="BS42">
        <v>4.5</v>
      </c>
      <c r="BT42">
        <v>5</v>
      </c>
    </row>
    <row r="43" spans="1:74" ht="15.75" x14ac:dyDescent="0.25">
      <c r="A43">
        <v>354</v>
      </c>
      <c r="B43" t="s">
        <v>1251</v>
      </c>
      <c r="F43" t="s">
        <v>163</v>
      </c>
      <c r="G43" t="s">
        <v>61</v>
      </c>
      <c r="H43" t="s">
        <v>121</v>
      </c>
      <c r="I43" t="s">
        <v>43</v>
      </c>
      <c r="J43" s="21">
        <v>90808</v>
      </c>
      <c r="K43" t="s">
        <v>44</v>
      </c>
      <c r="N43" t="s">
        <v>1301</v>
      </c>
      <c r="AR43" t="s">
        <v>379</v>
      </c>
      <c r="AT43" t="s">
        <v>380</v>
      </c>
      <c r="AW43" t="s">
        <v>715</v>
      </c>
      <c r="AX43" t="s">
        <v>716</v>
      </c>
      <c r="AY43" s="8" t="s">
        <v>717</v>
      </c>
      <c r="AZ43" t="s">
        <v>384</v>
      </c>
      <c r="BA43" t="s">
        <v>718</v>
      </c>
      <c r="BB43" t="s">
        <v>719</v>
      </c>
      <c r="BC43" t="s">
        <v>380</v>
      </c>
      <c r="BD43" t="s">
        <v>380</v>
      </c>
      <c r="BE43" t="s">
        <v>380</v>
      </c>
      <c r="BF43" t="s">
        <v>380</v>
      </c>
      <c r="BG43">
        <v>33.816121899999999</v>
      </c>
      <c r="BH43">
        <v>-118.14455479999999</v>
      </c>
      <c r="BI43" t="s">
        <v>720</v>
      </c>
      <c r="BJ43" t="s">
        <v>721</v>
      </c>
      <c r="BK43" t="s">
        <v>722</v>
      </c>
      <c r="BL43" t="s">
        <v>389</v>
      </c>
      <c r="BN43" t="s">
        <v>723</v>
      </c>
      <c r="BO43" t="s">
        <v>391</v>
      </c>
      <c r="BP43">
        <v>-480</v>
      </c>
      <c r="BQ43" t="s">
        <v>724</v>
      </c>
      <c r="BR43" t="s">
        <v>725</v>
      </c>
      <c r="BS43">
        <v>4.5</v>
      </c>
      <c r="BT43">
        <v>5</v>
      </c>
    </row>
    <row r="44" spans="1:74" ht="15.75" x14ac:dyDescent="0.25">
      <c r="A44">
        <v>503</v>
      </c>
      <c r="B44" t="s">
        <v>167</v>
      </c>
      <c r="F44" t="s">
        <v>168</v>
      </c>
      <c r="G44" t="s">
        <v>169</v>
      </c>
      <c r="H44" t="s">
        <v>165</v>
      </c>
      <c r="I44" t="s">
        <v>43</v>
      </c>
      <c r="J44" s="21" t="s">
        <v>170</v>
      </c>
      <c r="K44" t="s">
        <v>44</v>
      </c>
      <c r="L44" t="s">
        <v>171</v>
      </c>
      <c r="N44" t="s">
        <v>1301</v>
      </c>
      <c r="AR44" t="s">
        <v>379</v>
      </c>
      <c r="AS44" t="s">
        <v>380</v>
      </c>
      <c r="AW44" t="s">
        <v>726</v>
      </c>
      <c r="AX44" t="s">
        <v>727</v>
      </c>
      <c r="AY44" s="8" t="s">
        <v>167</v>
      </c>
      <c r="AZ44" t="s">
        <v>384</v>
      </c>
      <c r="BA44" t="s">
        <v>728</v>
      </c>
      <c r="BB44" t="s">
        <v>729</v>
      </c>
      <c r="BC44" t="s">
        <v>611</v>
      </c>
      <c r="BD44" t="s">
        <v>380</v>
      </c>
      <c r="BE44" t="s">
        <v>380</v>
      </c>
      <c r="BF44" t="s">
        <v>611</v>
      </c>
      <c r="BG44">
        <v>37.728957800000003</v>
      </c>
      <c r="BH44">
        <v>-122.21005630000001</v>
      </c>
      <c r="BI44" t="s">
        <v>730</v>
      </c>
      <c r="BJ44" t="s">
        <v>731</v>
      </c>
      <c r="BK44" t="s">
        <v>190</v>
      </c>
      <c r="BL44" t="s">
        <v>389</v>
      </c>
      <c r="BN44" t="s">
        <v>732</v>
      </c>
      <c r="BO44" t="s">
        <v>391</v>
      </c>
      <c r="BP44">
        <v>-480</v>
      </c>
      <c r="BQ44" t="s">
        <v>733</v>
      </c>
      <c r="BR44" t="s">
        <v>734</v>
      </c>
      <c r="BS44">
        <v>4.5</v>
      </c>
      <c r="BT44">
        <v>5</v>
      </c>
    </row>
    <row r="45" spans="1:74" x14ac:dyDescent="0.25">
      <c r="A45">
        <v>504</v>
      </c>
      <c r="B45" s="12" t="s">
        <v>172</v>
      </c>
      <c r="F45" s="12" t="s">
        <v>173</v>
      </c>
      <c r="G45" t="s">
        <v>174</v>
      </c>
      <c r="H45" t="s">
        <v>165</v>
      </c>
      <c r="I45" t="s">
        <v>43</v>
      </c>
      <c r="J45" s="21" t="s">
        <v>166</v>
      </c>
      <c r="K45" t="s">
        <v>44</v>
      </c>
      <c r="M45" s="15" t="s">
        <v>1254</v>
      </c>
      <c r="N45" t="s">
        <v>1301</v>
      </c>
      <c r="BU45" t="s">
        <v>1253</v>
      </c>
      <c r="BV45" t="s">
        <v>1252</v>
      </c>
    </row>
    <row r="46" spans="1:74" ht="15.75" x14ac:dyDescent="0.25">
      <c r="A46">
        <v>505</v>
      </c>
      <c r="B46" s="11" t="s">
        <v>175</v>
      </c>
      <c r="F46" t="s">
        <v>176</v>
      </c>
      <c r="H46" t="s">
        <v>165</v>
      </c>
      <c r="I46" t="s">
        <v>43</v>
      </c>
      <c r="J46" s="21" t="s">
        <v>166</v>
      </c>
      <c r="K46" t="s">
        <v>44</v>
      </c>
      <c r="L46" t="s">
        <v>177</v>
      </c>
      <c r="N46" t="s">
        <v>1301</v>
      </c>
      <c r="AR46" t="s">
        <v>379</v>
      </c>
      <c r="AT46" t="s">
        <v>380</v>
      </c>
      <c r="AW46" t="s">
        <v>735</v>
      </c>
      <c r="AX46" t="s">
        <v>736</v>
      </c>
      <c r="AY46" s="13" t="s">
        <v>737</v>
      </c>
      <c r="AZ46" t="s">
        <v>384</v>
      </c>
      <c r="BA46" t="s">
        <v>738</v>
      </c>
      <c r="BB46" t="s">
        <v>739</v>
      </c>
      <c r="BC46" t="s">
        <v>380</v>
      </c>
      <c r="BD46" t="s">
        <v>380</v>
      </c>
      <c r="BE46" t="s">
        <v>380</v>
      </c>
      <c r="BF46" t="s">
        <v>380</v>
      </c>
      <c r="BG46">
        <v>37.727041700000001</v>
      </c>
      <c r="BH46">
        <v>-122.20510109999999</v>
      </c>
      <c r="BI46" t="s">
        <v>740</v>
      </c>
      <c r="BJ46" t="s">
        <v>741</v>
      </c>
      <c r="BK46" t="s">
        <v>742</v>
      </c>
      <c r="BL46" t="s">
        <v>389</v>
      </c>
      <c r="BN46" t="s">
        <v>743</v>
      </c>
      <c r="BO46" t="s">
        <v>391</v>
      </c>
      <c r="BP46">
        <v>-480</v>
      </c>
      <c r="BQ46" t="s">
        <v>744</v>
      </c>
      <c r="BR46" t="s">
        <v>745</v>
      </c>
      <c r="BS46">
        <v>4.7</v>
      </c>
      <c r="BT46">
        <v>5</v>
      </c>
      <c r="BU46" t="s">
        <v>1255</v>
      </c>
    </row>
    <row r="47" spans="1:74" ht="15.75" x14ac:dyDescent="0.25">
      <c r="A47">
        <v>506</v>
      </c>
      <c r="B47" t="s">
        <v>178</v>
      </c>
      <c r="F47" t="s">
        <v>179</v>
      </c>
      <c r="H47" t="s">
        <v>180</v>
      </c>
      <c r="I47" t="s">
        <v>43</v>
      </c>
      <c r="J47" s="21">
        <v>94621</v>
      </c>
      <c r="K47" t="s">
        <v>44</v>
      </c>
      <c r="L47" t="s">
        <v>181</v>
      </c>
      <c r="N47" t="s">
        <v>1301</v>
      </c>
      <c r="AR47" t="s">
        <v>379</v>
      </c>
      <c r="AT47" t="s">
        <v>380</v>
      </c>
      <c r="AW47" t="s">
        <v>746</v>
      </c>
      <c r="AX47" t="s">
        <v>748</v>
      </c>
      <c r="AY47" s="8" t="s">
        <v>749</v>
      </c>
      <c r="AZ47" t="s">
        <v>384</v>
      </c>
      <c r="BA47" t="s">
        <v>750</v>
      </c>
      <c r="BB47" t="s">
        <v>751</v>
      </c>
      <c r="BC47" t="s">
        <v>380</v>
      </c>
      <c r="BD47" t="s">
        <v>611</v>
      </c>
      <c r="BE47" t="s">
        <v>380</v>
      </c>
      <c r="BF47" t="s">
        <v>611</v>
      </c>
      <c r="BG47">
        <v>37.741374399999998</v>
      </c>
      <c r="BH47">
        <v>-122.2263353</v>
      </c>
      <c r="BI47" t="s">
        <v>752</v>
      </c>
      <c r="BJ47" t="s">
        <v>753</v>
      </c>
      <c r="BK47" t="s">
        <v>754</v>
      </c>
      <c r="BL47" t="s">
        <v>450</v>
      </c>
      <c r="BN47" t="s">
        <v>755</v>
      </c>
      <c r="BO47" t="s">
        <v>747</v>
      </c>
      <c r="BP47">
        <v>-480</v>
      </c>
      <c r="BQ47" t="s">
        <v>756</v>
      </c>
      <c r="BR47" t="s">
        <v>757</v>
      </c>
      <c r="BS47">
        <v>5</v>
      </c>
      <c r="BT47">
        <v>4</v>
      </c>
    </row>
    <row r="48" spans="1:74" ht="15.75" x14ac:dyDescent="0.25">
      <c r="A48">
        <v>507</v>
      </c>
      <c r="B48" t="s">
        <v>182</v>
      </c>
      <c r="F48" t="s">
        <v>183</v>
      </c>
      <c r="H48" t="s">
        <v>165</v>
      </c>
      <c r="I48" t="s">
        <v>43</v>
      </c>
      <c r="J48" s="21" t="s">
        <v>184</v>
      </c>
      <c r="K48" t="s">
        <v>44</v>
      </c>
      <c r="L48" t="s">
        <v>185</v>
      </c>
      <c r="M48" s="17" t="s">
        <v>186</v>
      </c>
      <c r="N48" t="s">
        <v>1301</v>
      </c>
      <c r="AR48" t="s">
        <v>379</v>
      </c>
      <c r="AS48" t="s">
        <v>380</v>
      </c>
      <c r="AW48" t="s">
        <v>758</v>
      </c>
      <c r="AX48" t="s">
        <v>760</v>
      </c>
      <c r="AY48" s="8" t="s">
        <v>761</v>
      </c>
      <c r="AZ48" t="s">
        <v>384</v>
      </c>
      <c r="BA48" t="s">
        <v>762</v>
      </c>
      <c r="BB48" t="s">
        <v>763</v>
      </c>
      <c r="BC48" t="s">
        <v>611</v>
      </c>
      <c r="BD48" t="s">
        <v>611</v>
      </c>
      <c r="BE48" t="s">
        <v>380</v>
      </c>
      <c r="BF48" t="s">
        <v>611</v>
      </c>
      <c r="BG48">
        <v>37.871433699999997</v>
      </c>
      <c r="BH48">
        <v>-122.5036855</v>
      </c>
      <c r="BI48" t="s">
        <v>764</v>
      </c>
      <c r="BJ48" t="s">
        <v>765</v>
      </c>
      <c r="BK48" t="s">
        <v>766</v>
      </c>
      <c r="BL48" t="s">
        <v>389</v>
      </c>
      <c r="BN48" t="s">
        <v>767</v>
      </c>
      <c r="BO48" t="s">
        <v>759</v>
      </c>
      <c r="BP48">
        <v>-480</v>
      </c>
      <c r="BQ48" t="s">
        <v>768</v>
      </c>
      <c r="BR48" t="s">
        <v>769</v>
      </c>
      <c r="BT48" t="s">
        <v>61</v>
      </c>
    </row>
    <row r="49" spans="1:75" ht="15.75" x14ac:dyDescent="0.25">
      <c r="A49">
        <v>508</v>
      </c>
      <c r="B49" t="s">
        <v>187</v>
      </c>
      <c r="F49" t="s">
        <v>188</v>
      </c>
      <c r="H49" t="s">
        <v>165</v>
      </c>
      <c r="I49" t="s">
        <v>43</v>
      </c>
      <c r="J49" s="21" t="s">
        <v>189</v>
      </c>
      <c r="K49" t="s">
        <v>44</v>
      </c>
      <c r="L49" t="s">
        <v>190</v>
      </c>
      <c r="M49" s="17" t="s">
        <v>191</v>
      </c>
      <c r="N49" s="17"/>
      <c r="O49" s="17"/>
      <c r="P49" s="17"/>
      <c r="Q49" s="17"/>
      <c r="R49" s="17"/>
      <c r="S49" s="17"/>
      <c r="T49" s="17"/>
      <c r="U49" s="17"/>
      <c r="V49" s="17"/>
      <c r="W49" s="17"/>
      <c r="X49" s="17"/>
      <c r="Y49" s="17"/>
      <c r="Z49" s="17"/>
      <c r="AA49" s="17"/>
      <c r="AB49" s="17"/>
      <c r="AC49" s="17"/>
      <c r="AD49" s="17"/>
      <c r="AE49" s="17"/>
      <c r="AF49" s="17"/>
      <c r="AG49" s="17"/>
      <c r="AH49" s="17"/>
      <c r="AI49" s="17"/>
      <c r="AJ49" s="17"/>
      <c r="AK49" s="17"/>
      <c r="AL49" s="17"/>
      <c r="AM49" s="17"/>
      <c r="AN49" s="17"/>
      <c r="AO49" s="17"/>
      <c r="AP49" s="17"/>
      <c r="AQ49" s="17"/>
      <c r="AR49" t="s">
        <v>379</v>
      </c>
      <c r="AS49" t="s">
        <v>380</v>
      </c>
      <c r="AW49" t="s">
        <v>726</v>
      </c>
      <c r="AX49" t="s">
        <v>727</v>
      </c>
      <c r="AY49" s="8" t="s">
        <v>167</v>
      </c>
      <c r="AZ49" t="s">
        <v>384</v>
      </c>
      <c r="BA49" t="s">
        <v>728</v>
      </c>
      <c r="BB49" t="s">
        <v>729</v>
      </c>
      <c r="BC49" t="s">
        <v>380</v>
      </c>
      <c r="BD49" t="s">
        <v>380</v>
      </c>
      <c r="BE49" t="s">
        <v>380</v>
      </c>
      <c r="BF49" t="s">
        <v>611</v>
      </c>
      <c r="BG49">
        <v>37.728957800000003</v>
      </c>
      <c r="BH49">
        <v>-122.21005630000001</v>
      </c>
      <c r="BI49" t="s">
        <v>730</v>
      </c>
      <c r="BJ49" t="s">
        <v>731</v>
      </c>
      <c r="BK49" t="s">
        <v>190</v>
      </c>
      <c r="BL49" t="s">
        <v>389</v>
      </c>
      <c r="BN49" t="s">
        <v>732</v>
      </c>
      <c r="BO49" t="s">
        <v>391</v>
      </c>
      <c r="BP49">
        <v>-480</v>
      </c>
      <c r="BQ49" t="s">
        <v>733</v>
      </c>
      <c r="BR49" t="s">
        <v>734</v>
      </c>
      <c r="BS49">
        <v>4.5</v>
      </c>
      <c r="BT49">
        <v>5</v>
      </c>
    </row>
    <row r="50" spans="1:75" ht="15.75" x14ac:dyDescent="0.25">
      <c r="A50">
        <v>590</v>
      </c>
      <c r="B50" t="s">
        <v>192</v>
      </c>
      <c r="C50" s="12" t="s">
        <v>193</v>
      </c>
      <c r="F50" t="s">
        <v>194</v>
      </c>
      <c r="H50" t="s">
        <v>195</v>
      </c>
      <c r="I50" t="s">
        <v>43</v>
      </c>
      <c r="J50" s="21" t="s">
        <v>196</v>
      </c>
      <c r="K50" t="s">
        <v>44</v>
      </c>
      <c r="L50" t="s">
        <v>197</v>
      </c>
      <c r="M50" s="17" t="s">
        <v>780</v>
      </c>
      <c r="N50" s="17"/>
      <c r="O50" s="17"/>
      <c r="P50" s="17"/>
      <c r="Q50" s="17"/>
      <c r="R50" s="17"/>
      <c r="S50" s="17"/>
      <c r="T50" s="17"/>
      <c r="U50" s="17"/>
      <c r="V50" s="17"/>
      <c r="W50" s="17"/>
      <c r="X50" s="17"/>
      <c r="Y50" s="17"/>
      <c r="Z50" s="17"/>
      <c r="AA50" s="17"/>
      <c r="AB50" s="17"/>
      <c r="AC50" s="17"/>
      <c r="AD50" s="17"/>
      <c r="AE50" s="17"/>
      <c r="AF50" s="17"/>
      <c r="AG50" s="17"/>
      <c r="AH50" s="17"/>
      <c r="AI50" s="17"/>
      <c r="AJ50" s="17"/>
      <c r="AK50" s="17"/>
      <c r="AL50" s="17"/>
      <c r="AM50" s="17"/>
      <c r="AN50" s="17"/>
      <c r="AO50" s="17"/>
      <c r="AP50" s="17"/>
      <c r="AQ50" s="17"/>
      <c r="AR50" t="s">
        <v>379</v>
      </c>
      <c r="AS50" t="s">
        <v>380</v>
      </c>
      <c r="AW50" t="s">
        <v>770</v>
      </c>
      <c r="AX50" t="s">
        <v>771</v>
      </c>
      <c r="AY50" s="8" t="s">
        <v>772</v>
      </c>
      <c r="AZ50" t="s">
        <v>384</v>
      </c>
      <c r="BA50" t="s">
        <v>773</v>
      </c>
      <c r="BB50" t="s">
        <v>774</v>
      </c>
      <c r="BC50" t="s">
        <v>380</v>
      </c>
      <c r="BD50" t="s">
        <v>380</v>
      </c>
      <c r="BE50" t="s">
        <v>380</v>
      </c>
      <c r="BF50" t="s">
        <v>380</v>
      </c>
      <c r="BG50">
        <v>37.338126199999998</v>
      </c>
      <c r="BH50">
        <v>-121.8209428</v>
      </c>
      <c r="BI50" t="s">
        <v>775</v>
      </c>
      <c r="BJ50" t="s">
        <v>776</v>
      </c>
      <c r="BK50" t="s">
        <v>777</v>
      </c>
      <c r="BL50" t="s">
        <v>450</v>
      </c>
      <c r="BN50" t="s">
        <v>778</v>
      </c>
      <c r="BO50" t="s">
        <v>452</v>
      </c>
      <c r="BP50">
        <v>-480</v>
      </c>
      <c r="BQ50" t="s">
        <v>779</v>
      </c>
      <c r="BR50" t="s">
        <v>780</v>
      </c>
      <c r="BS50">
        <v>4.2</v>
      </c>
      <c r="BT50">
        <v>5</v>
      </c>
      <c r="BU50" t="s">
        <v>1256</v>
      </c>
    </row>
    <row r="51" spans="1:75" ht="15.75" x14ac:dyDescent="0.25">
      <c r="A51">
        <v>591</v>
      </c>
      <c r="B51" t="s">
        <v>198</v>
      </c>
      <c r="C51" t="s">
        <v>199</v>
      </c>
      <c r="F51" t="s">
        <v>200</v>
      </c>
      <c r="H51" t="s">
        <v>195</v>
      </c>
      <c r="I51" t="s">
        <v>43</v>
      </c>
      <c r="J51" s="21">
        <v>95148</v>
      </c>
      <c r="K51" t="s">
        <v>44</v>
      </c>
      <c r="L51" t="s">
        <v>201</v>
      </c>
      <c r="N51" s="17"/>
      <c r="O51" s="17"/>
      <c r="P51" s="17"/>
      <c r="Q51" s="17"/>
      <c r="R51" s="17"/>
      <c r="S51" s="17"/>
      <c r="T51" s="17"/>
      <c r="U51" s="17"/>
      <c r="V51" s="17"/>
      <c r="W51" s="17"/>
      <c r="X51" s="17"/>
      <c r="Y51" s="17"/>
      <c r="Z51" s="17"/>
      <c r="AA51" s="17"/>
      <c r="AB51" s="17"/>
      <c r="AC51" s="17"/>
      <c r="AD51" s="17"/>
      <c r="AE51" s="17"/>
      <c r="AF51" s="17"/>
      <c r="AG51" s="17"/>
      <c r="AH51" s="17"/>
      <c r="AI51" s="17"/>
      <c r="AJ51" s="17"/>
      <c r="AK51" s="17"/>
      <c r="AL51" s="17"/>
      <c r="AM51" s="17"/>
      <c r="AN51" s="17"/>
      <c r="AO51" s="17"/>
      <c r="AP51" s="17"/>
      <c r="AQ51" s="17"/>
      <c r="AR51" t="s">
        <v>379</v>
      </c>
      <c r="AS51" t="s">
        <v>380</v>
      </c>
      <c r="AW51" t="s">
        <v>781</v>
      </c>
      <c r="AX51" t="s">
        <v>783</v>
      </c>
      <c r="AY51" s="8" t="s">
        <v>784</v>
      </c>
      <c r="AZ51" t="s">
        <v>384</v>
      </c>
      <c r="BA51" t="s">
        <v>785</v>
      </c>
      <c r="BB51" t="s">
        <v>786</v>
      </c>
      <c r="BC51" t="s">
        <v>380</v>
      </c>
      <c r="BD51" t="s">
        <v>380</v>
      </c>
      <c r="BE51" t="s">
        <v>380</v>
      </c>
      <c r="BF51" t="s">
        <v>380</v>
      </c>
      <c r="BG51">
        <v>37.336416599999993</v>
      </c>
      <c r="BH51">
        <v>-121.8200971</v>
      </c>
      <c r="BI51" t="s">
        <v>787</v>
      </c>
      <c r="BJ51" t="s">
        <v>788</v>
      </c>
      <c r="BK51" t="s">
        <v>789</v>
      </c>
      <c r="BL51" t="s">
        <v>450</v>
      </c>
      <c r="BN51" t="s">
        <v>790</v>
      </c>
      <c r="BO51" t="s">
        <v>782</v>
      </c>
      <c r="BP51">
        <v>-480</v>
      </c>
      <c r="BQ51" t="s">
        <v>791</v>
      </c>
      <c r="BR51" t="s">
        <v>792</v>
      </c>
      <c r="BS51">
        <v>4.3</v>
      </c>
      <c r="BT51">
        <v>5</v>
      </c>
    </row>
    <row r="52" spans="1:75" ht="15.75" x14ac:dyDescent="0.25">
      <c r="A52">
        <v>592</v>
      </c>
      <c r="B52" t="s">
        <v>202</v>
      </c>
      <c r="C52" t="s">
        <v>203</v>
      </c>
      <c r="F52" t="s">
        <v>204</v>
      </c>
      <c r="H52" t="s">
        <v>195</v>
      </c>
      <c r="I52" t="s">
        <v>43</v>
      </c>
      <c r="J52" s="21">
        <v>95148</v>
      </c>
      <c r="K52" t="s">
        <v>44</v>
      </c>
      <c r="L52" t="s">
        <v>205</v>
      </c>
      <c r="N52" s="17"/>
      <c r="O52" s="17"/>
      <c r="P52" s="17"/>
      <c r="Q52" s="17"/>
      <c r="R52" s="17"/>
      <c r="S52" s="17"/>
      <c r="T52" s="17"/>
      <c r="U52" s="17"/>
      <c r="V52" s="17"/>
      <c r="W52" s="17"/>
      <c r="X52" s="17"/>
      <c r="Y52" s="17"/>
      <c r="Z52" s="17"/>
      <c r="AA52" s="17"/>
      <c r="AB52" s="17"/>
      <c r="AC52" s="17"/>
      <c r="AD52" s="17"/>
      <c r="AE52" s="17"/>
      <c r="AF52" s="17"/>
      <c r="AG52" s="17"/>
      <c r="AH52" s="17"/>
      <c r="AI52" s="17"/>
      <c r="AJ52" s="17"/>
      <c r="AK52" s="17"/>
      <c r="AL52" s="17"/>
      <c r="AM52" s="17"/>
      <c r="AN52" s="17"/>
      <c r="AO52" s="17"/>
      <c r="AP52" s="17"/>
      <c r="AQ52" s="17"/>
      <c r="AR52" t="s">
        <v>379</v>
      </c>
      <c r="AT52" t="s">
        <v>380</v>
      </c>
      <c r="AW52" t="s">
        <v>793</v>
      </c>
      <c r="AX52" t="s">
        <v>794</v>
      </c>
      <c r="AY52" s="8" t="s">
        <v>795</v>
      </c>
      <c r="AZ52" t="s">
        <v>384</v>
      </c>
      <c r="BA52" t="s">
        <v>796</v>
      </c>
      <c r="BB52" t="s">
        <v>797</v>
      </c>
      <c r="BC52" t="s">
        <v>380</v>
      </c>
      <c r="BD52" t="s">
        <v>380</v>
      </c>
      <c r="BE52" t="s">
        <v>380</v>
      </c>
      <c r="BF52" t="s">
        <v>380</v>
      </c>
      <c r="BG52">
        <v>37.338669400000001</v>
      </c>
      <c r="BH52">
        <v>-121.82005150000001</v>
      </c>
      <c r="BI52" t="s">
        <v>798</v>
      </c>
      <c r="BJ52" t="s">
        <v>799</v>
      </c>
      <c r="BK52" t="s">
        <v>800</v>
      </c>
      <c r="BL52" t="s">
        <v>450</v>
      </c>
      <c r="BN52" t="s">
        <v>801</v>
      </c>
      <c r="BO52" t="s">
        <v>452</v>
      </c>
      <c r="BP52">
        <v>-480</v>
      </c>
      <c r="BQ52" t="s">
        <v>802</v>
      </c>
      <c r="BR52" t="s">
        <v>803</v>
      </c>
      <c r="BS52">
        <v>4.7</v>
      </c>
      <c r="BT52">
        <v>5</v>
      </c>
    </row>
    <row r="53" spans="1:75" ht="15.75" x14ac:dyDescent="0.25">
      <c r="A53">
        <v>593</v>
      </c>
      <c r="B53" t="s">
        <v>206</v>
      </c>
      <c r="C53" t="s">
        <v>207</v>
      </c>
      <c r="F53" t="s">
        <v>204</v>
      </c>
      <c r="H53" t="s">
        <v>195</v>
      </c>
      <c r="I53" t="s">
        <v>43</v>
      </c>
      <c r="J53" s="21">
        <v>95148</v>
      </c>
      <c r="K53" t="s">
        <v>44</v>
      </c>
      <c r="L53" t="s">
        <v>208</v>
      </c>
      <c r="N53" s="17"/>
      <c r="O53" s="17"/>
      <c r="P53" s="17"/>
      <c r="Q53" s="17"/>
      <c r="R53" s="17"/>
      <c r="S53" s="17"/>
      <c r="T53" s="17"/>
      <c r="U53" s="17"/>
      <c r="V53" s="17"/>
      <c r="W53" s="17"/>
      <c r="X53" s="17"/>
      <c r="Y53" s="17"/>
      <c r="Z53" s="17"/>
      <c r="AA53" s="17"/>
      <c r="AB53" s="17"/>
      <c r="AC53" s="17"/>
      <c r="AD53" s="17"/>
      <c r="AE53" s="17"/>
      <c r="AF53" s="17"/>
      <c r="AG53" s="17"/>
      <c r="AH53" s="17"/>
      <c r="AI53" s="17"/>
      <c r="AJ53" s="17"/>
      <c r="AK53" s="17"/>
      <c r="AL53" s="17"/>
      <c r="AM53" s="17"/>
      <c r="AN53" s="17"/>
      <c r="AO53" s="17"/>
      <c r="AP53" s="17"/>
      <c r="AQ53" s="17"/>
      <c r="AR53" t="s">
        <v>379</v>
      </c>
      <c r="AS53" t="s">
        <v>380</v>
      </c>
      <c r="AW53" t="s">
        <v>804</v>
      </c>
      <c r="AX53" t="s">
        <v>805</v>
      </c>
      <c r="AY53" s="8" t="s">
        <v>806</v>
      </c>
      <c r="AZ53" t="s">
        <v>384</v>
      </c>
      <c r="BA53" t="s">
        <v>807</v>
      </c>
      <c r="BB53" t="s">
        <v>808</v>
      </c>
      <c r="BC53" t="s">
        <v>380</v>
      </c>
      <c r="BD53" t="s">
        <v>380</v>
      </c>
      <c r="BE53" t="s">
        <v>380</v>
      </c>
      <c r="BF53" t="s">
        <v>380</v>
      </c>
      <c r="BG53">
        <v>37.338851300000002</v>
      </c>
      <c r="BH53">
        <v>-121.82004670000001</v>
      </c>
      <c r="BI53" t="s">
        <v>809</v>
      </c>
      <c r="BJ53" t="s">
        <v>810</v>
      </c>
      <c r="BK53" t="s">
        <v>811</v>
      </c>
      <c r="BL53" t="s">
        <v>450</v>
      </c>
      <c r="BN53" t="s">
        <v>812</v>
      </c>
      <c r="BO53" t="s">
        <v>452</v>
      </c>
      <c r="BP53">
        <v>-480</v>
      </c>
      <c r="BQ53" t="s">
        <v>802</v>
      </c>
      <c r="BR53" t="s">
        <v>813</v>
      </c>
      <c r="BT53" t="s">
        <v>61</v>
      </c>
    </row>
    <row r="54" spans="1:75" x14ac:dyDescent="0.25">
      <c r="A54">
        <v>594</v>
      </c>
      <c r="B54" s="12" t="s">
        <v>209</v>
      </c>
      <c r="F54" s="12" t="s">
        <v>210</v>
      </c>
      <c r="H54" t="s">
        <v>211</v>
      </c>
      <c r="I54" t="s">
        <v>43</v>
      </c>
      <c r="J54" s="21" t="s">
        <v>212</v>
      </c>
      <c r="K54" t="s">
        <v>44</v>
      </c>
      <c r="L54" t="s">
        <v>213</v>
      </c>
      <c r="N54" s="17"/>
      <c r="O54" s="17"/>
      <c r="P54" s="17"/>
      <c r="Q54" s="17"/>
      <c r="R54" s="17"/>
      <c r="S54" s="17"/>
      <c r="T54" s="17"/>
      <c r="U54" s="17"/>
      <c r="V54" s="17"/>
      <c r="W54" s="17"/>
      <c r="X54" s="17"/>
      <c r="Y54" s="17"/>
      <c r="Z54" s="17"/>
      <c r="AA54" s="17"/>
      <c r="AB54" s="17"/>
      <c r="AC54" s="17"/>
      <c r="AD54" s="17"/>
      <c r="AE54" s="17"/>
      <c r="AF54" s="17"/>
      <c r="AG54" s="17"/>
      <c r="AH54" s="17"/>
      <c r="AI54" s="17"/>
      <c r="AJ54" s="17"/>
      <c r="AK54" s="17"/>
      <c r="AL54" s="17"/>
      <c r="AM54" s="17"/>
      <c r="AN54" s="17"/>
      <c r="AO54" s="17"/>
      <c r="AP54" s="17"/>
      <c r="AQ54" s="17"/>
      <c r="BU54" t="s">
        <v>1257</v>
      </c>
      <c r="BW54" t="s">
        <v>1258</v>
      </c>
    </row>
    <row r="55" spans="1:75" ht="15.75" x14ac:dyDescent="0.25">
      <c r="A55">
        <v>600</v>
      </c>
      <c r="B55" t="s">
        <v>214</v>
      </c>
      <c r="C55" s="12" t="s">
        <v>816</v>
      </c>
      <c r="F55" t="s">
        <v>215</v>
      </c>
      <c r="G55" t="s">
        <v>216</v>
      </c>
      <c r="H55" t="s">
        <v>195</v>
      </c>
      <c r="I55" t="s">
        <v>43</v>
      </c>
      <c r="J55" s="21">
        <v>95110</v>
      </c>
      <c r="K55" t="s">
        <v>44</v>
      </c>
      <c r="N55" s="17"/>
      <c r="O55" s="17"/>
      <c r="P55" s="17"/>
      <c r="Q55" s="17"/>
      <c r="R55" s="17"/>
      <c r="S55" s="17"/>
      <c r="T55" s="17"/>
      <c r="U55" s="17"/>
      <c r="V55" s="17"/>
      <c r="W55" s="17"/>
      <c r="X55" s="17"/>
      <c r="Y55" s="17"/>
      <c r="Z55" s="17"/>
      <c r="AA55" s="17"/>
      <c r="AB55" s="17"/>
      <c r="AC55" s="17"/>
      <c r="AD55" s="17"/>
      <c r="AE55" s="17"/>
      <c r="AF55" s="17"/>
      <c r="AG55" s="17"/>
      <c r="AH55" s="17"/>
      <c r="AI55" s="17"/>
      <c r="AJ55" s="17"/>
      <c r="AK55" s="17"/>
      <c r="AL55" s="17"/>
      <c r="AM55" s="17"/>
      <c r="AN55" s="17"/>
      <c r="AO55" s="17"/>
      <c r="AP55" s="17"/>
      <c r="AQ55" s="17"/>
      <c r="AR55" t="s">
        <v>379</v>
      </c>
      <c r="AT55" t="s">
        <v>380</v>
      </c>
      <c r="AW55" t="s">
        <v>814</v>
      </c>
      <c r="AX55" t="s">
        <v>815</v>
      </c>
      <c r="AY55" s="8" t="s">
        <v>816</v>
      </c>
      <c r="AZ55" t="s">
        <v>384</v>
      </c>
      <c r="BA55" t="s">
        <v>817</v>
      </c>
      <c r="BB55" t="s">
        <v>818</v>
      </c>
      <c r="BC55" t="s">
        <v>380</v>
      </c>
      <c r="BD55" t="s">
        <v>380</v>
      </c>
      <c r="BE55" t="s">
        <v>380</v>
      </c>
      <c r="BF55" t="s">
        <v>380</v>
      </c>
      <c r="BG55">
        <v>37.357102699999999</v>
      </c>
      <c r="BH55">
        <v>-121.929937</v>
      </c>
      <c r="BI55" t="s">
        <v>819</v>
      </c>
      <c r="BJ55" t="s">
        <v>820</v>
      </c>
      <c r="BK55" t="s">
        <v>821</v>
      </c>
      <c r="BL55" t="s">
        <v>389</v>
      </c>
      <c r="BN55" t="s">
        <v>822</v>
      </c>
      <c r="BO55" t="s">
        <v>414</v>
      </c>
      <c r="BP55">
        <v>-480</v>
      </c>
      <c r="BQ55" t="s">
        <v>823</v>
      </c>
      <c r="BR55" t="s">
        <v>824</v>
      </c>
      <c r="BS55">
        <v>5</v>
      </c>
      <c r="BT55">
        <v>2</v>
      </c>
    </row>
    <row r="56" spans="1:75" ht="15.75" x14ac:dyDescent="0.25">
      <c r="A56">
        <v>601</v>
      </c>
      <c r="B56" t="s">
        <v>217</v>
      </c>
      <c r="F56" t="s">
        <v>215</v>
      </c>
      <c r="G56" t="s">
        <v>218</v>
      </c>
      <c r="H56" t="s">
        <v>195</v>
      </c>
      <c r="I56" t="s">
        <v>43</v>
      </c>
      <c r="J56" s="21">
        <v>95110</v>
      </c>
      <c r="K56" t="s">
        <v>44</v>
      </c>
      <c r="N56" s="17"/>
      <c r="O56" s="17"/>
      <c r="P56" s="17"/>
      <c r="Q56" s="17"/>
      <c r="R56" s="17"/>
      <c r="S56" s="17"/>
      <c r="T56" s="17"/>
      <c r="U56" s="17"/>
      <c r="V56" s="17"/>
      <c r="W56" s="17"/>
      <c r="X56" s="17"/>
      <c r="Y56" s="17"/>
      <c r="Z56" s="17"/>
      <c r="AA56" s="17"/>
      <c r="AB56" s="17"/>
      <c r="AC56" s="17"/>
      <c r="AD56" s="17"/>
      <c r="AE56" s="17"/>
      <c r="AF56" s="17"/>
      <c r="AG56" s="17"/>
      <c r="AH56" s="17"/>
      <c r="AI56" s="17"/>
      <c r="AJ56" s="17"/>
      <c r="AK56" s="17"/>
      <c r="AL56" s="17"/>
      <c r="AM56" s="17"/>
      <c r="AN56" s="17"/>
      <c r="AO56" s="17"/>
      <c r="AP56" s="17"/>
      <c r="AQ56" s="17"/>
      <c r="AR56" t="s">
        <v>379</v>
      </c>
      <c r="AT56" t="s">
        <v>380</v>
      </c>
      <c r="AW56" t="s">
        <v>825</v>
      </c>
      <c r="AX56" t="s">
        <v>827</v>
      </c>
      <c r="AY56" s="8" t="s">
        <v>828</v>
      </c>
      <c r="AZ56" t="s">
        <v>384</v>
      </c>
      <c r="BA56" t="s">
        <v>829</v>
      </c>
      <c r="BB56" t="s">
        <v>830</v>
      </c>
      <c r="BC56" t="s">
        <v>380</v>
      </c>
      <c r="BD56" t="s">
        <v>380</v>
      </c>
      <c r="BE56" t="s">
        <v>380</v>
      </c>
      <c r="BF56" t="s">
        <v>380</v>
      </c>
      <c r="BG56">
        <v>37.357102699999999</v>
      </c>
      <c r="BH56">
        <v>-121.929937</v>
      </c>
      <c r="BI56" t="s">
        <v>831</v>
      </c>
      <c r="BJ56" t="s">
        <v>832</v>
      </c>
      <c r="BK56" t="s">
        <v>833</v>
      </c>
      <c r="BL56" t="s">
        <v>412</v>
      </c>
      <c r="BN56" t="s">
        <v>834</v>
      </c>
      <c r="BO56" t="s">
        <v>826</v>
      </c>
      <c r="BP56">
        <v>-480</v>
      </c>
      <c r="BQ56" t="s">
        <v>835</v>
      </c>
      <c r="BR56" t="s">
        <v>836</v>
      </c>
      <c r="BT56" t="s">
        <v>61</v>
      </c>
    </row>
    <row r="57" spans="1:75" ht="15.75" x14ac:dyDescent="0.25">
      <c r="A57">
        <v>602</v>
      </c>
      <c r="B57" t="s">
        <v>219</v>
      </c>
      <c r="F57" t="s">
        <v>220</v>
      </c>
      <c r="H57" t="s">
        <v>221</v>
      </c>
      <c r="I57" t="s">
        <v>43</v>
      </c>
      <c r="J57" s="21">
        <v>92707</v>
      </c>
      <c r="K57" t="s">
        <v>44</v>
      </c>
      <c r="L57" t="s">
        <v>222</v>
      </c>
      <c r="N57" s="17"/>
      <c r="O57" s="17"/>
      <c r="P57" s="17"/>
      <c r="Q57" s="17"/>
      <c r="R57" s="17"/>
      <c r="S57" s="17"/>
      <c r="T57" s="17"/>
      <c r="U57" s="17"/>
      <c r="V57" s="17"/>
      <c r="W57" s="17"/>
      <c r="X57" s="17"/>
      <c r="Y57" s="17"/>
      <c r="Z57" s="17"/>
      <c r="AA57" s="17"/>
      <c r="AB57" s="17"/>
      <c r="AC57" s="17"/>
      <c r="AD57" s="17"/>
      <c r="AE57" s="17"/>
      <c r="AF57" s="17"/>
      <c r="AG57" s="17"/>
      <c r="AH57" s="17"/>
      <c r="AI57" s="17"/>
      <c r="AJ57" s="17"/>
      <c r="AK57" s="17"/>
      <c r="AL57" s="17"/>
      <c r="AM57" s="17"/>
      <c r="AN57" s="17"/>
      <c r="AO57" s="17"/>
      <c r="AP57" s="17"/>
      <c r="AQ57" s="17"/>
      <c r="AR57" t="s">
        <v>379</v>
      </c>
      <c r="AS57" t="s">
        <v>380</v>
      </c>
      <c r="AW57" t="s">
        <v>837</v>
      </c>
      <c r="AX57" t="s">
        <v>838</v>
      </c>
      <c r="AY57" s="8" t="s">
        <v>839</v>
      </c>
      <c r="AZ57" t="s">
        <v>384</v>
      </c>
      <c r="BA57" t="s">
        <v>840</v>
      </c>
      <c r="BB57" t="s">
        <v>841</v>
      </c>
      <c r="BC57" t="s">
        <v>380</v>
      </c>
      <c r="BD57" t="s">
        <v>380</v>
      </c>
      <c r="BE57" t="s">
        <v>380</v>
      </c>
      <c r="BF57" t="s">
        <v>380</v>
      </c>
      <c r="BG57">
        <v>33.666455399999997</v>
      </c>
      <c r="BH57">
        <v>-117.8713482</v>
      </c>
      <c r="BI57" t="s">
        <v>842</v>
      </c>
      <c r="BJ57" t="s">
        <v>843</v>
      </c>
      <c r="BK57" t="s">
        <v>844</v>
      </c>
      <c r="BL57" t="s">
        <v>389</v>
      </c>
      <c r="BN57" t="s">
        <v>845</v>
      </c>
      <c r="BO57" t="s">
        <v>391</v>
      </c>
      <c r="BP57">
        <v>-480</v>
      </c>
      <c r="BQ57" t="s">
        <v>846</v>
      </c>
      <c r="BR57" t="s">
        <v>847</v>
      </c>
      <c r="BS57">
        <v>4.5999999999999996</v>
      </c>
      <c r="BT57">
        <v>5</v>
      </c>
    </row>
    <row r="58" spans="1:75" ht="15.75" x14ac:dyDescent="0.25">
      <c r="A58">
        <v>603</v>
      </c>
      <c r="B58" t="s">
        <v>223</v>
      </c>
      <c r="C58" s="12" t="s">
        <v>850</v>
      </c>
      <c r="F58" t="s">
        <v>224</v>
      </c>
      <c r="G58" t="s">
        <v>225</v>
      </c>
      <c r="H58" t="s">
        <v>221</v>
      </c>
      <c r="I58" t="s">
        <v>43</v>
      </c>
      <c r="J58" s="21">
        <v>92707</v>
      </c>
      <c r="K58" t="s">
        <v>44</v>
      </c>
      <c r="L58" t="s">
        <v>226</v>
      </c>
      <c r="N58" s="17"/>
      <c r="O58" s="17"/>
      <c r="P58" s="17"/>
      <c r="Q58" s="17"/>
      <c r="R58" s="17"/>
      <c r="S58" s="17"/>
      <c r="T58" s="17"/>
      <c r="U58" s="17"/>
      <c r="V58" s="17"/>
      <c r="W58" s="17"/>
      <c r="X58" s="17"/>
      <c r="Y58" s="17"/>
      <c r="Z58" s="17"/>
      <c r="AA58" s="17"/>
      <c r="AB58" s="17"/>
      <c r="AC58" s="17"/>
      <c r="AD58" s="17"/>
      <c r="AE58" s="17"/>
      <c r="AF58" s="17"/>
      <c r="AG58" s="17"/>
      <c r="AH58" s="17"/>
      <c r="AI58" s="17"/>
      <c r="AJ58" s="17"/>
      <c r="AK58" s="17"/>
      <c r="AL58" s="17"/>
      <c r="AM58" s="17"/>
      <c r="AN58" s="17"/>
      <c r="AO58" s="17"/>
      <c r="AP58" s="17"/>
      <c r="AQ58" s="17"/>
      <c r="AR58" t="s">
        <v>379</v>
      </c>
      <c r="AS58" t="s">
        <v>380</v>
      </c>
      <c r="AW58" t="s">
        <v>848</v>
      </c>
      <c r="AX58" t="s">
        <v>849</v>
      </c>
      <c r="AY58" s="8" t="s">
        <v>850</v>
      </c>
      <c r="AZ58" t="s">
        <v>384</v>
      </c>
      <c r="BA58" t="s">
        <v>851</v>
      </c>
      <c r="BB58" t="s">
        <v>852</v>
      </c>
      <c r="BC58" t="s">
        <v>380</v>
      </c>
      <c r="BD58" t="s">
        <v>380</v>
      </c>
      <c r="BE58" t="s">
        <v>380</v>
      </c>
      <c r="BF58" t="s">
        <v>380</v>
      </c>
      <c r="BG58">
        <v>33.666296500000001</v>
      </c>
      <c r="BH58">
        <v>-117.8713826</v>
      </c>
      <c r="BI58" t="s">
        <v>853</v>
      </c>
      <c r="BJ58" t="s">
        <v>854</v>
      </c>
      <c r="BK58" t="s">
        <v>855</v>
      </c>
      <c r="BL58" t="s">
        <v>450</v>
      </c>
      <c r="BN58" t="s">
        <v>856</v>
      </c>
      <c r="BO58" t="s">
        <v>452</v>
      </c>
      <c r="BP58">
        <v>-480</v>
      </c>
      <c r="BQ58" t="s">
        <v>857</v>
      </c>
      <c r="BR58" t="s">
        <v>858</v>
      </c>
      <c r="BS58">
        <v>4.3</v>
      </c>
      <c r="BT58">
        <v>5</v>
      </c>
    </row>
    <row r="59" spans="1:75" ht="15.75" x14ac:dyDescent="0.25">
      <c r="A59">
        <v>604</v>
      </c>
      <c r="B59" t="s">
        <v>227</v>
      </c>
      <c r="C59" s="12" t="s">
        <v>861</v>
      </c>
      <c r="F59" t="s">
        <v>228</v>
      </c>
      <c r="G59" t="s">
        <v>229</v>
      </c>
      <c r="H59" t="s">
        <v>230</v>
      </c>
      <c r="I59" t="s">
        <v>43</v>
      </c>
      <c r="J59" s="21" t="s">
        <v>231</v>
      </c>
      <c r="K59" t="s">
        <v>44</v>
      </c>
      <c r="L59" t="s">
        <v>232</v>
      </c>
      <c r="N59" s="17"/>
      <c r="O59" s="17"/>
      <c r="P59" s="17"/>
      <c r="Q59" s="17"/>
      <c r="R59" s="17"/>
      <c r="S59" s="17"/>
      <c r="T59" s="17"/>
      <c r="U59" s="17"/>
      <c r="V59" s="17"/>
      <c r="W59" s="17"/>
      <c r="X59" s="17"/>
      <c r="Y59" s="17"/>
      <c r="Z59" s="17"/>
      <c r="AA59" s="17"/>
      <c r="AB59" s="17"/>
      <c r="AC59" s="17"/>
      <c r="AD59" s="17"/>
      <c r="AE59" s="17"/>
      <c r="AF59" s="17"/>
      <c r="AG59" s="17"/>
      <c r="AH59" s="17"/>
      <c r="AI59" s="17"/>
      <c r="AJ59" s="17"/>
      <c r="AK59" s="17"/>
      <c r="AL59" s="17"/>
      <c r="AM59" s="17"/>
      <c r="AN59" s="17"/>
      <c r="AO59" s="17"/>
      <c r="AP59" s="17"/>
      <c r="AQ59" s="17"/>
      <c r="AR59" t="s">
        <v>379</v>
      </c>
      <c r="AS59" t="s">
        <v>380</v>
      </c>
      <c r="AW59" t="s">
        <v>859</v>
      </c>
      <c r="AX59" t="s">
        <v>860</v>
      </c>
      <c r="AY59" s="18" t="s">
        <v>861</v>
      </c>
      <c r="AZ59" t="s">
        <v>384</v>
      </c>
      <c r="BA59" t="s">
        <v>862</v>
      </c>
      <c r="BB59" t="s">
        <v>863</v>
      </c>
      <c r="BC59" t="s">
        <v>380</v>
      </c>
      <c r="BD59" t="s">
        <v>380</v>
      </c>
      <c r="BE59" t="s">
        <v>380</v>
      </c>
      <c r="BF59" t="s">
        <v>380</v>
      </c>
      <c r="BG59">
        <v>33.671494799999998</v>
      </c>
      <c r="BH59">
        <v>-117.86677160000001</v>
      </c>
      <c r="BI59" t="s">
        <v>864</v>
      </c>
      <c r="BJ59" t="s">
        <v>865</v>
      </c>
      <c r="BK59" t="s">
        <v>866</v>
      </c>
      <c r="BL59" t="s">
        <v>389</v>
      </c>
      <c r="BN59" t="s">
        <v>867</v>
      </c>
      <c r="BO59" t="s">
        <v>391</v>
      </c>
      <c r="BP59">
        <v>-480</v>
      </c>
      <c r="BQ59" t="s">
        <v>868</v>
      </c>
      <c r="BR59" t="s">
        <v>869</v>
      </c>
      <c r="BS59">
        <v>3.7</v>
      </c>
      <c r="BT59">
        <v>3</v>
      </c>
    </row>
    <row r="60" spans="1:75" ht="15.75" x14ac:dyDescent="0.25">
      <c r="A60">
        <v>606</v>
      </c>
      <c r="B60" t="s">
        <v>235</v>
      </c>
      <c r="C60" t="s">
        <v>872</v>
      </c>
      <c r="F60" t="s">
        <v>228</v>
      </c>
      <c r="G60" t="s">
        <v>236</v>
      </c>
      <c r="H60" t="s">
        <v>230</v>
      </c>
      <c r="I60" t="s">
        <v>43</v>
      </c>
      <c r="J60" s="21" t="s">
        <v>231</v>
      </c>
      <c r="K60" t="s">
        <v>44</v>
      </c>
      <c r="L60" t="s">
        <v>237</v>
      </c>
      <c r="M60" s="17" t="s">
        <v>247</v>
      </c>
      <c r="N60" s="17"/>
      <c r="O60" s="17"/>
      <c r="P60" s="17"/>
      <c r="Q60" s="17"/>
      <c r="R60" s="17"/>
      <c r="S60" s="17"/>
      <c r="T60" s="17"/>
      <c r="U60" s="17"/>
      <c r="V60" s="17"/>
      <c r="W60" s="17"/>
      <c r="X60" s="17"/>
      <c r="Y60" s="17"/>
      <c r="Z60" s="17"/>
      <c r="AA60" s="17"/>
      <c r="AB60" s="17"/>
      <c r="AC60" s="17"/>
      <c r="AD60" s="17"/>
      <c r="AE60" s="17"/>
      <c r="AF60" s="17"/>
      <c r="AG60" s="17"/>
      <c r="AH60" s="17"/>
      <c r="AI60" s="17"/>
      <c r="AJ60" s="17"/>
      <c r="AK60" s="17"/>
      <c r="AL60" s="17"/>
      <c r="AM60" s="17"/>
      <c r="AN60" s="17"/>
      <c r="AO60" s="17"/>
      <c r="AP60" s="17"/>
      <c r="AQ60" s="17"/>
      <c r="AR60" t="s">
        <v>379</v>
      </c>
      <c r="AS60" t="s">
        <v>380</v>
      </c>
      <c r="AW60" t="s">
        <v>870</v>
      </c>
      <c r="AX60" t="s">
        <v>871</v>
      </c>
      <c r="AY60" s="13" t="s">
        <v>872</v>
      </c>
      <c r="AZ60" t="s">
        <v>384</v>
      </c>
      <c r="BA60" t="s">
        <v>873</v>
      </c>
      <c r="BB60" t="s">
        <v>874</v>
      </c>
      <c r="BC60" t="s">
        <v>380</v>
      </c>
      <c r="BD60" t="s">
        <v>380</v>
      </c>
      <c r="BE60" t="s">
        <v>380</v>
      </c>
      <c r="BF60" t="s">
        <v>380</v>
      </c>
      <c r="BG60">
        <v>33.671494799999998</v>
      </c>
      <c r="BH60">
        <v>-117.86677160000001</v>
      </c>
      <c r="BI60" t="s">
        <v>875</v>
      </c>
      <c r="BJ60" t="s">
        <v>876</v>
      </c>
      <c r="BK60" t="s">
        <v>246</v>
      </c>
      <c r="BL60" t="s">
        <v>389</v>
      </c>
      <c r="BN60" t="s">
        <v>877</v>
      </c>
      <c r="BO60" t="s">
        <v>391</v>
      </c>
      <c r="BP60">
        <v>-480</v>
      </c>
      <c r="BQ60" t="s">
        <v>878</v>
      </c>
      <c r="BR60" t="s">
        <v>879</v>
      </c>
      <c r="BS60">
        <v>5</v>
      </c>
      <c r="BT60">
        <v>1</v>
      </c>
    </row>
    <row r="61" spans="1:75" ht="15.75" x14ac:dyDescent="0.25">
      <c r="A61">
        <v>607</v>
      </c>
      <c r="B61" t="s">
        <v>238</v>
      </c>
      <c r="F61" t="s">
        <v>228</v>
      </c>
      <c r="G61" t="s">
        <v>234</v>
      </c>
      <c r="H61" t="s">
        <v>230</v>
      </c>
      <c r="I61" t="s">
        <v>43</v>
      </c>
      <c r="J61" s="21" t="s">
        <v>231</v>
      </c>
      <c r="K61" t="s">
        <v>44</v>
      </c>
      <c r="L61" t="s">
        <v>239</v>
      </c>
      <c r="N61" s="17"/>
      <c r="O61" s="17"/>
      <c r="P61" s="17"/>
      <c r="Q61" s="17"/>
      <c r="R61" s="17"/>
      <c r="S61" s="17"/>
      <c r="T61" s="17"/>
      <c r="U61" s="17"/>
      <c r="V61" s="17"/>
      <c r="W61" s="17"/>
      <c r="X61" s="17"/>
      <c r="Y61" s="17"/>
      <c r="Z61" s="17"/>
      <c r="AA61" s="17"/>
      <c r="AB61" s="17"/>
      <c r="AC61" s="17"/>
      <c r="AD61" s="17"/>
      <c r="AE61" s="17"/>
      <c r="AF61" s="17"/>
      <c r="AG61" s="17"/>
      <c r="AH61" s="17"/>
      <c r="AI61" s="17"/>
      <c r="AJ61" s="17"/>
      <c r="AK61" s="17"/>
      <c r="AL61" s="17"/>
      <c r="AM61" s="17"/>
      <c r="AN61" s="17"/>
      <c r="AO61" s="17"/>
      <c r="AP61" s="17"/>
      <c r="AQ61" s="17"/>
      <c r="AR61" t="s">
        <v>379</v>
      </c>
      <c r="AS61" t="s">
        <v>380</v>
      </c>
      <c r="AW61" t="s">
        <v>880</v>
      </c>
      <c r="AX61" t="s">
        <v>881</v>
      </c>
      <c r="AY61" s="8" t="s">
        <v>882</v>
      </c>
      <c r="AZ61" t="s">
        <v>384</v>
      </c>
      <c r="BA61" t="s">
        <v>883</v>
      </c>
      <c r="BB61" t="s">
        <v>884</v>
      </c>
      <c r="BC61" t="s">
        <v>380</v>
      </c>
      <c r="BD61" t="s">
        <v>380</v>
      </c>
      <c r="BE61" t="s">
        <v>380</v>
      </c>
      <c r="BF61" t="s">
        <v>380</v>
      </c>
      <c r="BG61">
        <v>33.670752100000001</v>
      </c>
      <c r="BH61">
        <v>-117.8660132</v>
      </c>
      <c r="BI61" t="s">
        <v>885</v>
      </c>
      <c r="BJ61" t="s">
        <v>886</v>
      </c>
      <c r="BK61" t="s">
        <v>250</v>
      </c>
      <c r="BL61" t="s">
        <v>389</v>
      </c>
      <c r="BN61" t="s">
        <v>887</v>
      </c>
      <c r="BO61" t="s">
        <v>391</v>
      </c>
      <c r="BP61">
        <v>-480</v>
      </c>
      <c r="BQ61" t="s">
        <v>888</v>
      </c>
      <c r="BR61" t="s">
        <v>889</v>
      </c>
      <c r="BT61" t="s">
        <v>61</v>
      </c>
    </row>
    <row r="62" spans="1:75" ht="15.75" x14ac:dyDescent="0.25">
      <c r="A62">
        <v>608</v>
      </c>
      <c r="B62" t="s">
        <v>240</v>
      </c>
      <c r="F62" t="s">
        <v>233</v>
      </c>
      <c r="G62" t="s">
        <v>234</v>
      </c>
      <c r="H62" t="s">
        <v>230</v>
      </c>
      <c r="I62" t="s">
        <v>43</v>
      </c>
      <c r="J62" s="21" t="s">
        <v>231</v>
      </c>
      <c r="K62" t="s">
        <v>44</v>
      </c>
      <c r="L62" t="s">
        <v>241</v>
      </c>
      <c r="N62" s="17"/>
      <c r="O62" s="17"/>
      <c r="P62" s="17"/>
      <c r="Q62" s="17"/>
      <c r="R62" s="17"/>
      <c r="S62" s="17"/>
      <c r="T62" s="17"/>
      <c r="U62" s="17"/>
      <c r="V62" s="17"/>
      <c r="W62" s="17"/>
      <c r="X62" s="17"/>
      <c r="Y62" s="17"/>
      <c r="Z62" s="17"/>
      <c r="AA62" s="17"/>
      <c r="AB62" s="17"/>
      <c r="AC62" s="17"/>
      <c r="AD62" s="17"/>
      <c r="AE62" s="17"/>
      <c r="AF62" s="17"/>
      <c r="AG62" s="17"/>
      <c r="AH62" s="17"/>
      <c r="AI62" s="17"/>
      <c r="AJ62" s="17"/>
      <c r="AK62" s="17"/>
      <c r="AL62" s="17"/>
      <c r="AM62" s="17"/>
      <c r="AN62" s="17"/>
      <c r="AO62" s="17"/>
      <c r="AP62" s="17"/>
      <c r="AQ62" s="17"/>
      <c r="AR62" t="s">
        <v>379</v>
      </c>
      <c r="AS62" t="s">
        <v>380</v>
      </c>
      <c r="AW62" t="s">
        <v>890</v>
      </c>
      <c r="AX62" t="s">
        <v>891</v>
      </c>
      <c r="AY62" s="8" t="s">
        <v>252</v>
      </c>
      <c r="AZ62" t="s">
        <v>384</v>
      </c>
      <c r="BA62" t="s">
        <v>892</v>
      </c>
      <c r="BB62" t="s">
        <v>893</v>
      </c>
      <c r="BC62" t="s">
        <v>380</v>
      </c>
      <c r="BD62" t="s">
        <v>380</v>
      </c>
      <c r="BE62" t="s">
        <v>380</v>
      </c>
      <c r="BF62" t="s">
        <v>380</v>
      </c>
      <c r="BG62">
        <v>33.665552599999998</v>
      </c>
      <c r="BH62">
        <v>-117.8726473</v>
      </c>
      <c r="BI62" t="s">
        <v>894</v>
      </c>
      <c r="BJ62" t="s">
        <v>895</v>
      </c>
      <c r="BK62" t="s">
        <v>254</v>
      </c>
      <c r="BL62" t="s">
        <v>389</v>
      </c>
      <c r="BN62" t="s">
        <v>896</v>
      </c>
      <c r="BO62" t="s">
        <v>391</v>
      </c>
      <c r="BP62">
        <v>-480</v>
      </c>
      <c r="BQ62" t="s">
        <v>897</v>
      </c>
      <c r="BR62" t="s">
        <v>898</v>
      </c>
      <c r="BS62">
        <v>4.8</v>
      </c>
      <c r="BT62">
        <v>5</v>
      </c>
    </row>
    <row r="63" spans="1:75" x14ac:dyDescent="0.25">
      <c r="A63">
        <v>609</v>
      </c>
      <c r="B63" t="s">
        <v>242</v>
      </c>
      <c r="F63" s="12" t="s">
        <v>243</v>
      </c>
      <c r="H63" t="s">
        <v>230</v>
      </c>
      <c r="I63" t="s">
        <v>43</v>
      </c>
      <c r="J63" s="21" t="s">
        <v>231</v>
      </c>
      <c r="K63" t="s">
        <v>44</v>
      </c>
      <c r="L63" t="s">
        <v>244</v>
      </c>
      <c r="M63" s="17" t="s">
        <v>245</v>
      </c>
      <c r="N63" s="17"/>
      <c r="O63" s="17"/>
      <c r="P63" s="17"/>
      <c r="Q63" s="17"/>
      <c r="R63" s="17"/>
      <c r="S63" s="17"/>
      <c r="T63" s="17"/>
      <c r="U63" s="17"/>
      <c r="V63" s="17"/>
      <c r="W63" s="17"/>
      <c r="X63" s="17"/>
      <c r="Y63" s="17"/>
      <c r="Z63" s="17"/>
      <c r="AA63" s="17"/>
      <c r="AB63" s="17"/>
      <c r="AC63" s="17"/>
      <c r="AD63" s="17"/>
      <c r="AE63" s="17"/>
      <c r="AF63" s="17"/>
      <c r="AG63" s="17"/>
      <c r="AH63" s="17"/>
      <c r="AI63" s="17"/>
      <c r="AJ63" s="17"/>
      <c r="AK63" s="17"/>
      <c r="AL63" s="17"/>
      <c r="AM63" s="17"/>
      <c r="AN63" s="17"/>
      <c r="AO63" s="17"/>
      <c r="AP63" s="17"/>
      <c r="AQ63" s="17"/>
    </row>
    <row r="64" spans="1:75" ht="15.75" x14ac:dyDescent="0.25">
      <c r="A64">
        <v>611</v>
      </c>
      <c r="B64" t="s">
        <v>238</v>
      </c>
      <c r="F64" t="s">
        <v>248</v>
      </c>
      <c r="H64" t="s">
        <v>230</v>
      </c>
      <c r="I64" t="s">
        <v>43</v>
      </c>
      <c r="J64" s="21" t="s">
        <v>249</v>
      </c>
      <c r="K64" t="s">
        <v>44</v>
      </c>
      <c r="L64" t="s">
        <v>250</v>
      </c>
      <c r="M64" s="17" t="s">
        <v>251</v>
      </c>
      <c r="N64" s="17"/>
      <c r="O64" s="17"/>
      <c r="P64" s="17"/>
      <c r="Q64" s="17"/>
      <c r="R64" s="17"/>
      <c r="S64" s="17"/>
      <c r="T64" s="17"/>
      <c r="U64" s="17"/>
      <c r="V64" s="17"/>
      <c r="W64" s="17"/>
      <c r="X64" s="17"/>
      <c r="Y64" s="17"/>
      <c r="Z64" s="17"/>
      <c r="AA64" s="17"/>
      <c r="AB64" s="17"/>
      <c r="AC64" s="17"/>
      <c r="AD64" s="17"/>
      <c r="AE64" s="17"/>
      <c r="AF64" s="17"/>
      <c r="AG64" s="17"/>
      <c r="AH64" s="17"/>
      <c r="AI64" s="17"/>
      <c r="AJ64" s="17"/>
      <c r="AK64" s="17"/>
      <c r="AL64" s="17"/>
      <c r="AM64" s="17"/>
      <c r="AN64" s="17"/>
      <c r="AO64" s="17"/>
      <c r="AP64" s="17"/>
      <c r="AQ64" s="17"/>
      <c r="AR64" t="s">
        <v>379</v>
      </c>
      <c r="AS64" t="s">
        <v>380</v>
      </c>
      <c r="AW64" t="s">
        <v>880</v>
      </c>
      <c r="AX64" t="s">
        <v>881</v>
      </c>
      <c r="AY64" s="8" t="s">
        <v>882</v>
      </c>
      <c r="AZ64" t="s">
        <v>384</v>
      </c>
      <c r="BA64" t="s">
        <v>883</v>
      </c>
      <c r="BB64" t="s">
        <v>884</v>
      </c>
      <c r="BC64" t="s">
        <v>380</v>
      </c>
      <c r="BD64" t="s">
        <v>380</v>
      </c>
      <c r="BE64" t="s">
        <v>380</v>
      </c>
      <c r="BF64" t="s">
        <v>380</v>
      </c>
      <c r="BG64">
        <v>33.670752100000001</v>
      </c>
      <c r="BH64">
        <v>-117.8660132</v>
      </c>
      <c r="BI64" t="s">
        <v>885</v>
      </c>
      <c r="BJ64" t="s">
        <v>886</v>
      </c>
      <c r="BK64" t="s">
        <v>250</v>
      </c>
      <c r="BL64" t="s">
        <v>389</v>
      </c>
      <c r="BN64" t="s">
        <v>887</v>
      </c>
      <c r="BO64" t="s">
        <v>391</v>
      </c>
      <c r="BP64">
        <v>-480</v>
      </c>
      <c r="BQ64" t="s">
        <v>888</v>
      </c>
      <c r="BR64" t="s">
        <v>889</v>
      </c>
      <c r="BT64" t="s">
        <v>61</v>
      </c>
    </row>
    <row r="65" spans="1:72" ht="15.75" x14ac:dyDescent="0.25">
      <c r="A65">
        <v>612</v>
      </c>
      <c r="B65" t="s">
        <v>252</v>
      </c>
      <c r="F65" t="s">
        <v>1259</v>
      </c>
      <c r="G65" t="s">
        <v>1260</v>
      </c>
      <c r="H65" t="s">
        <v>230</v>
      </c>
      <c r="I65" t="s">
        <v>43</v>
      </c>
      <c r="J65" s="21" t="s">
        <v>253</v>
      </c>
      <c r="K65" t="s">
        <v>44</v>
      </c>
      <c r="L65" t="s">
        <v>254</v>
      </c>
      <c r="M65" s="17" t="s">
        <v>255</v>
      </c>
      <c r="N65" s="17"/>
      <c r="O65" s="17"/>
      <c r="P65" s="17"/>
      <c r="Q65" s="17"/>
      <c r="R65" s="17"/>
      <c r="S65" s="17"/>
      <c r="T65" s="17"/>
      <c r="U65" s="17"/>
      <c r="V65" s="17"/>
      <c r="W65" s="17"/>
      <c r="X65" s="17"/>
      <c r="Y65" s="17"/>
      <c r="Z65" s="17"/>
      <c r="AA65" s="17"/>
      <c r="AB65" s="17"/>
      <c r="AC65" s="17"/>
      <c r="AD65" s="17"/>
      <c r="AE65" s="17"/>
      <c r="AF65" s="17"/>
      <c r="AG65" s="17"/>
      <c r="AH65" s="17"/>
      <c r="AI65" s="17"/>
      <c r="AJ65" s="17"/>
      <c r="AK65" s="17"/>
      <c r="AL65" s="17"/>
      <c r="AM65" s="17"/>
      <c r="AN65" s="17"/>
      <c r="AO65" s="17"/>
      <c r="AP65" s="17"/>
      <c r="AQ65" s="17"/>
      <c r="AR65" t="s">
        <v>379</v>
      </c>
      <c r="AS65" t="s">
        <v>380</v>
      </c>
      <c r="AW65" t="s">
        <v>890</v>
      </c>
      <c r="AX65" t="s">
        <v>891</v>
      </c>
      <c r="AY65" s="8" t="s">
        <v>252</v>
      </c>
      <c r="AZ65" t="s">
        <v>384</v>
      </c>
      <c r="BA65" t="s">
        <v>892</v>
      </c>
      <c r="BB65" t="s">
        <v>893</v>
      </c>
      <c r="BC65" t="s">
        <v>380</v>
      </c>
      <c r="BD65" t="s">
        <v>380</v>
      </c>
      <c r="BE65" t="s">
        <v>380</v>
      </c>
      <c r="BF65" t="s">
        <v>380</v>
      </c>
      <c r="BG65">
        <v>33.665552599999998</v>
      </c>
      <c r="BH65">
        <v>-117.8726473</v>
      </c>
      <c r="BI65" t="s">
        <v>894</v>
      </c>
      <c r="BJ65" t="s">
        <v>895</v>
      </c>
      <c r="BK65" t="s">
        <v>254</v>
      </c>
      <c r="BL65" t="s">
        <v>389</v>
      </c>
      <c r="BN65" t="s">
        <v>896</v>
      </c>
      <c r="BO65" t="s">
        <v>391</v>
      </c>
      <c r="BP65">
        <v>-480</v>
      </c>
      <c r="BQ65" t="s">
        <v>897</v>
      </c>
      <c r="BR65" t="s">
        <v>898</v>
      </c>
      <c r="BS65">
        <v>4.8</v>
      </c>
      <c r="BT65">
        <v>5</v>
      </c>
    </row>
    <row r="66" spans="1:72" ht="15.75" x14ac:dyDescent="0.25">
      <c r="A66">
        <v>614</v>
      </c>
      <c r="B66" t="s">
        <v>256</v>
      </c>
      <c r="C66" t="s">
        <v>901</v>
      </c>
      <c r="F66" t="s">
        <v>257</v>
      </c>
      <c r="G66" t="s">
        <v>61</v>
      </c>
      <c r="H66" t="s">
        <v>221</v>
      </c>
      <c r="I66" t="s">
        <v>43</v>
      </c>
      <c r="J66" s="21">
        <v>92707</v>
      </c>
      <c r="K66" t="s">
        <v>44</v>
      </c>
      <c r="M66" s="15" t="s">
        <v>1261</v>
      </c>
      <c r="N66" s="17"/>
      <c r="O66" s="17"/>
      <c r="P66" s="17"/>
      <c r="Q66" s="17"/>
      <c r="R66" s="17"/>
      <c r="S66" s="17"/>
      <c r="T66" s="17"/>
      <c r="U66" s="17"/>
      <c r="V66" s="17"/>
      <c r="W66" s="17"/>
      <c r="X66" s="17"/>
      <c r="Y66" s="17"/>
      <c r="Z66" s="17"/>
      <c r="AA66" s="17"/>
      <c r="AB66" s="17"/>
      <c r="AC66" s="17"/>
      <c r="AD66" s="17"/>
      <c r="AE66" s="17"/>
      <c r="AF66" s="17"/>
      <c r="AG66" s="17"/>
      <c r="AH66" s="17"/>
      <c r="AI66" s="17"/>
      <c r="AJ66" s="17"/>
      <c r="AK66" s="17"/>
      <c r="AL66" s="17"/>
      <c r="AM66" s="17"/>
      <c r="AN66" s="17"/>
      <c r="AO66" s="17"/>
      <c r="AP66" s="17"/>
      <c r="AQ66" s="17"/>
      <c r="AR66" t="s">
        <v>379</v>
      </c>
      <c r="AT66" t="s">
        <v>380</v>
      </c>
      <c r="AW66" t="s">
        <v>899</v>
      </c>
      <c r="AX66" t="s">
        <v>900</v>
      </c>
      <c r="AY66" s="8" t="s">
        <v>901</v>
      </c>
      <c r="AZ66" t="s">
        <v>384</v>
      </c>
      <c r="BA66" t="s">
        <v>902</v>
      </c>
      <c r="BB66" t="s">
        <v>903</v>
      </c>
      <c r="BC66" t="s">
        <v>380</v>
      </c>
      <c r="BD66" t="s">
        <v>380</v>
      </c>
      <c r="BE66" t="s">
        <v>380</v>
      </c>
      <c r="BF66" t="s">
        <v>380</v>
      </c>
      <c r="BG66">
        <v>33.674228599999999</v>
      </c>
      <c r="BH66">
        <v>-117.87282329999999</v>
      </c>
      <c r="BI66" t="s">
        <v>904</v>
      </c>
      <c r="BJ66" t="s">
        <v>905</v>
      </c>
      <c r="BK66" t="s">
        <v>906</v>
      </c>
      <c r="BL66" t="s">
        <v>389</v>
      </c>
      <c r="BN66" t="s">
        <v>907</v>
      </c>
      <c r="BO66" t="s">
        <v>414</v>
      </c>
      <c r="BP66">
        <v>-480</v>
      </c>
      <c r="BQ66" t="s">
        <v>908</v>
      </c>
      <c r="BR66" t="s">
        <v>909</v>
      </c>
      <c r="BS66">
        <v>4.8</v>
      </c>
      <c r="BT66">
        <v>5</v>
      </c>
    </row>
    <row r="67" spans="1:72" ht="15.75" x14ac:dyDescent="0.25">
      <c r="A67">
        <v>615</v>
      </c>
      <c r="B67" t="s">
        <v>258</v>
      </c>
      <c r="F67" t="s">
        <v>259</v>
      </c>
      <c r="G67" t="s">
        <v>61</v>
      </c>
      <c r="H67" t="s">
        <v>221</v>
      </c>
      <c r="I67" t="s">
        <v>43</v>
      </c>
      <c r="J67" s="21">
        <v>92707</v>
      </c>
      <c r="K67" t="s">
        <v>44</v>
      </c>
      <c r="N67" s="17"/>
      <c r="O67" s="17"/>
      <c r="P67" s="17"/>
      <c r="Q67" s="17"/>
      <c r="R67" s="17"/>
      <c r="S67" s="17"/>
      <c r="T67" s="17"/>
      <c r="U67" s="17"/>
      <c r="V67" s="17"/>
      <c r="W67" s="17"/>
      <c r="X67" s="17"/>
      <c r="Y67" s="17"/>
      <c r="Z67" s="17"/>
      <c r="AA67" s="17"/>
      <c r="AB67" s="17"/>
      <c r="AC67" s="17"/>
      <c r="AD67" s="17"/>
      <c r="AE67" s="17"/>
      <c r="AF67" s="17"/>
      <c r="AG67" s="17"/>
      <c r="AH67" s="17"/>
      <c r="AI67" s="17"/>
      <c r="AJ67" s="17"/>
      <c r="AK67" s="17"/>
      <c r="AL67" s="17"/>
      <c r="AM67" s="17"/>
      <c r="AN67" s="17"/>
      <c r="AO67" s="17"/>
      <c r="AP67" s="17"/>
      <c r="AQ67" s="17"/>
      <c r="AR67" t="s">
        <v>379</v>
      </c>
      <c r="AT67" t="s">
        <v>380</v>
      </c>
      <c r="AW67" t="s">
        <v>910</v>
      </c>
      <c r="AX67" t="s">
        <v>911</v>
      </c>
      <c r="AY67" s="8" t="s">
        <v>912</v>
      </c>
      <c r="AZ67" t="s">
        <v>384</v>
      </c>
      <c r="BA67" t="s">
        <v>913</v>
      </c>
      <c r="BB67" t="s">
        <v>914</v>
      </c>
      <c r="BD67" t="s">
        <v>380</v>
      </c>
      <c r="BE67" t="s">
        <v>380</v>
      </c>
      <c r="BF67" t="s">
        <v>380</v>
      </c>
      <c r="BG67">
        <v>33.666092800000001</v>
      </c>
      <c r="BH67">
        <v>-117.8718956</v>
      </c>
      <c r="BI67" t="s">
        <v>915</v>
      </c>
      <c r="BJ67" t="s">
        <v>916</v>
      </c>
      <c r="BK67" t="s">
        <v>917</v>
      </c>
      <c r="BL67" t="s">
        <v>412</v>
      </c>
      <c r="BN67" t="s">
        <v>918</v>
      </c>
      <c r="BO67" t="s">
        <v>414</v>
      </c>
      <c r="BP67">
        <v>-480</v>
      </c>
      <c r="BQ67" t="s">
        <v>919</v>
      </c>
      <c r="BR67" t="s">
        <v>920</v>
      </c>
      <c r="BS67">
        <v>3.9</v>
      </c>
      <c r="BT67">
        <v>5</v>
      </c>
    </row>
    <row r="68" spans="1:72" ht="15.75" x14ac:dyDescent="0.25">
      <c r="A68">
        <v>617</v>
      </c>
      <c r="B68" t="s">
        <v>260</v>
      </c>
      <c r="F68" t="s">
        <v>261</v>
      </c>
      <c r="G68" t="s">
        <v>61</v>
      </c>
      <c r="H68" t="s">
        <v>230</v>
      </c>
      <c r="I68" t="s">
        <v>43</v>
      </c>
      <c r="J68" s="21">
        <v>92707</v>
      </c>
      <c r="K68" t="s">
        <v>44</v>
      </c>
      <c r="N68" s="17"/>
      <c r="O68" s="17"/>
      <c r="P68" s="17"/>
      <c r="Q68" s="17"/>
      <c r="R68" s="17"/>
      <c r="S68" s="17"/>
      <c r="T68" s="17"/>
      <c r="U68" s="17"/>
      <c r="V68" s="17"/>
      <c r="W68" s="17"/>
      <c r="X68" s="17"/>
      <c r="Y68" s="17"/>
      <c r="Z68" s="17"/>
      <c r="AA68" s="17"/>
      <c r="AB68" s="17"/>
      <c r="AC68" s="17"/>
      <c r="AD68" s="17"/>
      <c r="AE68" s="17"/>
      <c r="AF68" s="17"/>
      <c r="AG68" s="17"/>
      <c r="AH68" s="17"/>
      <c r="AI68" s="17"/>
      <c r="AJ68" s="17"/>
      <c r="AK68" s="17"/>
      <c r="AL68" s="17"/>
      <c r="AM68" s="17"/>
      <c r="AN68" s="17"/>
      <c r="AO68" s="17"/>
      <c r="AP68" s="17"/>
      <c r="AQ68" s="17"/>
      <c r="AR68" t="s">
        <v>379</v>
      </c>
      <c r="AT68" t="s">
        <v>380</v>
      </c>
      <c r="AW68" t="s">
        <v>921</v>
      </c>
      <c r="AX68" t="s">
        <v>922</v>
      </c>
      <c r="AY68" s="8" t="s">
        <v>923</v>
      </c>
      <c r="AZ68" t="s">
        <v>384</v>
      </c>
      <c r="BA68" t="s">
        <v>924</v>
      </c>
      <c r="BB68" t="s">
        <v>925</v>
      </c>
      <c r="BD68" t="s">
        <v>380</v>
      </c>
      <c r="BE68" t="s">
        <v>380</v>
      </c>
      <c r="BF68" t="s">
        <v>380</v>
      </c>
      <c r="BG68">
        <v>33.6744828</v>
      </c>
      <c r="BH68">
        <v>-117.8724982</v>
      </c>
      <c r="BI68" t="s">
        <v>926</v>
      </c>
      <c r="BJ68" t="s">
        <v>927</v>
      </c>
      <c r="BK68" t="s">
        <v>928</v>
      </c>
      <c r="BL68" t="s">
        <v>389</v>
      </c>
      <c r="BN68" t="s">
        <v>929</v>
      </c>
      <c r="BO68" t="s">
        <v>391</v>
      </c>
      <c r="BP68">
        <v>-480</v>
      </c>
      <c r="BQ68" t="s">
        <v>930</v>
      </c>
      <c r="BR68" t="s">
        <v>931</v>
      </c>
      <c r="BS68">
        <v>3.2</v>
      </c>
      <c r="BT68">
        <v>5</v>
      </c>
    </row>
    <row r="69" spans="1:72" ht="15.75" x14ac:dyDescent="0.25">
      <c r="A69">
        <v>618</v>
      </c>
      <c r="B69" t="s">
        <v>258</v>
      </c>
      <c r="F69" t="s">
        <v>259</v>
      </c>
      <c r="G69" t="s">
        <v>61</v>
      </c>
      <c r="H69" t="s">
        <v>221</v>
      </c>
      <c r="I69" t="s">
        <v>43</v>
      </c>
      <c r="J69" s="21">
        <v>92707</v>
      </c>
      <c r="K69" t="s">
        <v>44</v>
      </c>
      <c r="N69" s="17"/>
      <c r="O69" s="17"/>
      <c r="P69" s="17"/>
      <c r="Q69" s="17"/>
      <c r="R69" s="17"/>
      <c r="S69" s="17"/>
      <c r="T69" s="17"/>
      <c r="U69" s="17"/>
      <c r="V69" s="17"/>
      <c r="W69" s="17"/>
      <c r="X69" s="17"/>
      <c r="Y69" s="17"/>
      <c r="Z69" s="17"/>
      <c r="AA69" s="17"/>
      <c r="AB69" s="17"/>
      <c r="AC69" s="17"/>
      <c r="AD69" s="17"/>
      <c r="AE69" s="17"/>
      <c r="AF69" s="17"/>
      <c r="AG69" s="17"/>
      <c r="AH69" s="17"/>
      <c r="AI69" s="17"/>
      <c r="AJ69" s="17"/>
      <c r="AK69" s="17"/>
      <c r="AL69" s="17"/>
      <c r="AM69" s="17"/>
      <c r="AN69" s="17"/>
      <c r="AO69" s="17"/>
      <c r="AP69" s="17"/>
      <c r="AQ69" s="17"/>
      <c r="AR69" t="s">
        <v>379</v>
      </c>
      <c r="AT69" t="s">
        <v>380</v>
      </c>
      <c r="AW69" t="s">
        <v>910</v>
      </c>
      <c r="AX69" t="s">
        <v>911</v>
      </c>
      <c r="AY69" s="8" t="s">
        <v>912</v>
      </c>
      <c r="AZ69" t="s">
        <v>384</v>
      </c>
      <c r="BA69" t="s">
        <v>913</v>
      </c>
      <c r="BB69" t="s">
        <v>914</v>
      </c>
      <c r="BD69" t="s">
        <v>380</v>
      </c>
      <c r="BE69" t="s">
        <v>380</v>
      </c>
      <c r="BF69" t="s">
        <v>380</v>
      </c>
      <c r="BG69">
        <v>33.666092800000001</v>
      </c>
      <c r="BH69">
        <v>-117.8718956</v>
      </c>
      <c r="BI69" t="s">
        <v>915</v>
      </c>
      <c r="BJ69" t="s">
        <v>916</v>
      </c>
      <c r="BK69" t="s">
        <v>917</v>
      </c>
      <c r="BL69" t="s">
        <v>412</v>
      </c>
      <c r="BN69" t="s">
        <v>918</v>
      </c>
      <c r="BO69" t="s">
        <v>414</v>
      </c>
      <c r="BP69">
        <v>-480</v>
      </c>
      <c r="BQ69" t="s">
        <v>919</v>
      </c>
      <c r="BR69" t="s">
        <v>920</v>
      </c>
      <c r="BS69">
        <v>3.9</v>
      </c>
      <c r="BT69">
        <v>5</v>
      </c>
    </row>
    <row r="70" spans="1:72" ht="15.75" x14ac:dyDescent="0.25">
      <c r="A70">
        <v>619</v>
      </c>
      <c r="B70" t="s">
        <v>262</v>
      </c>
      <c r="F70" t="s">
        <v>263</v>
      </c>
      <c r="G70" t="s">
        <v>61</v>
      </c>
      <c r="H70" t="s">
        <v>264</v>
      </c>
      <c r="I70" t="s">
        <v>43</v>
      </c>
      <c r="J70" s="21">
        <v>90405</v>
      </c>
      <c r="K70" t="s">
        <v>44</v>
      </c>
      <c r="M70" s="17" t="s">
        <v>942</v>
      </c>
      <c r="N70" s="17"/>
      <c r="O70" s="17"/>
      <c r="P70" s="17"/>
      <c r="Q70" s="17"/>
      <c r="R70" s="17"/>
      <c r="S70" s="17"/>
      <c r="T70" s="17"/>
      <c r="U70" s="17"/>
      <c r="V70" s="17"/>
      <c r="W70" s="17"/>
      <c r="X70" s="17"/>
      <c r="Y70" s="17"/>
      <c r="Z70" s="17"/>
      <c r="AA70" s="17"/>
      <c r="AB70" s="17"/>
      <c r="AC70" s="17"/>
      <c r="AD70" s="17"/>
      <c r="AE70" s="17"/>
      <c r="AF70" s="17"/>
      <c r="AG70" s="17"/>
      <c r="AH70" s="17"/>
      <c r="AI70" s="17"/>
      <c r="AJ70" s="17"/>
      <c r="AK70" s="17"/>
      <c r="AL70" s="17"/>
      <c r="AM70" s="17"/>
      <c r="AN70" s="17"/>
      <c r="AO70" s="17"/>
      <c r="AP70" s="17"/>
      <c r="AQ70" s="17"/>
      <c r="AR70" t="s">
        <v>379</v>
      </c>
      <c r="AT70" t="s">
        <v>380</v>
      </c>
      <c r="AW70" t="s">
        <v>932</v>
      </c>
      <c r="AX70" t="s">
        <v>933</v>
      </c>
      <c r="AY70" s="8" t="s">
        <v>934</v>
      </c>
      <c r="AZ70" t="s">
        <v>384</v>
      </c>
      <c r="BA70" t="s">
        <v>935</v>
      </c>
      <c r="BB70" t="s">
        <v>936</v>
      </c>
      <c r="BC70" t="s">
        <v>380</v>
      </c>
      <c r="BD70" t="s">
        <v>380</v>
      </c>
      <c r="BE70" t="s">
        <v>380</v>
      </c>
      <c r="BF70" t="s">
        <v>380</v>
      </c>
      <c r="BG70">
        <v>34.012643099999998</v>
      </c>
      <c r="BH70">
        <v>-118.4522867</v>
      </c>
      <c r="BI70" t="s">
        <v>937</v>
      </c>
      <c r="BJ70" t="s">
        <v>938</v>
      </c>
      <c r="BK70" t="s">
        <v>939</v>
      </c>
      <c r="BL70" t="s">
        <v>389</v>
      </c>
      <c r="BN70" t="s">
        <v>940</v>
      </c>
      <c r="BO70" t="s">
        <v>391</v>
      </c>
      <c r="BP70">
        <v>-480</v>
      </c>
      <c r="BQ70" t="s">
        <v>941</v>
      </c>
      <c r="BR70" t="s">
        <v>942</v>
      </c>
      <c r="BS70">
        <v>5</v>
      </c>
      <c r="BT70">
        <v>4</v>
      </c>
    </row>
    <row r="71" spans="1:72" ht="15.75" x14ac:dyDescent="0.25">
      <c r="A71">
        <v>661</v>
      </c>
      <c r="B71" t="s">
        <v>307</v>
      </c>
      <c r="F71" t="s">
        <v>308</v>
      </c>
      <c r="H71" t="s">
        <v>272</v>
      </c>
      <c r="I71" t="s">
        <v>43</v>
      </c>
      <c r="J71" s="21" t="s">
        <v>273</v>
      </c>
      <c r="K71" t="s">
        <v>44</v>
      </c>
      <c r="L71" t="s">
        <v>309</v>
      </c>
      <c r="M71" s="17" t="s">
        <v>310</v>
      </c>
      <c r="N71" s="17"/>
      <c r="O71" s="17"/>
      <c r="P71" s="17"/>
      <c r="Q71" s="17"/>
      <c r="R71" s="17"/>
      <c r="S71" s="17"/>
      <c r="T71" s="17"/>
      <c r="U71" s="17"/>
      <c r="V71" s="17"/>
      <c r="W71" s="17"/>
      <c r="X71" s="17"/>
      <c r="Y71" s="17"/>
      <c r="Z71" s="17"/>
      <c r="AA71" s="17"/>
      <c r="AB71" s="17"/>
      <c r="AC71" s="17"/>
      <c r="AD71" s="17"/>
      <c r="AE71" s="17"/>
      <c r="AF71" s="17"/>
      <c r="AG71" s="17"/>
      <c r="AH71" s="17"/>
      <c r="AI71" s="17"/>
      <c r="AJ71" s="17"/>
      <c r="AK71" s="17"/>
      <c r="AL71" s="17"/>
      <c r="AM71" s="17"/>
      <c r="AN71" s="17"/>
      <c r="AO71" s="17"/>
      <c r="AP71" s="17"/>
      <c r="AQ71" s="17"/>
      <c r="AR71" t="s">
        <v>379</v>
      </c>
      <c r="AS71" t="s">
        <v>380</v>
      </c>
      <c r="AW71" t="s">
        <v>1069</v>
      </c>
      <c r="AX71" t="s">
        <v>1070</v>
      </c>
      <c r="AY71" s="8" t="s">
        <v>1071</v>
      </c>
      <c r="AZ71" t="s">
        <v>384</v>
      </c>
      <c r="BA71" t="s">
        <v>1072</v>
      </c>
      <c r="BB71" t="s">
        <v>1073</v>
      </c>
      <c r="BC71" t="s">
        <v>611</v>
      </c>
      <c r="BD71" t="s">
        <v>380</v>
      </c>
      <c r="BE71" t="s">
        <v>380</v>
      </c>
      <c r="BF71" t="s">
        <v>380</v>
      </c>
      <c r="BG71">
        <v>34.205508100000003</v>
      </c>
      <c r="BH71">
        <v>-118.4942037</v>
      </c>
      <c r="BI71" t="s">
        <v>1074</v>
      </c>
      <c r="BJ71" t="s">
        <v>1075</v>
      </c>
      <c r="BK71" t="s">
        <v>309</v>
      </c>
      <c r="BL71" t="s">
        <v>389</v>
      </c>
      <c r="BN71" t="s">
        <v>1076</v>
      </c>
      <c r="BO71" t="s">
        <v>391</v>
      </c>
      <c r="BP71">
        <v>-480</v>
      </c>
      <c r="BQ71" t="s">
        <v>1077</v>
      </c>
      <c r="BR71" t="s">
        <v>1078</v>
      </c>
      <c r="BS71">
        <v>5</v>
      </c>
      <c r="BT71">
        <v>2</v>
      </c>
    </row>
    <row r="72" spans="1:72" ht="15.75" x14ac:dyDescent="0.25">
      <c r="A72">
        <v>682</v>
      </c>
      <c r="B72" t="s">
        <v>358</v>
      </c>
      <c r="F72" t="s">
        <v>359</v>
      </c>
      <c r="G72" t="s">
        <v>61</v>
      </c>
      <c r="H72" t="s">
        <v>267</v>
      </c>
      <c r="I72" t="s">
        <v>43</v>
      </c>
      <c r="J72" s="21">
        <v>91406</v>
      </c>
      <c r="K72" t="s">
        <v>44</v>
      </c>
      <c r="N72" s="17"/>
      <c r="O72" s="17"/>
      <c r="P72" s="17"/>
      <c r="Q72" s="17"/>
      <c r="R72" s="17"/>
      <c r="S72" s="17"/>
      <c r="T72" s="17"/>
      <c r="U72" s="17"/>
      <c r="V72" s="17"/>
      <c r="W72" s="17"/>
      <c r="X72" s="17"/>
      <c r="Y72" s="17"/>
      <c r="Z72" s="17"/>
      <c r="AA72" s="17"/>
      <c r="AB72" s="17"/>
      <c r="AC72" s="17"/>
      <c r="AD72" s="17"/>
      <c r="AE72" s="17"/>
      <c r="AF72" s="17"/>
      <c r="AG72" s="17"/>
      <c r="AH72" s="17"/>
      <c r="AI72" s="17"/>
      <c r="AJ72" s="17"/>
      <c r="AK72" s="17"/>
      <c r="AL72" s="17"/>
      <c r="AM72" s="17"/>
      <c r="AN72" s="17"/>
      <c r="AO72" s="17"/>
      <c r="AP72" s="17"/>
      <c r="AQ72" s="17"/>
      <c r="AR72" t="s">
        <v>379</v>
      </c>
      <c r="AT72" t="s">
        <v>380</v>
      </c>
      <c r="AW72" t="s">
        <v>1161</v>
      </c>
      <c r="AX72" t="s">
        <v>1138</v>
      </c>
      <c r="AY72" s="8" t="s">
        <v>1139</v>
      </c>
      <c r="AZ72" t="s">
        <v>384</v>
      </c>
      <c r="BA72" t="s">
        <v>1140</v>
      </c>
      <c r="BB72" t="s">
        <v>1141</v>
      </c>
      <c r="BD72" t="s">
        <v>380</v>
      </c>
      <c r="BE72" t="s">
        <v>380</v>
      </c>
      <c r="BF72" t="s">
        <v>380</v>
      </c>
      <c r="BG72">
        <v>34.203666200000001</v>
      </c>
      <c r="BH72">
        <v>-118.4922816</v>
      </c>
      <c r="BI72" t="s">
        <v>1142</v>
      </c>
      <c r="BJ72" t="s">
        <v>1143</v>
      </c>
      <c r="BK72" t="s">
        <v>1144</v>
      </c>
      <c r="BL72" t="s">
        <v>389</v>
      </c>
      <c r="BN72" t="s">
        <v>1145</v>
      </c>
      <c r="BO72" t="s">
        <v>414</v>
      </c>
      <c r="BP72">
        <v>-480</v>
      </c>
      <c r="BQ72" t="s">
        <v>1146</v>
      </c>
      <c r="BR72" t="s">
        <v>1147</v>
      </c>
      <c r="BT72" t="s">
        <v>61</v>
      </c>
    </row>
    <row r="73" spans="1:72" ht="15.75" x14ac:dyDescent="0.25">
      <c r="A73">
        <v>688</v>
      </c>
      <c r="B73" t="s">
        <v>368</v>
      </c>
      <c r="F73" t="s">
        <v>369</v>
      </c>
      <c r="G73" t="s">
        <v>61</v>
      </c>
      <c r="H73" t="s">
        <v>267</v>
      </c>
      <c r="I73" t="s">
        <v>43</v>
      </c>
      <c r="J73" s="21">
        <v>91406</v>
      </c>
      <c r="K73" t="s">
        <v>44</v>
      </c>
      <c r="N73" s="17"/>
      <c r="O73" s="17"/>
      <c r="P73" s="17"/>
      <c r="Q73" s="17"/>
      <c r="R73" s="17"/>
      <c r="S73" s="17"/>
      <c r="T73" s="17"/>
      <c r="U73" s="17"/>
      <c r="V73" s="17"/>
      <c r="W73" s="17"/>
      <c r="X73" s="17"/>
      <c r="Y73" s="17"/>
      <c r="Z73" s="17"/>
      <c r="AA73" s="17"/>
      <c r="AB73" s="17"/>
      <c r="AC73" s="17"/>
      <c r="AD73" s="17"/>
      <c r="AE73" s="17"/>
      <c r="AF73" s="17"/>
      <c r="AG73" s="17"/>
      <c r="AH73" s="17"/>
      <c r="AI73" s="17"/>
      <c r="AJ73" s="17"/>
      <c r="AK73" s="17"/>
      <c r="AL73" s="17"/>
      <c r="AM73" s="17"/>
      <c r="AN73" s="17"/>
      <c r="AO73" s="17"/>
      <c r="AP73" s="17"/>
      <c r="AQ73" s="17"/>
      <c r="AR73" t="s">
        <v>379</v>
      </c>
      <c r="AT73" t="s">
        <v>380</v>
      </c>
      <c r="AW73" t="s">
        <v>1194</v>
      </c>
      <c r="AX73" t="s">
        <v>1195</v>
      </c>
      <c r="AY73" s="8" t="s">
        <v>1196</v>
      </c>
      <c r="AZ73" t="s">
        <v>384</v>
      </c>
      <c r="BA73" t="s">
        <v>1197</v>
      </c>
      <c r="BB73" t="s">
        <v>1198</v>
      </c>
      <c r="BC73" t="s">
        <v>380</v>
      </c>
      <c r="BD73" t="s">
        <v>380</v>
      </c>
      <c r="BE73" t="s">
        <v>380</v>
      </c>
      <c r="BF73" t="s">
        <v>380</v>
      </c>
      <c r="BG73">
        <v>34.195292500000001</v>
      </c>
      <c r="BH73">
        <v>-118.49263209999999</v>
      </c>
      <c r="BI73" t="s">
        <v>1199</v>
      </c>
      <c r="BJ73" t="s">
        <v>1200</v>
      </c>
      <c r="BK73" t="s">
        <v>1201</v>
      </c>
      <c r="BL73" t="s">
        <v>412</v>
      </c>
      <c r="BN73" t="s">
        <v>1202</v>
      </c>
      <c r="BO73" t="s">
        <v>1089</v>
      </c>
      <c r="BP73">
        <v>-480</v>
      </c>
      <c r="BQ73" t="s">
        <v>1203</v>
      </c>
      <c r="BR73" t="s">
        <v>1204</v>
      </c>
      <c r="BS73">
        <v>5</v>
      </c>
      <c r="BT73">
        <v>4</v>
      </c>
    </row>
    <row r="74" spans="1:72" ht="15.75" x14ac:dyDescent="0.25">
      <c r="A74">
        <v>662</v>
      </c>
      <c r="B74" s="12" t="s">
        <v>311</v>
      </c>
      <c r="F74" t="s">
        <v>312</v>
      </c>
      <c r="H74" t="s">
        <v>272</v>
      </c>
      <c r="I74" t="s">
        <v>43</v>
      </c>
      <c r="J74" s="21" t="s">
        <v>313</v>
      </c>
      <c r="K74" t="s">
        <v>44</v>
      </c>
      <c r="L74" t="s">
        <v>314</v>
      </c>
      <c r="M74" s="17" t="s">
        <v>315</v>
      </c>
      <c r="N74" s="17"/>
      <c r="O74" s="17"/>
      <c r="P74" s="17"/>
      <c r="Q74" s="17"/>
      <c r="R74" s="17"/>
      <c r="S74" s="17"/>
      <c r="T74" s="17"/>
      <c r="U74" s="17"/>
      <c r="V74" s="17"/>
      <c r="W74" s="17"/>
      <c r="X74" s="17"/>
      <c r="Y74" s="17"/>
      <c r="Z74" s="17"/>
      <c r="AA74" s="17"/>
      <c r="AB74" s="17"/>
      <c r="AC74" s="17"/>
      <c r="AD74" s="17"/>
      <c r="AE74" s="17"/>
      <c r="AF74" s="17"/>
      <c r="AG74" s="17"/>
      <c r="AH74" s="17"/>
      <c r="AI74" s="17"/>
      <c r="AJ74" s="17"/>
      <c r="AK74" s="17"/>
      <c r="AL74" s="17"/>
      <c r="AM74" s="17"/>
      <c r="AN74" s="17"/>
      <c r="AO74" s="17"/>
      <c r="AP74" s="17"/>
      <c r="AQ74" s="17"/>
      <c r="AR74" t="s">
        <v>379</v>
      </c>
      <c r="AS74" t="s">
        <v>380</v>
      </c>
      <c r="AW74" t="s">
        <v>1079</v>
      </c>
      <c r="AX74" t="s">
        <v>1080</v>
      </c>
      <c r="AY74" s="8" t="s">
        <v>1081</v>
      </c>
      <c r="AZ74" t="s">
        <v>384</v>
      </c>
      <c r="BA74" t="s">
        <v>1082</v>
      </c>
      <c r="BB74" t="s">
        <v>1083</v>
      </c>
      <c r="BC74" t="s">
        <v>611</v>
      </c>
      <c r="BD74" t="s">
        <v>380</v>
      </c>
      <c r="BE74" t="s">
        <v>380</v>
      </c>
      <c r="BF74" t="s">
        <v>380</v>
      </c>
      <c r="BG74">
        <v>34.208528200000003</v>
      </c>
      <c r="BH74">
        <v>-118.4921351</v>
      </c>
      <c r="BI74" t="s">
        <v>1084</v>
      </c>
      <c r="BJ74" t="s">
        <v>1085</v>
      </c>
      <c r="BK74" t="s">
        <v>314</v>
      </c>
      <c r="BL74" t="s">
        <v>389</v>
      </c>
      <c r="BN74" t="s">
        <v>1008</v>
      </c>
      <c r="BO74" t="s">
        <v>391</v>
      </c>
      <c r="BP74">
        <v>-480</v>
      </c>
      <c r="BQ74" t="s">
        <v>1086</v>
      </c>
      <c r="BR74" t="s">
        <v>1087</v>
      </c>
      <c r="BS74">
        <v>5</v>
      </c>
      <c r="BT74">
        <v>1</v>
      </c>
    </row>
    <row r="75" spans="1:72" ht="15.75" x14ac:dyDescent="0.25">
      <c r="A75">
        <v>663</v>
      </c>
      <c r="B75" t="s">
        <v>316</v>
      </c>
      <c r="F75" t="s">
        <v>317</v>
      </c>
      <c r="H75" t="s">
        <v>272</v>
      </c>
      <c r="I75" t="s">
        <v>43</v>
      </c>
      <c r="J75" s="21" t="s">
        <v>318</v>
      </c>
      <c r="K75" t="s">
        <v>44</v>
      </c>
      <c r="L75" t="s">
        <v>319</v>
      </c>
      <c r="M75" s="17" t="s">
        <v>320</v>
      </c>
      <c r="N75" s="17"/>
      <c r="O75" s="17"/>
      <c r="P75" s="17"/>
      <c r="Q75" s="17"/>
      <c r="R75" s="17"/>
      <c r="S75" s="17"/>
      <c r="T75" s="17"/>
      <c r="U75" s="17"/>
      <c r="V75" s="17"/>
      <c r="W75" s="17"/>
      <c r="X75" s="17"/>
      <c r="Y75" s="17"/>
      <c r="Z75" s="17"/>
      <c r="AA75" s="17"/>
      <c r="AB75" s="17"/>
      <c r="AC75" s="17"/>
      <c r="AD75" s="17"/>
      <c r="AE75" s="17"/>
      <c r="AF75" s="17"/>
      <c r="AG75" s="17"/>
      <c r="AH75" s="17"/>
      <c r="AI75" s="17"/>
      <c r="AJ75" s="17"/>
      <c r="AK75" s="17"/>
      <c r="AL75" s="17"/>
      <c r="AM75" s="17"/>
      <c r="AN75" s="17"/>
      <c r="AO75" s="17"/>
      <c r="AP75" s="17"/>
      <c r="AQ75" s="17"/>
      <c r="AR75" t="s">
        <v>379</v>
      </c>
      <c r="AS75" t="s">
        <v>380</v>
      </c>
      <c r="AW75" t="s">
        <v>954</v>
      </c>
      <c r="AX75" t="s">
        <v>955</v>
      </c>
      <c r="AY75" s="8" t="s">
        <v>956</v>
      </c>
      <c r="AZ75" t="s">
        <v>384</v>
      </c>
      <c r="BA75" t="s">
        <v>957</v>
      </c>
      <c r="BB75" t="s">
        <v>958</v>
      </c>
      <c r="BC75" t="s">
        <v>380</v>
      </c>
      <c r="BD75" t="s">
        <v>380</v>
      </c>
      <c r="BE75" t="s">
        <v>380</v>
      </c>
      <c r="BF75" t="s">
        <v>380</v>
      </c>
      <c r="BG75">
        <v>34.20003779999999</v>
      </c>
      <c r="BH75">
        <v>-118.49208400000001</v>
      </c>
      <c r="BI75" t="s">
        <v>959</v>
      </c>
      <c r="BJ75" t="s">
        <v>960</v>
      </c>
      <c r="BK75" t="s">
        <v>319</v>
      </c>
      <c r="BL75" t="s">
        <v>389</v>
      </c>
      <c r="BN75" t="s">
        <v>961</v>
      </c>
      <c r="BO75" t="s">
        <v>391</v>
      </c>
      <c r="BP75">
        <v>-480</v>
      </c>
      <c r="BQ75" t="s">
        <v>962</v>
      </c>
      <c r="BR75" t="s">
        <v>963</v>
      </c>
      <c r="BT75" t="s">
        <v>61</v>
      </c>
    </row>
    <row r="76" spans="1:72" ht="15.75" x14ac:dyDescent="0.25">
      <c r="A76">
        <v>646</v>
      </c>
      <c r="B76" t="s">
        <v>269</v>
      </c>
      <c r="F76" t="s">
        <v>270</v>
      </c>
      <c r="G76" t="s">
        <v>271</v>
      </c>
      <c r="H76" t="s">
        <v>272</v>
      </c>
      <c r="I76" t="s">
        <v>43</v>
      </c>
      <c r="J76" s="21">
        <v>91406</v>
      </c>
      <c r="K76" t="s">
        <v>44</v>
      </c>
      <c r="L76" t="s">
        <v>274</v>
      </c>
      <c r="N76" s="17"/>
      <c r="O76" s="17"/>
      <c r="P76" s="17"/>
      <c r="Q76" s="17"/>
      <c r="R76" s="17"/>
      <c r="S76" s="17"/>
      <c r="T76" s="17"/>
      <c r="U76" s="17"/>
      <c r="V76" s="17"/>
      <c r="W76" s="17"/>
      <c r="X76" s="17"/>
      <c r="Y76" s="17"/>
      <c r="Z76" s="17"/>
      <c r="AA76" s="17"/>
      <c r="AB76" s="17"/>
      <c r="AC76" s="17"/>
      <c r="AD76" s="17"/>
      <c r="AE76" s="17"/>
      <c r="AF76" s="17"/>
      <c r="AG76" s="17"/>
      <c r="AH76" s="17"/>
      <c r="AI76" s="17"/>
      <c r="AJ76" s="17"/>
      <c r="AK76" s="17"/>
      <c r="AL76" s="17"/>
      <c r="AM76" s="17"/>
      <c r="AN76" s="17"/>
      <c r="AO76" s="17"/>
      <c r="AP76" s="17"/>
      <c r="AQ76" s="17"/>
      <c r="AR76" t="s">
        <v>379</v>
      </c>
      <c r="AS76" t="s">
        <v>380</v>
      </c>
      <c r="AW76" t="s">
        <v>954</v>
      </c>
      <c r="AX76" t="s">
        <v>955</v>
      </c>
      <c r="AY76" s="8" t="s">
        <v>956</v>
      </c>
      <c r="AZ76" t="s">
        <v>384</v>
      </c>
      <c r="BA76" t="s">
        <v>957</v>
      </c>
      <c r="BB76" t="s">
        <v>958</v>
      </c>
      <c r="BC76" t="s">
        <v>380</v>
      </c>
      <c r="BD76" t="s">
        <v>380</v>
      </c>
      <c r="BE76" t="s">
        <v>380</v>
      </c>
      <c r="BF76" t="s">
        <v>380</v>
      </c>
      <c r="BG76">
        <v>34.20003779999999</v>
      </c>
      <c r="BH76">
        <v>-118.49208400000001</v>
      </c>
      <c r="BI76" t="s">
        <v>959</v>
      </c>
      <c r="BJ76" t="s">
        <v>960</v>
      </c>
      <c r="BK76" t="s">
        <v>319</v>
      </c>
      <c r="BL76" t="s">
        <v>389</v>
      </c>
      <c r="BN76" t="s">
        <v>961</v>
      </c>
      <c r="BO76" t="s">
        <v>391</v>
      </c>
      <c r="BP76">
        <v>-480</v>
      </c>
      <c r="BQ76" t="s">
        <v>962</v>
      </c>
      <c r="BR76" t="s">
        <v>963</v>
      </c>
      <c r="BT76" t="s">
        <v>61</v>
      </c>
    </row>
    <row r="77" spans="1:72" ht="15.75" x14ac:dyDescent="0.25">
      <c r="A77">
        <v>664</v>
      </c>
      <c r="B77" t="s">
        <v>321</v>
      </c>
      <c r="F77" t="s">
        <v>322</v>
      </c>
      <c r="H77" t="s">
        <v>272</v>
      </c>
      <c r="I77" t="s">
        <v>43</v>
      </c>
      <c r="J77" s="21" t="s">
        <v>323</v>
      </c>
      <c r="K77" t="s">
        <v>44</v>
      </c>
      <c r="L77" t="s">
        <v>324</v>
      </c>
      <c r="M77" s="17" t="s">
        <v>325</v>
      </c>
      <c r="N77" s="17"/>
      <c r="O77" s="17"/>
      <c r="P77" s="17"/>
      <c r="Q77" s="17"/>
      <c r="R77" s="17"/>
      <c r="S77" s="17"/>
      <c r="T77" s="17"/>
      <c r="U77" s="17"/>
      <c r="V77" s="17"/>
      <c r="W77" s="17"/>
      <c r="X77" s="17"/>
      <c r="Y77" s="17"/>
      <c r="Z77" s="17"/>
      <c r="AA77" s="17"/>
      <c r="AB77" s="17"/>
      <c r="AC77" s="17"/>
      <c r="AD77" s="17"/>
      <c r="AE77" s="17"/>
      <c r="AF77" s="17"/>
      <c r="AG77" s="17"/>
      <c r="AH77" s="17"/>
      <c r="AI77" s="17"/>
      <c r="AJ77" s="17"/>
      <c r="AK77" s="17"/>
      <c r="AL77" s="17"/>
      <c r="AM77" s="17"/>
      <c r="AN77" s="17"/>
      <c r="AO77" s="17"/>
      <c r="AP77" s="17"/>
      <c r="AQ77" s="17"/>
      <c r="AR77" t="s">
        <v>379</v>
      </c>
      <c r="AS77" t="s">
        <v>380</v>
      </c>
      <c r="AW77" t="s">
        <v>964</v>
      </c>
      <c r="AX77" t="s">
        <v>965</v>
      </c>
      <c r="AY77" s="8" t="s">
        <v>966</v>
      </c>
      <c r="AZ77" t="s">
        <v>384</v>
      </c>
      <c r="BA77" t="s">
        <v>967</v>
      </c>
      <c r="BB77" t="s">
        <v>968</v>
      </c>
      <c r="BC77" t="s">
        <v>380</v>
      </c>
      <c r="BD77" t="s">
        <v>380</v>
      </c>
      <c r="BE77" t="s">
        <v>380</v>
      </c>
      <c r="BF77" t="s">
        <v>380</v>
      </c>
      <c r="BG77">
        <v>34.205997900000007</v>
      </c>
      <c r="BH77">
        <v>-118.4864597</v>
      </c>
      <c r="BI77" t="s">
        <v>969</v>
      </c>
      <c r="BJ77" t="s">
        <v>970</v>
      </c>
      <c r="BK77" t="s">
        <v>324</v>
      </c>
      <c r="BL77" t="s">
        <v>389</v>
      </c>
      <c r="BN77" t="s">
        <v>971</v>
      </c>
      <c r="BO77" t="s">
        <v>414</v>
      </c>
      <c r="BP77">
        <v>-480</v>
      </c>
      <c r="BQ77" t="s">
        <v>972</v>
      </c>
      <c r="BR77" t="s">
        <v>973</v>
      </c>
      <c r="BS77">
        <v>3.9</v>
      </c>
      <c r="BT77">
        <v>5</v>
      </c>
    </row>
    <row r="78" spans="1:72" ht="15.75" x14ac:dyDescent="0.25">
      <c r="A78">
        <v>648</v>
      </c>
      <c r="B78" t="s">
        <v>164</v>
      </c>
      <c r="F78" t="s">
        <v>275</v>
      </c>
      <c r="H78" t="s">
        <v>272</v>
      </c>
      <c r="I78" t="s">
        <v>43</v>
      </c>
      <c r="J78" s="21" t="s">
        <v>273</v>
      </c>
      <c r="K78" t="s">
        <v>44</v>
      </c>
      <c r="L78" t="s">
        <v>276</v>
      </c>
      <c r="N78" s="17"/>
      <c r="O78" s="17"/>
      <c r="P78" s="17"/>
      <c r="Q78" s="17"/>
      <c r="R78" s="17"/>
      <c r="S78" s="17"/>
      <c r="T78" s="17"/>
      <c r="U78" s="17"/>
      <c r="V78" s="17"/>
      <c r="W78" s="17"/>
      <c r="X78" s="17"/>
      <c r="Y78" s="17"/>
      <c r="Z78" s="17"/>
      <c r="AA78" s="17"/>
      <c r="AB78" s="17"/>
      <c r="AC78" s="17"/>
      <c r="AD78" s="17"/>
      <c r="AE78" s="17"/>
      <c r="AF78" s="17"/>
      <c r="AG78" s="17"/>
      <c r="AH78" s="17"/>
      <c r="AI78" s="17"/>
      <c r="AJ78" s="17"/>
      <c r="AK78" s="17"/>
      <c r="AL78" s="17"/>
      <c r="AM78" s="17"/>
      <c r="AN78" s="17"/>
      <c r="AO78" s="17"/>
      <c r="AP78" s="17"/>
      <c r="AQ78" s="17"/>
      <c r="AR78" t="s">
        <v>379</v>
      </c>
      <c r="AS78" t="s">
        <v>380</v>
      </c>
      <c r="AW78" t="s">
        <v>964</v>
      </c>
      <c r="AX78" t="s">
        <v>965</v>
      </c>
      <c r="AY78" s="8" t="s">
        <v>966</v>
      </c>
      <c r="AZ78" t="s">
        <v>384</v>
      </c>
      <c r="BA78" t="s">
        <v>967</v>
      </c>
      <c r="BB78" t="s">
        <v>968</v>
      </c>
      <c r="BC78" t="s">
        <v>380</v>
      </c>
      <c r="BD78" t="s">
        <v>380</v>
      </c>
      <c r="BE78" t="s">
        <v>380</v>
      </c>
      <c r="BF78" t="s">
        <v>380</v>
      </c>
      <c r="BG78">
        <v>34.205997900000007</v>
      </c>
      <c r="BH78">
        <v>-118.4864597</v>
      </c>
      <c r="BI78" t="s">
        <v>969</v>
      </c>
      <c r="BJ78" t="s">
        <v>970</v>
      </c>
      <c r="BK78" t="s">
        <v>324</v>
      </c>
      <c r="BL78" t="s">
        <v>389</v>
      </c>
      <c r="BN78" t="s">
        <v>971</v>
      </c>
      <c r="BO78" t="s">
        <v>414</v>
      </c>
      <c r="BP78">
        <v>-480</v>
      </c>
      <c r="BQ78" t="s">
        <v>972</v>
      </c>
      <c r="BR78" t="s">
        <v>973</v>
      </c>
      <c r="BS78">
        <v>3.9</v>
      </c>
      <c r="BT78">
        <v>5</v>
      </c>
    </row>
    <row r="79" spans="1:72" ht="15.75" x14ac:dyDescent="0.25">
      <c r="A79">
        <v>649</v>
      </c>
      <c r="B79" t="s">
        <v>277</v>
      </c>
      <c r="F79" t="s">
        <v>278</v>
      </c>
      <c r="G79" t="s">
        <v>90</v>
      </c>
      <c r="H79" t="s">
        <v>272</v>
      </c>
      <c r="I79" t="s">
        <v>43</v>
      </c>
      <c r="J79" s="21" t="s">
        <v>273</v>
      </c>
      <c r="K79" t="s">
        <v>44</v>
      </c>
      <c r="L79" t="s">
        <v>279</v>
      </c>
      <c r="N79" s="17"/>
      <c r="O79" s="17"/>
      <c r="P79" s="17"/>
      <c r="Q79" s="17"/>
      <c r="R79" s="17"/>
      <c r="S79" s="17"/>
      <c r="T79" s="17"/>
      <c r="U79" s="17"/>
      <c r="V79" s="17"/>
      <c r="W79" s="17"/>
      <c r="X79" s="17"/>
      <c r="Y79" s="17"/>
      <c r="Z79" s="17"/>
      <c r="AA79" s="17"/>
      <c r="AB79" s="17"/>
      <c r="AC79" s="17"/>
      <c r="AD79" s="17"/>
      <c r="AE79" s="17"/>
      <c r="AF79" s="17"/>
      <c r="AG79" s="17"/>
      <c r="AH79" s="17"/>
      <c r="AI79" s="17"/>
      <c r="AJ79" s="17"/>
      <c r="AK79" s="17"/>
      <c r="AL79" s="17"/>
      <c r="AM79" s="17"/>
      <c r="AN79" s="17"/>
      <c r="AO79" s="17"/>
      <c r="AP79" s="17"/>
      <c r="AQ79" s="17"/>
      <c r="AR79" t="s">
        <v>379</v>
      </c>
      <c r="AS79" t="s">
        <v>380</v>
      </c>
      <c r="AW79" t="s">
        <v>974</v>
      </c>
      <c r="AX79" t="s">
        <v>975</v>
      </c>
      <c r="AY79" s="8" t="s">
        <v>277</v>
      </c>
      <c r="AZ79" t="s">
        <v>384</v>
      </c>
      <c r="BA79" t="s">
        <v>976</v>
      </c>
      <c r="BB79" t="s">
        <v>977</v>
      </c>
      <c r="BC79" t="s">
        <v>380</v>
      </c>
      <c r="BD79" t="s">
        <v>380</v>
      </c>
      <c r="BE79" t="s">
        <v>380</v>
      </c>
      <c r="BF79" t="s">
        <v>380</v>
      </c>
      <c r="BG79">
        <v>34.201490000000007</v>
      </c>
      <c r="BH79">
        <v>-118.49177899999999</v>
      </c>
      <c r="BI79" t="s">
        <v>978</v>
      </c>
      <c r="BJ79" t="s">
        <v>979</v>
      </c>
      <c r="BK79" t="s">
        <v>327</v>
      </c>
      <c r="BL79" t="s">
        <v>389</v>
      </c>
      <c r="BN79" t="s">
        <v>980</v>
      </c>
      <c r="BO79" t="s">
        <v>391</v>
      </c>
      <c r="BP79">
        <v>-480</v>
      </c>
      <c r="BQ79" t="s">
        <v>981</v>
      </c>
      <c r="BR79" t="s">
        <v>328</v>
      </c>
      <c r="BS79">
        <v>5</v>
      </c>
      <c r="BT79">
        <v>2</v>
      </c>
    </row>
    <row r="80" spans="1:72" ht="15.75" x14ac:dyDescent="0.25">
      <c r="A80">
        <v>665</v>
      </c>
      <c r="B80" t="s">
        <v>277</v>
      </c>
      <c r="F80" t="s">
        <v>326</v>
      </c>
      <c r="H80" t="s">
        <v>272</v>
      </c>
      <c r="I80" t="s">
        <v>43</v>
      </c>
      <c r="J80" s="21" t="s">
        <v>273</v>
      </c>
      <c r="K80" t="s">
        <v>44</v>
      </c>
      <c r="L80" t="s">
        <v>327</v>
      </c>
      <c r="M80" s="17" t="s">
        <v>328</v>
      </c>
      <c r="N80" s="17"/>
      <c r="O80" s="17"/>
      <c r="P80" s="17"/>
      <c r="Q80" s="17"/>
      <c r="R80" s="17"/>
      <c r="S80" s="17"/>
      <c r="T80" s="17"/>
      <c r="U80" s="17"/>
      <c r="V80" s="17"/>
      <c r="W80" s="17"/>
      <c r="X80" s="17"/>
      <c r="Y80" s="17"/>
      <c r="Z80" s="17"/>
      <c r="AA80" s="17"/>
      <c r="AB80" s="17"/>
      <c r="AC80" s="17"/>
      <c r="AD80" s="17"/>
      <c r="AE80" s="17"/>
      <c r="AF80" s="17"/>
      <c r="AG80" s="17"/>
      <c r="AH80" s="17"/>
      <c r="AI80" s="17"/>
      <c r="AJ80" s="17"/>
      <c r="AK80" s="17"/>
      <c r="AL80" s="17"/>
      <c r="AM80" s="17"/>
      <c r="AN80" s="17"/>
      <c r="AO80" s="17"/>
      <c r="AP80" s="17"/>
      <c r="AQ80" s="17"/>
      <c r="AR80" t="s">
        <v>379</v>
      </c>
      <c r="AS80" t="s">
        <v>380</v>
      </c>
      <c r="AW80" t="s">
        <v>974</v>
      </c>
      <c r="AX80" t="s">
        <v>975</v>
      </c>
      <c r="AY80" s="8" t="s">
        <v>277</v>
      </c>
      <c r="AZ80" t="s">
        <v>384</v>
      </c>
      <c r="BA80" t="s">
        <v>976</v>
      </c>
      <c r="BB80" t="s">
        <v>977</v>
      </c>
      <c r="BC80" t="s">
        <v>611</v>
      </c>
      <c r="BD80" t="s">
        <v>380</v>
      </c>
      <c r="BE80" t="s">
        <v>380</v>
      </c>
      <c r="BF80" t="s">
        <v>380</v>
      </c>
      <c r="BG80">
        <v>34.201490000000007</v>
      </c>
      <c r="BH80">
        <v>-118.49177899999999</v>
      </c>
      <c r="BI80" t="s">
        <v>978</v>
      </c>
      <c r="BJ80" t="s">
        <v>979</v>
      </c>
      <c r="BK80" t="s">
        <v>327</v>
      </c>
      <c r="BL80" t="s">
        <v>389</v>
      </c>
      <c r="BN80" t="s">
        <v>980</v>
      </c>
      <c r="BO80" t="s">
        <v>391</v>
      </c>
      <c r="BP80">
        <v>-480</v>
      </c>
      <c r="BQ80" t="s">
        <v>981</v>
      </c>
      <c r="BR80" t="s">
        <v>328</v>
      </c>
      <c r="BS80">
        <v>5</v>
      </c>
      <c r="BT80">
        <v>2</v>
      </c>
    </row>
    <row r="81" spans="1:72" ht="15.75" x14ac:dyDescent="0.25">
      <c r="A81">
        <v>697</v>
      </c>
      <c r="B81" t="s">
        <v>377</v>
      </c>
      <c r="F81" t="s">
        <v>378</v>
      </c>
      <c r="G81" t="s">
        <v>61</v>
      </c>
      <c r="H81" t="s">
        <v>267</v>
      </c>
      <c r="I81" t="s">
        <v>43</v>
      </c>
      <c r="J81" s="21">
        <v>91406</v>
      </c>
      <c r="K81" t="s">
        <v>44</v>
      </c>
      <c r="N81" s="17"/>
      <c r="O81" s="17"/>
      <c r="P81" s="17"/>
      <c r="Q81" s="17"/>
      <c r="R81" s="17"/>
      <c r="S81" s="17"/>
      <c r="T81" s="17"/>
      <c r="U81" s="17"/>
      <c r="V81" s="17"/>
      <c r="W81" s="17"/>
      <c r="X81" s="17"/>
      <c r="Y81" s="17"/>
      <c r="Z81" s="17"/>
      <c r="AA81" s="17"/>
      <c r="AB81" s="17"/>
      <c r="AC81" s="17"/>
      <c r="AD81" s="17"/>
      <c r="AE81" s="17"/>
      <c r="AF81" s="17"/>
      <c r="AG81" s="17"/>
      <c r="AH81" s="17"/>
      <c r="AI81" s="17"/>
      <c r="AJ81" s="17"/>
      <c r="AK81" s="17"/>
      <c r="AL81" s="17"/>
      <c r="AM81" s="17"/>
      <c r="AN81" s="17"/>
      <c r="AO81" s="17"/>
      <c r="AP81" s="17"/>
      <c r="AQ81" s="17"/>
      <c r="AR81" t="s">
        <v>379</v>
      </c>
      <c r="AT81" t="s">
        <v>380</v>
      </c>
      <c r="AW81" t="s">
        <v>1237</v>
      </c>
      <c r="AX81" t="s">
        <v>1238</v>
      </c>
      <c r="AY81" s="8" t="s">
        <v>1239</v>
      </c>
      <c r="AZ81" t="s">
        <v>384</v>
      </c>
      <c r="BA81" t="s">
        <v>1240</v>
      </c>
      <c r="BB81" t="s">
        <v>1241</v>
      </c>
      <c r="BC81" t="s">
        <v>380</v>
      </c>
      <c r="BD81" t="s">
        <v>380</v>
      </c>
      <c r="BE81" t="s">
        <v>380</v>
      </c>
      <c r="BF81" t="s">
        <v>380</v>
      </c>
      <c r="BG81">
        <v>34.2158011</v>
      </c>
      <c r="BH81">
        <v>-118.4842428</v>
      </c>
      <c r="BI81" t="s">
        <v>1242</v>
      </c>
      <c r="BJ81" t="s">
        <v>1243</v>
      </c>
      <c r="BK81" t="s">
        <v>1244</v>
      </c>
      <c r="BL81" t="s">
        <v>389</v>
      </c>
      <c r="BN81" t="s">
        <v>1245</v>
      </c>
      <c r="BO81" t="s">
        <v>391</v>
      </c>
      <c r="BP81">
        <v>-480</v>
      </c>
      <c r="BQ81" t="s">
        <v>1246</v>
      </c>
      <c r="BR81" t="s">
        <v>1247</v>
      </c>
      <c r="BS81">
        <v>5</v>
      </c>
      <c r="BT81">
        <v>1</v>
      </c>
    </row>
    <row r="82" spans="1:72" ht="15.75" x14ac:dyDescent="0.25">
      <c r="A82">
        <v>666</v>
      </c>
      <c r="B82" t="s">
        <v>329</v>
      </c>
      <c r="F82" t="s">
        <v>330</v>
      </c>
      <c r="H82" t="s">
        <v>272</v>
      </c>
      <c r="I82" t="s">
        <v>43</v>
      </c>
      <c r="J82" s="21" t="s">
        <v>273</v>
      </c>
      <c r="K82" t="s">
        <v>44</v>
      </c>
      <c r="L82" t="s">
        <v>331</v>
      </c>
      <c r="N82" s="17"/>
      <c r="O82" s="17"/>
      <c r="P82" s="17"/>
      <c r="Q82" s="17"/>
      <c r="R82" s="17"/>
      <c r="S82" s="17"/>
      <c r="T82" s="17"/>
      <c r="U82" s="17"/>
      <c r="V82" s="17"/>
      <c r="W82" s="17"/>
      <c r="X82" s="17"/>
      <c r="Y82" s="17"/>
      <c r="Z82" s="17"/>
      <c r="AA82" s="17"/>
      <c r="AB82" s="17"/>
      <c r="AC82" s="17"/>
      <c r="AD82" s="17"/>
      <c r="AE82" s="17"/>
      <c r="AF82" s="17"/>
      <c r="AG82" s="17"/>
      <c r="AH82" s="17"/>
      <c r="AI82" s="17"/>
      <c r="AJ82" s="17"/>
      <c r="AK82" s="17"/>
      <c r="AL82" s="17"/>
      <c r="AM82" s="17"/>
      <c r="AN82" s="17"/>
      <c r="AO82" s="17"/>
      <c r="AP82" s="17"/>
      <c r="AQ82" s="17"/>
      <c r="AR82" t="s">
        <v>379</v>
      </c>
      <c r="AS82" t="s">
        <v>380</v>
      </c>
      <c r="AW82" t="s">
        <v>1088</v>
      </c>
      <c r="AX82" t="s">
        <v>1090</v>
      </c>
      <c r="AY82" s="8" t="s">
        <v>1091</v>
      </c>
      <c r="AZ82" t="s">
        <v>384</v>
      </c>
      <c r="BA82" t="s">
        <v>1092</v>
      </c>
      <c r="BB82" t="s">
        <v>1093</v>
      </c>
      <c r="BC82" t="s">
        <v>380</v>
      </c>
      <c r="BD82" t="s">
        <v>380</v>
      </c>
      <c r="BE82" t="s">
        <v>380</v>
      </c>
      <c r="BF82" t="s">
        <v>380</v>
      </c>
      <c r="BG82">
        <v>34.208191800000009</v>
      </c>
      <c r="BH82">
        <v>-118.48447779999999</v>
      </c>
      <c r="BI82" t="s">
        <v>1094</v>
      </c>
      <c r="BJ82" t="s">
        <v>1095</v>
      </c>
      <c r="BK82" t="s">
        <v>331</v>
      </c>
      <c r="BL82" t="s">
        <v>412</v>
      </c>
      <c r="BN82" t="s">
        <v>1096</v>
      </c>
      <c r="BO82" t="s">
        <v>1089</v>
      </c>
      <c r="BP82">
        <v>-480</v>
      </c>
      <c r="BQ82" t="s">
        <v>1097</v>
      </c>
      <c r="BR82" t="s">
        <v>1098</v>
      </c>
      <c r="BS82">
        <v>5</v>
      </c>
      <c r="BT82">
        <v>2</v>
      </c>
    </row>
    <row r="83" spans="1:72" ht="15.75" x14ac:dyDescent="0.25">
      <c r="A83">
        <v>681</v>
      </c>
      <c r="B83" t="s">
        <v>357</v>
      </c>
      <c r="F83" t="s">
        <v>330</v>
      </c>
      <c r="G83" t="s">
        <v>61</v>
      </c>
      <c r="H83" t="s">
        <v>272</v>
      </c>
      <c r="I83" t="s">
        <v>43</v>
      </c>
      <c r="J83" s="21">
        <v>91406</v>
      </c>
      <c r="K83" t="s">
        <v>44</v>
      </c>
      <c r="N83" s="17"/>
      <c r="O83" s="17"/>
      <c r="P83" s="17"/>
      <c r="Q83" s="17"/>
      <c r="R83" s="17"/>
      <c r="S83" s="17"/>
      <c r="T83" s="17"/>
      <c r="U83" s="17"/>
      <c r="V83" s="17"/>
      <c r="W83" s="17"/>
      <c r="X83" s="17"/>
      <c r="Y83" s="17"/>
      <c r="Z83" s="17"/>
      <c r="AA83" s="17"/>
      <c r="AB83" s="17"/>
      <c r="AC83" s="17"/>
      <c r="AD83" s="17"/>
      <c r="AE83" s="17"/>
      <c r="AF83" s="17"/>
      <c r="AG83" s="17"/>
      <c r="AH83" s="17"/>
      <c r="AI83" s="17"/>
      <c r="AJ83" s="17"/>
      <c r="AK83" s="17"/>
      <c r="AL83" s="17"/>
      <c r="AM83" s="17"/>
      <c r="AN83" s="17"/>
      <c r="AO83" s="17"/>
      <c r="AP83" s="17"/>
      <c r="AQ83" s="17"/>
      <c r="AR83" t="s">
        <v>379</v>
      </c>
      <c r="AT83" t="s">
        <v>380</v>
      </c>
      <c r="AW83" t="s">
        <v>1158</v>
      </c>
      <c r="AX83" t="s">
        <v>1159</v>
      </c>
      <c r="AY83" s="8" t="s">
        <v>1091</v>
      </c>
      <c r="AZ83" t="s">
        <v>384</v>
      </c>
      <c r="BA83" t="s">
        <v>1092</v>
      </c>
      <c r="BB83" t="s">
        <v>1160</v>
      </c>
      <c r="BC83" t="s">
        <v>380</v>
      </c>
      <c r="BD83" t="s">
        <v>380</v>
      </c>
      <c r="BE83" t="s">
        <v>380</v>
      </c>
      <c r="BF83" t="s">
        <v>380</v>
      </c>
      <c r="BG83">
        <v>34.208191800000002</v>
      </c>
      <c r="BH83">
        <v>-118.48447779999999</v>
      </c>
      <c r="BI83" t="s">
        <v>1094</v>
      </c>
      <c r="BJ83" t="s">
        <v>1095</v>
      </c>
      <c r="BK83" t="s">
        <v>331</v>
      </c>
      <c r="BL83" t="s">
        <v>412</v>
      </c>
      <c r="BN83" t="s">
        <v>1096</v>
      </c>
      <c r="BO83" t="s">
        <v>1089</v>
      </c>
      <c r="BP83">
        <v>-480</v>
      </c>
      <c r="BQ83" t="s">
        <v>1097</v>
      </c>
      <c r="BR83" t="s">
        <v>1098</v>
      </c>
      <c r="BS83">
        <v>5</v>
      </c>
      <c r="BT83">
        <v>2</v>
      </c>
    </row>
    <row r="84" spans="1:72" ht="15.75" x14ac:dyDescent="0.25">
      <c r="A84">
        <v>650</v>
      </c>
      <c r="B84" t="s">
        <v>280</v>
      </c>
      <c r="F84" t="s">
        <v>281</v>
      </c>
      <c r="G84" t="s">
        <v>282</v>
      </c>
      <c r="H84" t="s">
        <v>272</v>
      </c>
      <c r="I84" t="s">
        <v>43</v>
      </c>
      <c r="J84" s="21" t="s">
        <v>273</v>
      </c>
      <c r="K84" t="s">
        <v>44</v>
      </c>
      <c r="N84" s="17"/>
      <c r="O84" s="17"/>
      <c r="P84" s="17"/>
      <c r="Q84" s="17"/>
      <c r="R84" s="17"/>
      <c r="S84" s="17"/>
      <c r="T84" s="17"/>
      <c r="U84" s="17"/>
      <c r="V84" s="17"/>
      <c r="W84" s="17"/>
      <c r="X84" s="17"/>
      <c r="Y84" s="17"/>
      <c r="Z84" s="17"/>
      <c r="AA84" s="17"/>
      <c r="AB84" s="17"/>
      <c r="AC84" s="17"/>
      <c r="AD84" s="17"/>
      <c r="AE84" s="17"/>
      <c r="AF84" s="17"/>
      <c r="AG84" s="17"/>
      <c r="AH84" s="17"/>
      <c r="AI84" s="17"/>
      <c r="AJ84" s="17"/>
      <c r="AK84" s="17"/>
      <c r="AL84" s="17"/>
      <c r="AM84" s="17"/>
      <c r="AN84" s="17"/>
      <c r="AO84" s="17"/>
      <c r="AP84" s="17"/>
      <c r="AQ84" s="17"/>
      <c r="AR84" t="s">
        <v>379</v>
      </c>
      <c r="AT84" t="s">
        <v>380</v>
      </c>
      <c r="AW84" t="s">
        <v>982</v>
      </c>
      <c r="AX84" t="s">
        <v>983</v>
      </c>
      <c r="AY84" s="8" t="s">
        <v>984</v>
      </c>
      <c r="AZ84" t="s">
        <v>384</v>
      </c>
      <c r="BA84" t="s">
        <v>985</v>
      </c>
      <c r="BB84" t="s">
        <v>986</v>
      </c>
      <c r="BC84" t="s">
        <v>611</v>
      </c>
      <c r="BD84" t="s">
        <v>380</v>
      </c>
      <c r="BE84" t="s">
        <v>380</v>
      </c>
      <c r="BF84" t="s">
        <v>380</v>
      </c>
      <c r="BG84">
        <v>34.206030599999998</v>
      </c>
      <c r="BH84">
        <v>-118.4927402</v>
      </c>
      <c r="BI84" t="s">
        <v>987</v>
      </c>
      <c r="BJ84" t="s">
        <v>988</v>
      </c>
      <c r="BK84" t="s">
        <v>989</v>
      </c>
      <c r="BL84" t="s">
        <v>389</v>
      </c>
      <c r="BN84" t="s">
        <v>990</v>
      </c>
      <c r="BO84" t="s">
        <v>391</v>
      </c>
      <c r="BP84">
        <v>-480</v>
      </c>
      <c r="BQ84" t="s">
        <v>991</v>
      </c>
      <c r="BR84" t="s">
        <v>992</v>
      </c>
      <c r="BS84">
        <v>5</v>
      </c>
      <c r="BT84">
        <v>1</v>
      </c>
    </row>
    <row r="85" spans="1:72" ht="15.75" x14ac:dyDescent="0.25">
      <c r="A85">
        <v>686</v>
      </c>
      <c r="B85" t="s">
        <v>364</v>
      </c>
      <c r="F85" t="s">
        <v>365</v>
      </c>
      <c r="G85" t="s">
        <v>61</v>
      </c>
      <c r="H85" t="s">
        <v>267</v>
      </c>
      <c r="I85" t="s">
        <v>43</v>
      </c>
      <c r="J85" s="21">
        <v>91406</v>
      </c>
      <c r="K85" t="s">
        <v>44</v>
      </c>
      <c r="N85" s="17"/>
      <c r="O85" s="17"/>
      <c r="P85" s="17"/>
      <c r="Q85" s="17"/>
      <c r="R85" s="17"/>
      <c r="S85" s="17"/>
      <c r="T85" s="17"/>
      <c r="U85" s="17"/>
      <c r="V85" s="17"/>
      <c r="W85" s="17"/>
      <c r="X85" s="17"/>
      <c r="Y85" s="17"/>
      <c r="Z85" s="17"/>
      <c r="AA85" s="17"/>
      <c r="AB85" s="17"/>
      <c r="AC85" s="17"/>
      <c r="AD85" s="17"/>
      <c r="AE85" s="17"/>
      <c r="AF85" s="17"/>
      <c r="AG85" s="17"/>
      <c r="AH85" s="17"/>
      <c r="AI85" s="17"/>
      <c r="AJ85" s="17"/>
      <c r="AK85" s="17"/>
      <c r="AL85" s="17"/>
      <c r="AM85" s="17"/>
      <c r="AN85" s="17"/>
      <c r="AO85" s="17"/>
      <c r="AP85" s="17"/>
      <c r="AQ85" s="17"/>
      <c r="AR85" t="s">
        <v>379</v>
      </c>
      <c r="AT85" t="s">
        <v>380</v>
      </c>
      <c r="AW85" t="s">
        <v>1173</v>
      </c>
      <c r="AX85" t="s">
        <v>1175</v>
      </c>
      <c r="AY85" s="8" t="s">
        <v>1176</v>
      </c>
      <c r="AZ85" t="s">
        <v>384</v>
      </c>
      <c r="BA85" t="s">
        <v>1177</v>
      </c>
      <c r="BB85" t="s">
        <v>1178</v>
      </c>
      <c r="BC85" t="s">
        <v>380</v>
      </c>
      <c r="BD85" t="s">
        <v>380</v>
      </c>
      <c r="BE85" t="s">
        <v>380</v>
      </c>
      <c r="BF85" t="s">
        <v>380</v>
      </c>
      <c r="BG85">
        <v>34.215257000000001</v>
      </c>
      <c r="BH85">
        <v>-118.487668</v>
      </c>
      <c r="BI85" t="s">
        <v>1179</v>
      </c>
      <c r="BJ85" t="s">
        <v>1180</v>
      </c>
      <c r="BK85" t="s">
        <v>1000</v>
      </c>
      <c r="BL85" t="s">
        <v>389</v>
      </c>
      <c r="BN85" t="s">
        <v>1001</v>
      </c>
      <c r="BO85" t="s">
        <v>1174</v>
      </c>
      <c r="BP85">
        <v>-480</v>
      </c>
      <c r="BQ85" t="s">
        <v>1002</v>
      </c>
      <c r="BR85" t="s">
        <v>1181</v>
      </c>
      <c r="BS85">
        <v>4.0999999999999996</v>
      </c>
      <c r="BT85">
        <v>5</v>
      </c>
    </row>
    <row r="86" spans="1:72" ht="15.75" x14ac:dyDescent="0.25">
      <c r="A86">
        <v>651</v>
      </c>
      <c r="B86" s="12" t="s">
        <v>283</v>
      </c>
      <c r="F86" t="s">
        <v>284</v>
      </c>
      <c r="H86" t="s">
        <v>272</v>
      </c>
      <c r="I86" t="s">
        <v>43</v>
      </c>
      <c r="J86" s="21" t="s">
        <v>273</v>
      </c>
      <c r="K86" t="s">
        <v>44</v>
      </c>
      <c r="L86" t="s">
        <v>285</v>
      </c>
      <c r="N86" s="17"/>
      <c r="O86" s="17"/>
      <c r="P86" s="17"/>
      <c r="Q86" s="17"/>
      <c r="R86" s="17"/>
      <c r="S86" s="17"/>
      <c r="T86" s="17"/>
      <c r="U86" s="17"/>
      <c r="V86" s="17"/>
      <c r="W86" s="17"/>
      <c r="X86" s="17"/>
      <c r="Y86" s="17"/>
      <c r="Z86" s="17"/>
      <c r="AA86" s="17"/>
      <c r="AB86" s="17"/>
      <c r="AC86" s="17"/>
      <c r="AD86" s="17"/>
      <c r="AE86" s="17"/>
      <c r="AF86" s="17"/>
      <c r="AG86" s="17"/>
      <c r="AH86" s="17"/>
      <c r="AI86" s="17"/>
      <c r="AJ86" s="17"/>
      <c r="AK86" s="17"/>
      <c r="AL86" s="17"/>
      <c r="AM86" s="17"/>
      <c r="AN86" s="17"/>
      <c r="AO86" s="17"/>
      <c r="AP86" s="17"/>
      <c r="AQ86" s="17"/>
      <c r="AR86" t="s">
        <v>379</v>
      </c>
      <c r="AS86" t="s">
        <v>380</v>
      </c>
      <c r="AW86" t="s">
        <v>993</v>
      </c>
      <c r="AX86" t="s">
        <v>994</v>
      </c>
      <c r="AY86" s="9" t="s">
        <v>995</v>
      </c>
      <c r="AZ86" t="s">
        <v>384</v>
      </c>
      <c r="BA86" t="s">
        <v>996</v>
      </c>
      <c r="BB86" t="s">
        <v>997</v>
      </c>
      <c r="BC86" t="s">
        <v>380</v>
      </c>
      <c r="BD86" t="s">
        <v>380</v>
      </c>
      <c r="BE86" t="s">
        <v>380</v>
      </c>
      <c r="BF86" t="s">
        <v>380</v>
      </c>
      <c r="BG86">
        <v>34.215312900000001</v>
      </c>
      <c r="BH86">
        <v>-118.487628</v>
      </c>
      <c r="BI86" t="s">
        <v>998</v>
      </c>
      <c r="BJ86" t="s">
        <v>999</v>
      </c>
      <c r="BK86" t="s">
        <v>1000</v>
      </c>
      <c r="BL86" t="s">
        <v>389</v>
      </c>
      <c r="BN86" t="s">
        <v>1001</v>
      </c>
      <c r="BO86" t="s">
        <v>391</v>
      </c>
      <c r="BP86">
        <v>-480</v>
      </c>
      <c r="BQ86" t="s">
        <v>1002</v>
      </c>
      <c r="BT86" t="s">
        <v>61</v>
      </c>
    </row>
    <row r="87" spans="1:72" ht="15.75" x14ac:dyDescent="0.25">
      <c r="A87">
        <v>652</v>
      </c>
      <c r="B87" s="12" t="s">
        <v>286</v>
      </c>
      <c r="F87" s="12" t="s">
        <v>1263</v>
      </c>
      <c r="H87" t="s">
        <v>272</v>
      </c>
      <c r="I87" t="s">
        <v>43</v>
      </c>
      <c r="J87" s="21" t="s">
        <v>273</v>
      </c>
      <c r="K87" t="s">
        <v>44</v>
      </c>
      <c r="L87" t="s">
        <v>288</v>
      </c>
      <c r="N87" s="17"/>
      <c r="O87" s="17"/>
      <c r="P87" s="17"/>
      <c r="Q87" s="17"/>
      <c r="R87" s="17"/>
      <c r="S87" s="17"/>
      <c r="T87" s="17"/>
      <c r="U87" s="17"/>
      <c r="V87" s="17"/>
      <c r="W87" s="17"/>
      <c r="X87" s="17"/>
      <c r="Y87" s="17"/>
      <c r="Z87" s="17"/>
      <c r="AA87" s="17"/>
      <c r="AB87" s="17"/>
      <c r="AC87" s="17"/>
      <c r="AD87" s="17"/>
      <c r="AE87" s="17"/>
      <c r="AF87" s="17"/>
      <c r="AG87" s="17"/>
      <c r="AH87" s="17"/>
      <c r="AI87" s="17"/>
      <c r="AJ87" s="17"/>
      <c r="AK87" s="17"/>
      <c r="AL87" s="17"/>
      <c r="AM87" s="17"/>
      <c r="AN87" s="17"/>
      <c r="AO87" s="17"/>
      <c r="AP87" s="17"/>
      <c r="AQ87" s="17"/>
      <c r="AR87" t="s">
        <v>379</v>
      </c>
      <c r="AT87" t="s">
        <v>380</v>
      </c>
      <c r="AW87" t="s">
        <v>1003</v>
      </c>
      <c r="AX87" t="s">
        <v>1004</v>
      </c>
      <c r="AY87" s="19" t="s">
        <v>311</v>
      </c>
      <c r="AZ87" t="s">
        <v>384</v>
      </c>
      <c r="BA87" t="s">
        <v>1005</v>
      </c>
      <c r="BB87" t="s">
        <v>986</v>
      </c>
      <c r="BC87" t="s">
        <v>380</v>
      </c>
      <c r="BD87" t="s">
        <v>380</v>
      </c>
      <c r="BE87" t="s">
        <v>380</v>
      </c>
      <c r="BF87" t="s">
        <v>380</v>
      </c>
      <c r="BG87">
        <v>34.206006199999997</v>
      </c>
      <c r="BH87">
        <v>-118.49255669999999</v>
      </c>
      <c r="BI87" t="s">
        <v>1006</v>
      </c>
      <c r="BJ87" t="s">
        <v>1007</v>
      </c>
      <c r="BK87" t="s">
        <v>314</v>
      </c>
      <c r="BL87" t="s">
        <v>389</v>
      </c>
      <c r="BN87" t="s">
        <v>1008</v>
      </c>
      <c r="BO87" t="s">
        <v>391</v>
      </c>
      <c r="BP87">
        <v>-480</v>
      </c>
      <c r="BQ87" t="s">
        <v>991</v>
      </c>
      <c r="BR87" t="s">
        <v>1009</v>
      </c>
      <c r="BS87">
        <v>4.5999999999999996</v>
      </c>
      <c r="BT87">
        <v>5</v>
      </c>
    </row>
    <row r="88" spans="1:72" ht="15.75" x14ac:dyDescent="0.25">
      <c r="A88">
        <v>653</v>
      </c>
      <c r="B88" t="s">
        <v>289</v>
      </c>
      <c r="F88" t="s">
        <v>290</v>
      </c>
      <c r="H88" t="s">
        <v>272</v>
      </c>
      <c r="I88" t="s">
        <v>43</v>
      </c>
      <c r="J88" s="21" t="s">
        <v>273</v>
      </c>
      <c r="K88" t="s">
        <v>44</v>
      </c>
      <c r="L88" t="s">
        <v>291</v>
      </c>
      <c r="N88" s="17"/>
      <c r="O88" s="17"/>
      <c r="P88" s="17"/>
      <c r="Q88" s="17"/>
      <c r="R88" s="17"/>
      <c r="S88" s="17"/>
      <c r="T88" s="17"/>
      <c r="U88" s="17"/>
      <c r="V88" s="17"/>
      <c r="W88" s="17"/>
      <c r="X88" s="17"/>
      <c r="Y88" s="17"/>
      <c r="Z88" s="17"/>
      <c r="AA88" s="17"/>
      <c r="AB88" s="17"/>
      <c r="AC88" s="17"/>
      <c r="AD88" s="17"/>
      <c r="AE88" s="17"/>
      <c r="AF88" s="17"/>
      <c r="AG88" s="17"/>
      <c r="AH88" s="17"/>
      <c r="AI88" s="17"/>
      <c r="AJ88" s="17"/>
      <c r="AK88" s="17"/>
      <c r="AL88" s="17"/>
      <c r="AM88" s="17"/>
      <c r="AN88" s="17"/>
      <c r="AO88" s="17"/>
      <c r="AP88" s="17"/>
      <c r="AQ88" s="17"/>
      <c r="AR88" t="s">
        <v>379</v>
      </c>
      <c r="AS88" t="s">
        <v>380</v>
      </c>
      <c r="AW88" t="s">
        <v>1010</v>
      </c>
      <c r="AX88" t="s">
        <v>1011</v>
      </c>
      <c r="AY88" s="8" t="s">
        <v>1012</v>
      </c>
      <c r="AZ88" t="s">
        <v>384</v>
      </c>
      <c r="BA88" t="s">
        <v>1013</v>
      </c>
      <c r="BB88" t="s">
        <v>1014</v>
      </c>
      <c r="BC88" t="s">
        <v>611</v>
      </c>
      <c r="BD88" t="s">
        <v>611</v>
      </c>
      <c r="BE88" t="s">
        <v>611</v>
      </c>
      <c r="BF88" t="s">
        <v>611</v>
      </c>
      <c r="BG88">
        <v>33.621288299999989</v>
      </c>
      <c r="BH88">
        <v>-111.9241632</v>
      </c>
      <c r="BI88" t="s">
        <v>1015</v>
      </c>
      <c r="BJ88" t="s">
        <v>1016</v>
      </c>
      <c r="BK88" t="s">
        <v>1017</v>
      </c>
      <c r="BL88" t="s">
        <v>389</v>
      </c>
      <c r="BN88" t="s">
        <v>1018</v>
      </c>
      <c r="BO88" t="s">
        <v>391</v>
      </c>
      <c r="BP88">
        <v>-420</v>
      </c>
      <c r="BQ88" t="s">
        <v>1019</v>
      </c>
      <c r="BR88" t="s">
        <v>1020</v>
      </c>
      <c r="BT88" t="s">
        <v>61</v>
      </c>
    </row>
    <row r="89" spans="1:72" x14ac:dyDescent="0.25">
      <c r="A89">
        <v>677</v>
      </c>
      <c r="B89" t="s">
        <v>351</v>
      </c>
      <c r="F89" s="12" t="s">
        <v>352</v>
      </c>
      <c r="G89" t="s">
        <v>353</v>
      </c>
      <c r="H89" t="s">
        <v>267</v>
      </c>
      <c r="I89" t="s">
        <v>43</v>
      </c>
      <c r="J89" s="21">
        <v>91406</v>
      </c>
      <c r="K89" t="s">
        <v>44</v>
      </c>
      <c r="M89" s="17" t="s">
        <v>1270</v>
      </c>
      <c r="N89" s="17"/>
      <c r="O89" s="17"/>
      <c r="P89" s="17"/>
      <c r="Q89" s="17"/>
      <c r="R89" s="17"/>
      <c r="S89" s="17"/>
      <c r="T89" s="17"/>
      <c r="U89" s="17"/>
      <c r="V89" s="17"/>
      <c r="W89" s="17"/>
      <c r="X89" s="17"/>
      <c r="Y89" s="17"/>
      <c r="Z89" s="17"/>
      <c r="AA89" s="17"/>
      <c r="AB89" s="17"/>
      <c r="AC89" s="17"/>
      <c r="AD89" s="17"/>
      <c r="AE89" s="17"/>
      <c r="AF89" s="17"/>
      <c r="AG89" s="17"/>
      <c r="AH89" s="17"/>
      <c r="AI89" s="17"/>
      <c r="AJ89" s="17"/>
      <c r="AK89" s="17"/>
      <c r="AL89" s="17"/>
      <c r="AM89" s="17"/>
      <c r="AN89" s="17"/>
      <c r="AO89" s="17"/>
      <c r="AP89" s="17"/>
      <c r="AQ89" s="17"/>
    </row>
    <row r="90" spans="1:72" ht="15.75" x14ac:dyDescent="0.25">
      <c r="A90">
        <v>667</v>
      </c>
      <c r="B90" t="s">
        <v>332</v>
      </c>
      <c r="F90" t="s">
        <v>333</v>
      </c>
      <c r="H90" t="s">
        <v>272</v>
      </c>
      <c r="I90" t="s">
        <v>43</v>
      </c>
      <c r="J90" s="21" t="s">
        <v>273</v>
      </c>
      <c r="K90" t="s">
        <v>44</v>
      </c>
      <c r="L90" t="s">
        <v>334</v>
      </c>
      <c r="M90" s="17" t="s">
        <v>335</v>
      </c>
      <c r="N90" s="17"/>
      <c r="O90" s="17"/>
      <c r="P90" s="17"/>
      <c r="Q90" s="17"/>
      <c r="R90" s="17"/>
      <c r="S90" s="17"/>
      <c r="T90" s="17"/>
      <c r="U90" s="17"/>
      <c r="V90" s="17"/>
      <c r="W90" s="17"/>
      <c r="X90" s="17"/>
      <c r="Y90" s="17"/>
      <c r="Z90" s="17"/>
      <c r="AA90" s="17"/>
      <c r="AB90" s="17"/>
      <c r="AC90" s="17"/>
      <c r="AD90" s="17"/>
      <c r="AE90" s="17"/>
      <c r="AF90" s="17"/>
      <c r="AG90" s="17"/>
      <c r="AH90" s="17"/>
      <c r="AI90" s="17"/>
      <c r="AJ90" s="17"/>
      <c r="AK90" s="17"/>
      <c r="AL90" s="17"/>
      <c r="AM90" s="17"/>
      <c r="AN90" s="17"/>
      <c r="AO90" s="17"/>
      <c r="AP90" s="17"/>
      <c r="AQ90" s="17"/>
      <c r="AR90" t="s">
        <v>379</v>
      </c>
      <c r="AS90" t="s">
        <v>380</v>
      </c>
      <c r="AW90" t="s">
        <v>1099</v>
      </c>
      <c r="AX90" t="s">
        <v>1100</v>
      </c>
      <c r="AY90" s="8" t="s">
        <v>1101</v>
      </c>
      <c r="AZ90" t="s">
        <v>384</v>
      </c>
      <c r="BA90" t="s">
        <v>1102</v>
      </c>
      <c r="BB90" t="s">
        <v>1103</v>
      </c>
      <c r="BC90" t="s">
        <v>611</v>
      </c>
      <c r="BD90" t="s">
        <v>380</v>
      </c>
      <c r="BE90" t="s">
        <v>380</v>
      </c>
      <c r="BF90" t="s">
        <v>380</v>
      </c>
      <c r="BG90">
        <v>34.2193483</v>
      </c>
      <c r="BH90">
        <v>-118.49613840000001</v>
      </c>
      <c r="BI90" t="s">
        <v>1104</v>
      </c>
      <c r="BJ90" t="s">
        <v>1105</v>
      </c>
      <c r="BK90" t="s">
        <v>334</v>
      </c>
      <c r="BL90" t="s">
        <v>389</v>
      </c>
      <c r="BN90" t="s">
        <v>1106</v>
      </c>
      <c r="BO90" t="s">
        <v>391</v>
      </c>
      <c r="BP90">
        <v>-480</v>
      </c>
      <c r="BQ90" t="s">
        <v>1107</v>
      </c>
      <c r="BR90" t="s">
        <v>1108</v>
      </c>
      <c r="BS90">
        <v>5</v>
      </c>
      <c r="BT90">
        <v>1</v>
      </c>
    </row>
    <row r="91" spans="1:72" ht="15.75" x14ac:dyDescent="0.25">
      <c r="A91">
        <v>668</v>
      </c>
      <c r="B91" t="s">
        <v>332</v>
      </c>
      <c r="F91" t="s">
        <v>333</v>
      </c>
      <c r="H91" t="s">
        <v>272</v>
      </c>
      <c r="I91" t="s">
        <v>43</v>
      </c>
      <c r="J91" s="21" t="s">
        <v>273</v>
      </c>
      <c r="K91" t="s">
        <v>44</v>
      </c>
      <c r="L91" t="s">
        <v>334</v>
      </c>
      <c r="M91" s="17" t="s">
        <v>335</v>
      </c>
      <c r="N91" s="17"/>
      <c r="O91" s="17"/>
      <c r="P91" s="17"/>
      <c r="Q91" s="17"/>
      <c r="R91" s="17"/>
      <c r="S91" s="17"/>
      <c r="T91" s="17"/>
      <c r="U91" s="17"/>
      <c r="V91" s="17"/>
      <c r="W91" s="17"/>
      <c r="X91" s="17"/>
      <c r="Y91" s="17"/>
      <c r="Z91" s="17"/>
      <c r="AA91" s="17"/>
      <c r="AB91" s="17"/>
      <c r="AC91" s="17"/>
      <c r="AD91" s="17"/>
      <c r="AE91" s="17"/>
      <c r="AF91" s="17"/>
      <c r="AG91" s="17"/>
      <c r="AH91" s="17"/>
      <c r="AI91" s="17"/>
      <c r="AJ91" s="17"/>
      <c r="AK91" s="17"/>
      <c r="AL91" s="17"/>
      <c r="AM91" s="17"/>
      <c r="AN91" s="17"/>
      <c r="AO91" s="17"/>
      <c r="AP91" s="17"/>
      <c r="AQ91" s="17"/>
      <c r="AR91" t="s">
        <v>379</v>
      </c>
      <c r="AS91" t="s">
        <v>380</v>
      </c>
      <c r="AW91" t="s">
        <v>1099</v>
      </c>
      <c r="AX91" t="s">
        <v>1100</v>
      </c>
      <c r="AY91" s="8" t="s">
        <v>1101</v>
      </c>
      <c r="AZ91" t="s">
        <v>384</v>
      </c>
      <c r="BA91" t="s">
        <v>1102</v>
      </c>
      <c r="BB91" t="s">
        <v>1103</v>
      </c>
      <c r="BC91" t="s">
        <v>611</v>
      </c>
      <c r="BD91" t="s">
        <v>380</v>
      </c>
      <c r="BE91" t="s">
        <v>380</v>
      </c>
      <c r="BF91" t="s">
        <v>380</v>
      </c>
      <c r="BG91">
        <v>34.2193483</v>
      </c>
      <c r="BH91">
        <v>-118.49613840000001</v>
      </c>
      <c r="BI91" t="s">
        <v>1104</v>
      </c>
      <c r="BJ91" t="s">
        <v>1105</v>
      </c>
      <c r="BK91" t="s">
        <v>334</v>
      </c>
      <c r="BL91" t="s">
        <v>389</v>
      </c>
      <c r="BN91" t="s">
        <v>1106</v>
      </c>
      <c r="BO91" t="s">
        <v>391</v>
      </c>
      <c r="BP91">
        <v>-480</v>
      </c>
      <c r="BQ91" t="s">
        <v>1107</v>
      </c>
      <c r="BR91" t="s">
        <v>1108</v>
      </c>
      <c r="BS91">
        <v>5</v>
      </c>
      <c r="BT91">
        <v>1</v>
      </c>
    </row>
    <row r="92" spans="1:72" ht="15.75" x14ac:dyDescent="0.25">
      <c r="A92">
        <v>687</v>
      </c>
      <c r="B92" t="s">
        <v>366</v>
      </c>
      <c r="F92" t="s">
        <v>367</v>
      </c>
      <c r="G92" t="s">
        <v>61</v>
      </c>
      <c r="H92" t="s">
        <v>267</v>
      </c>
      <c r="I92" t="s">
        <v>43</v>
      </c>
      <c r="J92" s="21">
        <v>91406</v>
      </c>
      <c r="K92" t="s">
        <v>44</v>
      </c>
      <c r="N92" s="17"/>
      <c r="O92" s="17"/>
      <c r="P92" s="17"/>
      <c r="Q92" s="17"/>
      <c r="R92" s="17"/>
      <c r="S92" s="17"/>
      <c r="T92" s="17"/>
      <c r="U92" s="17"/>
      <c r="V92" s="17"/>
      <c r="W92" s="17"/>
      <c r="X92" s="17"/>
      <c r="Y92" s="17"/>
      <c r="Z92" s="17"/>
      <c r="AA92" s="17"/>
      <c r="AB92" s="17"/>
      <c r="AC92" s="17"/>
      <c r="AD92" s="17"/>
      <c r="AE92" s="17"/>
      <c r="AF92" s="17"/>
      <c r="AG92" s="17"/>
      <c r="AH92" s="17"/>
      <c r="AI92" s="17"/>
      <c r="AJ92" s="17"/>
      <c r="AK92" s="17"/>
      <c r="AL92" s="17"/>
      <c r="AM92" s="17"/>
      <c r="AN92" s="17"/>
      <c r="AO92" s="17"/>
      <c r="AP92" s="17"/>
      <c r="AQ92" s="17"/>
      <c r="AR92" t="s">
        <v>379</v>
      </c>
      <c r="AT92" t="s">
        <v>380</v>
      </c>
      <c r="AW92" t="s">
        <v>1182</v>
      </c>
      <c r="AX92" t="s">
        <v>1184</v>
      </c>
      <c r="AY92" s="8" t="s">
        <v>1185</v>
      </c>
      <c r="AZ92" t="s">
        <v>384</v>
      </c>
      <c r="BA92" t="s">
        <v>1186</v>
      </c>
      <c r="BB92" t="s">
        <v>1187</v>
      </c>
      <c r="BC92" t="s">
        <v>380</v>
      </c>
      <c r="BD92" t="s">
        <v>380</v>
      </c>
      <c r="BE92" t="s">
        <v>380</v>
      </c>
      <c r="BF92" t="s">
        <v>380</v>
      </c>
      <c r="BG92">
        <v>34.203686400000002</v>
      </c>
      <c r="BH92">
        <v>-118.48455970000001</v>
      </c>
      <c r="BI92" t="s">
        <v>1188</v>
      </c>
      <c r="BJ92" t="s">
        <v>1189</v>
      </c>
      <c r="BK92" t="s">
        <v>1190</v>
      </c>
      <c r="BL92" t="s">
        <v>389</v>
      </c>
      <c r="BN92" t="s">
        <v>1191</v>
      </c>
      <c r="BO92" t="s">
        <v>1183</v>
      </c>
      <c r="BP92">
        <v>-480</v>
      </c>
      <c r="BQ92" t="s">
        <v>1192</v>
      </c>
      <c r="BR92" t="s">
        <v>1193</v>
      </c>
      <c r="BT92" t="s">
        <v>61</v>
      </c>
    </row>
    <row r="93" spans="1:72" ht="15.75" x14ac:dyDescent="0.25">
      <c r="A93">
        <v>645</v>
      </c>
      <c r="B93" t="s">
        <v>265</v>
      </c>
      <c r="F93" t="s">
        <v>266</v>
      </c>
      <c r="G93" t="s">
        <v>1262</v>
      </c>
      <c r="H93" t="s">
        <v>267</v>
      </c>
      <c r="I93" t="s">
        <v>43</v>
      </c>
      <c r="J93" s="21">
        <v>91406</v>
      </c>
      <c r="K93" t="s">
        <v>44</v>
      </c>
      <c r="L93" t="s">
        <v>268</v>
      </c>
      <c r="N93" s="17"/>
      <c r="O93" s="17"/>
      <c r="P93" s="17"/>
      <c r="Q93" s="17"/>
      <c r="R93" s="17"/>
      <c r="S93" s="17"/>
      <c r="T93" s="17"/>
      <c r="U93" s="17"/>
      <c r="V93" s="17"/>
      <c r="W93" s="17"/>
      <c r="X93" s="17"/>
      <c r="Y93" s="17"/>
      <c r="Z93" s="17"/>
      <c r="AA93" s="17"/>
      <c r="AB93" s="17"/>
      <c r="AC93" s="17"/>
      <c r="AD93" s="17"/>
      <c r="AE93" s="17"/>
      <c r="AF93" s="17"/>
      <c r="AG93" s="17"/>
      <c r="AH93" s="17"/>
      <c r="AI93" s="17"/>
      <c r="AJ93" s="17"/>
      <c r="AK93" s="17"/>
      <c r="AL93" s="17"/>
      <c r="AM93" s="17"/>
      <c r="AN93" s="17"/>
      <c r="AO93" s="17"/>
      <c r="AP93" s="17"/>
      <c r="AQ93" s="17"/>
      <c r="AR93" t="s">
        <v>379</v>
      </c>
      <c r="AS93" t="s">
        <v>380</v>
      </c>
      <c r="AW93" t="s">
        <v>943</v>
      </c>
      <c r="AX93" t="s">
        <v>944</v>
      </c>
      <c r="AY93" s="14" t="s">
        <v>945</v>
      </c>
      <c r="AZ93" t="s">
        <v>384</v>
      </c>
      <c r="BA93" t="s">
        <v>946</v>
      </c>
      <c r="BB93" t="s">
        <v>947</v>
      </c>
      <c r="BC93" t="s">
        <v>611</v>
      </c>
      <c r="BD93" t="s">
        <v>380</v>
      </c>
      <c r="BE93" t="s">
        <v>380</v>
      </c>
      <c r="BF93" t="s">
        <v>380</v>
      </c>
      <c r="BG93">
        <v>34.204097599999997</v>
      </c>
      <c r="BH93">
        <v>-118.4921482</v>
      </c>
      <c r="BI93" t="s">
        <v>948</v>
      </c>
      <c r="BJ93" t="s">
        <v>949</v>
      </c>
      <c r="BK93" t="s">
        <v>950</v>
      </c>
      <c r="BL93" t="s">
        <v>450</v>
      </c>
      <c r="BN93" t="s">
        <v>951</v>
      </c>
      <c r="BO93" t="s">
        <v>452</v>
      </c>
      <c r="BP93">
        <v>-480</v>
      </c>
      <c r="BQ93" t="s">
        <v>952</v>
      </c>
      <c r="BR93" t="s">
        <v>953</v>
      </c>
      <c r="BS93">
        <v>4.7</v>
      </c>
      <c r="BT93">
        <v>5</v>
      </c>
    </row>
    <row r="94" spans="1:72" ht="15.75" x14ac:dyDescent="0.25">
      <c r="A94">
        <v>679</v>
      </c>
      <c r="B94" t="s">
        <v>354</v>
      </c>
      <c r="F94" t="s">
        <v>355</v>
      </c>
      <c r="G94" t="s">
        <v>61</v>
      </c>
      <c r="H94" t="s">
        <v>267</v>
      </c>
      <c r="I94" t="s">
        <v>43</v>
      </c>
      <c r="J94" s="21">
        <v>91406</v>
      </c>
      <c r="K94" t="s">
        <v>44</v>
      </c>
      <c r="N94" s="17"/>
      <c r="O94" s="17"/>
      <c r="P94" s="17"/>
      <c r="Q94" s="17"/>
      <c r="R94" s="17"/>
      <c r="S94" s="17"/>
      <c r="T94" s="17"/>
      <c r="U94" s="17"/>
      <c r="V94" s="17"/>
      <c r="W94" s="17"/>
      <c r="X94" s="17"/>
      <c r="Y94" s="17"/>
      <c r="Z94" s="17"/>
      <c r="AA94" s="17"/>
      <c r="AB94" s="17"/>
      <c r="AC94" s="17"/>
      <c r="AD94" s="17"/>
      <c r="AE94" s="17"/>
      <c r="AF94" s="17"/>
      <c r="AG94" s="17"/>
      <c r="AH94" s="17"/>
      <c r="AI94" s="17"/>
      <c r="AJ94" s="17"/>
      <c r="AK94" s="17"/>
      <c r="AL94" s="17"/>
      <c r="AM94" s="17"/>
      <c r="AN94" s="17"/>
      <c r="AO94" s="17"/>
      <c r="AP94" s="17"/>
      <c r="AQ94" s="17"/>
      <c r="AR94" t="s">
        <v>379</v>
      </c>
      <c r="AT94" t="s">
        <v>380</v>
      </c>
      <c r="AW94" t="s">
        <v>1137</v>
      </c>
      <c r="AX94" t="s">
        <v>1138</v>
      </c>
      <c r="AY94" s="8" t="s">
        <v>1139</v>
      </c>
      <c r="AZ94" t="s">
        <v>384</v>
      </c>
      <c r="BA94" t="s">
        <v>1140</v>
      </c>
      <c r="BB94" t="s">
        <v>1141</v>
      </c>
      <c r="BD94" t="s">
        <v>380</v>
      </c>
      <c r="BE94" t="s">
        <v>380</v>
      </c>
      <c r="BF94" t="s">
        <v>380</v>
      </c>
      <c r="BG94">
        <v>34.203666200000001</v>
      </c>
      <c r="BH94">
        <v>-118.4922816</v>
      </c>
      <c r="BI94" t="s">
        <v>1142</v>
      </c>
      <c r="BJ94" t="s">
        <v>1143</v>
      </c>
      <c r="BK94" t="s">
        <v>1144</v>
      </c>
      <c r="BL94" t="s">
        <v>389</v>
      </c>
      <c r="BN94" t="s">
        <v>1145</v>
      </c>
      <c r="BO94" t="s">
        <v>414</v>
      </c>
      <c r="BP94">
        <v>-480</v>
      </c>
      <c r="BQ94" t="s">
        <v>1146</v>
      </c>
      <c r="BR94" t="s">
        <v>1147</v>
      </c>
      <c r="BT94" t="s">
        <v>61</v>
      </c>
    </row>
    <row r="95" spans="1:72" ht="15.75" x14ac:dyDescent="0.25">
      <c r="A95">
        <v>654</v>
      </c>
      <c r="B95" t="s">
        <v>292</v>
      </c>
      <c r="F95" t="s">
        <v>287</v>
      </c>
      <c r="G95" t="s">
        <v>293</v>
      </c>
      <c r="H95" t="s">
        <v>272</v>
      </c>
      <c r="I95" t="s">
        <v>43</v>
      </c>
      <c r="J95" s="21" t="s">
        <v>273</v>
      </c>
      <c r="K95" t="s">
        <v>44</v>
      </c>
      <c r="L95" t="s">
        <v>294</v>
      </c>
      <c r="N95" s="17"/>
      <c r="O95" s="17"/>
      <c r="P95" s="17"/>
      <c r="Q95" s="17"/>
      <c r="R95" s="17"/>
      <c r="S95" s="17"/>
      <c r="T95" s="17"/>
      <c r="U95" s="17"/>
      <c r="V95" s="17"/>
      <c r="W95" s="17"/>
      <c r="X95" s="17"/>
      <c r="Y95" s="17"/>
      <c r="Z95" s="17"/>
      <c r="AA95" s="17"/>
      <c r="AB95" s="17"/>
      <c r="AC95" s="17"/>
      <c r="AD95" s="17"/>
      <c r="AE95" s="17"/>
      <c r="AF95" s="17"/>
      <c r="AG95" s="17"/>
      <c r="AH95" s="17"/>
      <c r="AI95" s="17"/>
      <c r="AJ95" s="17"/>
      <c r="AK95" s="17"/>
      <c r="AL95" s="17"/>
      <c r="AM95" s="17"/>
      <c r="AN95" s="17"/>
      <c r="AO95" s="17"/>
      <c r="AP95" s="17"/>
      <c r="AQ95" s="17"/>
      <c r="AR95" t="s">
        <v>379</v>
      </c>
      <c r="AS95" t="s">
        <v>380</v>
      </c>
      <c r="AW95" t="s">
        <v>1021</v>
      </c>
      <c r="AX95" t="s">
        <v>1022</v>
      </c>
      <c r="AY95" s="8" t="s">
        <v>1023</v>
      </c>
      <c r="AZ95" t="s">
        <v>384</v>
      </c>
      <c r="BA95" t="s">
        <v>1024</v>
      </c>
      <c r="BB95" t="s">
        <v>1025</v>
      </c>
      <c r="BC95" t="s">
        <v>380</v>
      </c>
      <c r="BD95" t="s">
        <v>380</v>
      </c>
      <c r="BE95" t="s">
        <v>380</v>
      </c>
      <c r="BF95" t="s">
        <v>380</v>
      </c>
      <c r="BG95">
        <v>34.2052859</v>
      </c>
      <c r="BH95">
        <v>-118.4927249</v>
      </c>
      <c r="BI95" t="s">
        <v>1026</v>
      </c>
      <c r="BJ95" t="s">
        <v>1007</v>
      </c>
      <c r="BK95" t="s">
        <v>1027</v>
      </c>
      <c r="BL95" t="s">
        <v>389</v>
      </c>
      <c r="BN95" t="s">
        <v>1028</v>
      </c>
      <c r="BO95" t="s">
        <v>391</v>
      </c>
      <c r="BP95">
        <v>-480</v>
      </c>
      <c r="BQ95" t="s">
        <v>991</v>
      </c>
      <c r="BR95" t="s">
        <v>1029</v>
      </c>
      <c r="BT95" t="s">
        <v>61</v>
      </c>
    </row>
    <row r="96" spans="1:72" ht="15.75" x14ac:dyDescent="0.25">
      <c r="A96">
        <v>669</v>
      </c>
      <c r="B96" t="s">
        <v>336</v>
      </c>
      <c r="F96" t="s">
        <v>337</v>
      </c>
      <c r="H96" t="s">
        <v>272</v>
      </c>
      <c r="I96" t="s">
        <v>43</v>
      </c>
      <c r="J96" s="21" t="s">
        <v>338</v>
      </c>
      <c r="K96" t="s">
        <v>44</v>
      </c>
      <c r="L96" t="s">
        <v>339</v>
      </c>
      <c r="M96" s="17" t="s">
        <v>340</v>
      </c>
      <c r="N96" s="17"/>
      <c r="O96" s="17"/>
      <c r="P96" s="17"/>
      <c r="Q96" s="17"/>
      <c r="R96" s="17"/>
      <c r="S96" s="17"/>
      <c r="T96" s="17"/>
      <c r="U96" s="17"/>
      <c r="V96" s="17"/>
      <c r="W96" s="17"/>
      <c r="X96" s="17"/>
      <c r="Y96" s="17"/>
      <c r="Z96" s="17"/>
      <c r="AA96" s="17"/>
      <c r="AB96" s="17"/>
      <c r="AC96" s="17"/>
      <c r="AD96" s="17"/>
      <c r="AE96" s="17"/>
      <c r="AF96" s="17"/>
      <c r="AG96" s="17"/>
      <c r="AH96" s="17"/>
      <c r="AI96" s="17"/>
      <c r="AJ96" s="17"/>
      <c r="AK96" s="17"/>
      <c r="AL96" s="17"/>
      <c r="AM96" s="17"/>
      <c r="AN96" s="17"/>
      <c r="AO96" s="17"/>
      <c r="AP96" s="17"/>
      <c r="AQ96" s="17"/>
      <c r="AR96" t="s">
        <v>379</v>
      </c>
      <c r="AS96" t="s">
        <v>380</v>
      </c>
      <c r="AW96" t="s">
        <v>1109</v>
      </c>
      <c r="AX96" t="s">
        <v>1110</v>
      </c>
      <c r="AY96" s="8" t="s">
        <v>336</v>
      </c>
      <c r="AZ96" t="s">
        <v>384</v>
      </c>
      <c r="BA96" t="s">
        <v>1111</v>
      </c>
      <c r="BB96" t="s">
        <v>1112</v>
      </c>
      <c r="BC96" t="s">
        <v>380</v>
      </c>
      <c r="BD96" t="s">
        <v>380</v>
      </c>
      <c r="BE96" t="s">
        <v>380</v>
      </c>
      <c r="BF96" t="s">
        <v>380</v>
      </c>
      <c r="BG96">
        <v>34.209631199999997</v>
      </c>
      <c r="BH96">
        <v>-118.4858351</v>
      </c>
      <c r="BI96" t="s">
        <v>1113</v>
      </c>
      <c r="BJ96" t="s">
        <v>1114</v>
      </c>
      <c r="BK96" t="s">
        <v>339</v>
      </c>
      <c r="BL96" t="s">
        <v>389</v>
      </c>
      <c r="BN96" t="s">
        <v>1115</v>
      </c>
      <c r="BO96" t="s">
        <v>391</v>
      </c>
      <c r="BP96">
        <v>-480</v>
      </c>
      <c r="BQ96" t="s">
        <v>1116</v>
      </c>
      <c r="BR96" t="s">
        <v>1117</v>
      </c>
      <c r="BT96" t="s">
        <v>61</v>
      </c>
    </row>
    <row r="97" spans="1:72" ht="15.75" x14ac:dyDescent="0.25">
      <c r="A97">
        <v>680</v>
      </c>
      <c r="B97" t="s">
        <v>356</v>
      </c>
      <c r="F97" t="s">
        <v>350</v>
      </c>
      <c r="G97" t="s">
        <v>61</v>
      </c>
      <c r="H97" t="s">
        <v>267</v>
      </c>
      <c r="I97" t="s">
        <v>43</v>
      </c>
      <c r="J97" s="21">
        <v>91406</v>
      </c>
      <c r="K97" t="s">
        <v>44</v>
      </c>
      <c r="N97" s="17"/>
      <c r="O97" s="17"/>
      <c r="P97" s="17"/>
      <c r="Q97" s="17"/>
      <c r="R97" s="17"/>
      <c r="S97" s="17"/>
      <c r="T97" s="17"/>
      <c r="U97" s="17"/>
      <c r="V97" s="17"/>
      <c r="W97" s="17"/>
      <c r="X97" s="17"/>
      <c r="Y97" s="17"/>
      <c r="Z97" s="17"/>
      <c r="AA97" s="17"/>
      <c r="AB97" s="17"/>
      <c r="AC97" s="17"/>
      <c r="AD97" s="17"/>
      <c r="AE97" s="17"/>
      <c r="AF97" s="17"/>
      <c r="AG97" s="17"/>
      <c r="AH97" s="17"/>
      <c r="AI97" s="17"/>
      <c r="AJ97" s="17"/>
      <c r="AK97" s="17"/>
      <c r="AL97" s="17"/>
      <c r="AM97" s="17"/>
      <c r="AN97" s="17"/>
      <c r="AO97" s="17"/>
      <c r="AP97" s="17"/>
      <c r="AQ97" s="17"/>
      <c r="AR97" t="s">
        <v>379</v>
      </c>
      <c r="AT97" t="s">
        <v>380</v>
      </c>
      <c r="AW97" t="s">
        <v>1148</v>
      </c>
      <c r="AX97" t="s">
        <v>1149</v>
      </c>
      <c r="AY97" s="8" t="s">
        <v>1150</v>
      </c>
      <c r="AZ97" t="s">
        <v>384</v>
      </c>
      <c r="BA97" t="s">
        <v>1151</v>
      </c>
      <c r="BB97" t="s">
        <v>1152</v>
      </c>
      <c r="BC97" t="s">
        <v>380</v>
      </c>
      <c r="BD97" t="s">
        <v>380</v>
      </c>
      <c r="BE97" t="s">
        <v>380</v>
      </c>
      <c r="BF97" t="s">
        <v>380</v>
      </c>
      <c r="BG97">
        <v>34.2104936</v>
      </c>
      <c r="BH97">
        <v>-118.4851898</v>
      </c>
      <c r="BI97" t="s">
        <v>1153</v>
      </c>
      <c r="BJ97" t="s">
        <v>1154</v>
      </c>
      <c r="BK97" t="s">
        <v>1155</v>
      </c>
      <c r="BL97" t="s">
        <v>389</v>
      </c>
      <c r="BN97" t="s">
        <v>1156</v>
      </c>
      <c r="BO97" t="s">
        <v>391</v>
      </c>
      <c r="BP97">
        <v>-480</v>
      </c>
      <c r="BQ97" t="s">
        <v>1157</v>
      </c>
      <c r="BS97">
        <v>1</v>
      </c>
      <c r="BT97">
        <v>1</v>
      </c>
    </row>
    <row r="98" spans="1:72" x14ac:dyDescent="0.25">
      <c r="A98">
        <v>685</v>
      </c>
      <c r="B98" s="17" t="s">
        <v>363</v>
      </c>
      <c r="C98" s="12" t="s">
        <v>1267</v>
      </c>
      <c r="F98" s="12" t="s">
        <v>1266</v>
      </c>
      <c r="G98" t="s">
        <v>61</v>
      </c>
      <c r="H98" t="s">
        <v>267</v>
      </c>
      <c r="I98" t="s">
        <v>43</v>
      </c>
      <c r="J98" s="21">
        <v>91406</v>
      </c>
      <c r="K98" t="s">
        <v>44</v>
      </c>
      <c r="N98" s="17"/>
      <c r="O98" s="17"/>
      <c r="P98" s="17"/>
      <c r="Q98" s="17"/>
      <c r="R98" s="17"/>
      <c r="S98" s="17"/>
      <c r="T98" s="17"/>
      <c r="U98" s="17"/>
      <c r="V98" s="17"/>
      <c r="W98" s="17"/>
      <c r="X98" s="17"/>
      <c r="Y98" s="17"/>
      <c r="Z98" s="17"/>
      <c r="AA98" s="17"/>
      <c r="AB98" s="17"/>
      <c r="AC98" s="17"/>
      <c r="AD98" s="17"/>
      <c r="AE98" s="17"/>
      <c r="AF98" s="17"/>
      <c r="AG98" s="17"/>
      <c r="AH98" s="17"/>
      <c r="AI98" s="17"/>
      <c r="AJ98" s="17"/>
      <c r="AK98" s="17"/>
      <c r="AL98" s="17"/>
      <c r="AM98" s="17"/>
      <c r="AN98" s="17"/>
      <c r="AO98" s="17"/>
      <c r="AP98" s="17"/>
      <c r="AQ98" s="17"/>
    </row>
    <row r="99" spans="1:72" ht="15.75" x14ac:dyDescent="0.25">
      <c r="A99">
        <v>655</v>
      </c>
      <c r="B99" s="12" t="s">
        <v>295</v>
      </c>
      <c r="F99" t="s">
        <v>296</v>
      </c>
      <c r="H99" t="s">
        <v>272</v>
      </c>
      <c r="I99" t="s">
        <v>43</v>
      </c>
      <c r="J99" s="21" t="s">
        <v>273</v>
      </c>
      <c r="K99" t="s">
        <v>44</v>
      </c>
      <c r="L99" t="s">
        <v>297</v>
      </c>
      <c r="N99" s="17"/>
      <c r="O99" s="17"/>
      <c r="P99" s="17"/>
      <c r="Q99" s="17"/>
      <c r="R99" s="17"/>
      <c r="S99" s="17"/>
      <c r="T99" s="17"/>
      <c r="U99" s="17"/>
      <c r="V99" s="17"/>
      <c r="W99" s="17"/>
      <c r="X99" s="17"/>
      <c r="Y99" s="17"/>
      <c r="Z99" s="17"/>
      <c r="AA99" s="17"/>
      <c r="AB99" s="17"/>
      <c r="AC99" s="17"/>
      <c r="AD99" s="17"/>
      <c r="AE99" s="17"/>
      <c r="AF99" s="17"/>
      <c r="AG99" s="17"/>
      <c r="AH99" s="17"/>
      <c r="AI99" s="17"/>
      <c r="AJ99" s="17"/>
      <c r="AK99" s="17"/>
      <c r="AL99" s="17"/>
      <c r="AM99" s="17"/>
      <c r="AN99" s="17"/>
      <c r="AO99" s="17"/>
      <c r="AP99" s="17"/>
      <c r="AQ99" s="17"/>
      <c r="AR99" t="s">
        <v>379</v>
      </c>
      <c r="AS99" t="s">
        <v>380</v>
      </c>
      <c r="AW99" t="s">
        <v>1030</v>
      </c>
      <c r="AX99" t="s">
        <v>1031</v>
      </c>
      <c r="AY99" s="8" t="s">
        <v>1032</v>
      </c>
      <c r="AZ99" t="s">
        <v>384</v>
      </c>
      <c r="BA99" t="s">
        <v>1033</v>
      </c>
      <c r="BB99" t="s">
        <v>1034</v>
      </c>
      <c r="BC99" t="s">
        <v>611</v>
      </c>
      <c r="BD99" t="s">
        <v>380</v>
      </c>
      <c r="BE99" t="s">
        <v>380</v>
      </c>
      <c r="BF99" t="s">
        <v>380</v>
      </c>
      <c r="BG99">
        <v>34.214811399999988</v>
      </c>
      <c r="BH99">
        <v>-118.4861216</v>
      </c>
      <c r="BI99" t="s">
        <v>1035</v>
      </c>
      <c r="BJ99" t="s">
        <v>1036</v>
      </c>
      <c r="BK99" t="s">
        <v>1037</v>
      </c>
      <c r="BL99" t="s">
        <v>389</v>
      </c>
      <c r="BN99" t="s">
        <v>1038</v>
      </c>
      <c r="BO99" t="s">
        <v>391</v>
      </c>
      <c r="BP99">
        <v>-480</v>
      </c>
      <c r="BQ99" t="s">
        <v>1039</v>
      </c>
      <c r="BR99" t="s">
        <v>1040</v>
      </c>
      <c r="BT99" t="s">
        <v>61</v>
      </c>
    </row>
    <row r="100" spans="1:72" ht="15.75" x14ac:dyDescent="0.25">
      <c r="A100">
        <v>656</v>
      </c>
      <c r="B100" t="s">
        <v>298</v>
      </c>
      <c r="F100" t="s">
        <v>287</v>
      </c>
      <c r="G100" t="s">
        <v>299</v>
      </c>
      <c r="H100" t="s">
        <v>272</v>
      </c>
      <c r="I100" t="s">
        <v>43</v>
      </c>
      <c r="J100" s="21" t="s">
        <v>273</v>
      </c>
      <c r="K100" t="s">
        <v>44</v>
      </c>
      <c r="L100" t="s">
        <v>300</v>
      </c>
      <c r="N100" s="17"/>
      <c r="O100" s="17"/>
      <c r="P100" s="17"/>
      <c r="Q100" s="17"/>
      <c r="R100" s="17"/>
      <c r="S100" s="17"/>
      <c r="T100" s="17"/>
      <c r="U100" s="17"/>
      <c r="V100" s="17"/>
      <c r="W100" s="17"/>
      <c r="X100" s="17"/>
      <c r="Y100" s="17"/>
      <c r="Z100" s="17"/>
      <c r="AA100" s="17"/>
      <c r="AB100" s="17"/>
      <c r="AC100" s="17"/>
      <c r="AD100" s="17"/>
      <c r="AE100" s="17"/>
      <c r="AF100" s="17"/>
      <c r="AG100" s="17"/>
      <c r="AH100" s="17"/>
      <c r="AI100" s="17"/>
      <c r="AJ100" s="17"/>
      <c r="AK100" s="17"/>
      <c r="AL100" s="17"/>
      <c r="AM100" s="17"/>
      <c r="AN100" s="17"/>
      <c r="AO100" s="17"/>
      <c r="AP100" s="17"/>
      <c r="AQ100" s="17"/>
      <c r="AR100" t="s">
        <v>379</v>
      </c>
      <c r="AT100" t="s">
        <v>380</v>
      </c>
      <c r="AW100" t="s">
        <v>1041</v>
      </c>
      <c r="AX100" t="s">
        <v>1042</v>
      </c>
      <c r="AY100" s="8" t="s">
        <v>298</v>
      </c>
      <c r="AZ100" t="s">
        <v>384</v>
      </c>
      <c r="BA100" t="s">
        <v>1043</v>
      </c>
      <c r="BB100" t="s">
        <v>1044</v>
      </c>
      <c r="BC100" t="s">
        <v>380</v>
      </c>
      <c r="BD100" t="s">
        <v>611</v>
      </c>
      <c r="BE100" t="s">
        <v>380</v>
      </c>
      <c r="BF100" t="s">
        <v>380</v>
      </c>
      <c r="BG100">
        <v>34.206030599999998</v>
      </c>
      <c r="BH100">
        <v>-118.4927402</v>
      </c>
      <c r="BI100" t="s">
        <v>1045</v>
      </c>
      <c r="BJ100" t="s">
        <v>1046</v>
      </c>
      <c r="BK100" t="s">
        <v>1047</v>
      </c>
      <c r="BL100" t="s">
        <v>389</v>
      </c>
      <c r="BN100" t="s">
        <v>1048</v>
      </c>
      <c r="BO100" t="s">
        <v>391</v>
      </c>
      <c r="BP100">
        <v>-480</v>
      </c>
      <c r="BQ100" t="s">
        <v>1049</v>
      </c>
      <c r="BR100" t="s">
        <v>1050</v>
      </c>
      <c r="BT100" t="s">
        <v>61</v>
      </c>
    </row>
    <row r="101" spans="1:72" ht="15.75" x14ac:dyDescent="0.25">
      <c r="A101">
        <v>695</v>
      </c>
      <c r="B101" t="s">
        <v>375</v>
      </c>
      <c r="F101" t="s">
        <v>376</v>
      </c>
      <c r="G101" t="s">
        <v>61</v>
      </c>
      <c r="H101" t="s">
        <v>267</v>
      </c>
      <c r="I101" t="s">
        <v>43</v>
      </c>
      <c r="J101" s="21">
        <v>91406</v>
      </c>
      <c r="K101" t="s">
        <v>44</v>
      </c>
      <c r="N101" s="17"/>
      <c r="O101" s="17"/>
      <c r="P101" s="17"/>
      <c r="Q101" s="17"/>
      <c r="R101" s="17"/>
      <c r="S101" s="17"/>
      <c r="T101" s="17"/>
      <c r="U101" s="17"/>
      <c r="V101" s="17"/>
      <c r="W101" s="17"/>
      <c r="X101" s="17"/>
      <c r="Y101" s="17"/>
      <c r="Z101" s="17"/>
      <c r="AA101" s="17"/>
      <c r="AB101" s="17"/>
      <c r="AC101" s="17"/>
      <c r="AD101" s="17"/>
      <c r="AE101" s="17"/>
      <c r="AF101" s="17"/>
      <c r="AG101" s="17"/>
      <c r="AH101" s="17"/>
      <c r="AI101" s="17"/>
      <c r="AJ101" s="17"/>
      <c r="AK101" s="17"/>
      <c r="AL101" s="17"/>
      <c r="AM101" s="17"/>
      <c r="AN101" s="17"/>
      <c r="AO101" s="17"/>
      <c r="AP101" s="17"/>
      <c r="AQ101" s="17"/>
      <c r="AR101" t="s">
        <v>379</v>
      </c>
      <c r="AT101" t="s">
        <v>380</v>
      </c>
      <c r="AW101" t="s">
        <v>1225</v>
      </c>
      <c r="AX101" t="s">
        <v>1227</v>
      </c>
      <c r="AY101" s="8" t="s">
        <v>1228</v>
      </c>
      <c r="AZ101" t="s">
        <v>384</v>
      </c>
      <c r="BA101" t="s">
        <v>1229</v>
      </c>
      <c r="BB101" t="s">
        <v>1230</v>
      </c>
      <c r="BC101" t="s">
        <v>380</v>
      </c>
      <c r="BD101" t="s">
        <v>380</v>
      </c>
      <c r="BE101" t="s">
        <v>380</v>
      </c>
      <c r="BF101" t="s">
        <v>380</v>
      </c>
      <c r="BG101">
        <v>34.208073599999999</v>
      </c>
      <c r="BH101">
        <v>-118.48491060000001</v>
      </c>
      <c r="BI101" t="s">
        <v>1231</v>
      </c>
      <c r="BJ101" t="s">
        <v>1232</v>
      </c>
      <c r="BK101" t="s">
        <v>1233</v>
      </c>
      <c r="BL101" t="s">
        <v>389</v>
      </c>
      <c r="BN101" t="s">
        <v>1234</v>
      </c>
      <c r="BO101" t="s">
        <v>1226</v>
      </c>
      <c r="BP101">
        <v>-480</v>
      </c>
      <c r="BQ101" t="s">
        <v>1235</v>
      </c>
      <c r="BR101" t="s">
        <v>1236</v>
      </c>
      <c r="BS101">
        <v>3.7</v>
      </c>
      <c r="BT101">
        <v>5</v>
      </c>
    </row>
    <row r="102" spans="1:72" ht="15.75" x14ac:dyDescent="0.25">
      <c r="A102">
        <v>683</v>
      </c>
      <c r="B102" t="s">
        <v>360</v>
      </c>
      <c r="F102" t="s">
        <v>361</v>
      </c>
      <c r="G102" t="s">
        <v>362</v>
      </c>
      <c r="H102" t="s">
        <v>272</v>
      </c>
      <c r="I102" t="s">
        <v>43</v>
      </c>
      <c r="J102" s="21">
        <v>91406</v>
      </c>
      <c r="K102" t="s">
        <v>44</v>
      </c>
      <c r="N102" s="17"/>
      <c r="O102" s="17"/>
      <c r="P102" s="17"/>
      <c r="Q102" s="17"/>
      <c r="R102" s="17"/>
      <c r="S102" s="17"/>
      <c r="T102" s="17"/>
      <c r="U102" s="17"/>
      <c r="V102" s="17"/>
      <c r="W102" s="17"/>
      <c r="X102" s="17"/>
      <c r="Y102" s="17"/>
      <c r="Z102" s="17"/>
      <c r="AA102" s="17"/>
      <c r="AB102" s="17"/>
      <c r="AC102" s="17"/>
      <c r="AD102" s="17"/>
      <c r="AE102" s="17"/>
      <c r="AF102" s="17"/>
      <c r="AG102" s="17"/>
      <c r="AH102" s="17"/>
      <c r="AI102" s="17"/>
      <c r="AJ102" s="17"/>
      <c r="AK102" s="17"/>
      <c r="AL102" s="17"/>
      <c r="AM102" s="17"/>
      <c r="AN102" s="17"/>
      <c r="AO102" s="17"/>
      <c r="AP102" s="17"/>
      <c r="AQ102" s="17"/>
      <c r="AR102" t="s">
        <v>379</v>
      </c>
      <c r="AT102" t="s">
        <v>380</v>
      </c>
      <c r="AW102" t="s">
        <v>1162</v>
      </c>
      <c r="AX102" t="s">
        <v>1163</v>
      </c>
      <c r="AY102" s="8" t="s">
        <v>1164</v>
      </c>
      <c r="AZ102" t="s">
        <v>384</v>
      </c>
      <c r="BA102" t="s">
        <v>1165</v>
      </c>
      <c r="BB102" t="s">
        <v>1166</v>
      </c>
      <c r="BC102" t="s">
        <v>380</v>
      </c>
      <c r="BD102" t="s">
        <v>380</v>
      </c>
      <c r="BE102" t="s">
        <v>380</v>
      </c>
      <c r="BF102" t="s">
        <v>380</v>
      </c>
      <c r="BG102">
        <v>34.200599699999998</v>
      </c>
      <c r="BH102">
        <v>-118.4873475</v>
      </c>
      <c r="BI102" t="s">
        <v>1167</v>
      </c>
      <c r="BJ102" t="s">
        <v>1168</v>
      </c>
      <c r="BK102" t="s">
        <v>1169</v>
      </c>
      <c r="BL102" t="s">
        <v>389</v>
      </c>
      <c r="BN102" t="s">
        <v>1170</v>
      </c>
      <c r="BO102" t="s">
        <v>414</v>
      </c>
      <c r="BP102">
        <v>-480</v>
      </c>
      <c r="BQ102" t="s">
        <v>1171</v>
      </c>
      <c r="BR102" t="s">
        <v>1172</v>
      </c>
      <c r="BT102" t="s">
        <v>61</v>
      </c>
    </row>
    <row r="103" spans="1:72" ht="15.75" x14ac:dyDescent="0.25">
      <c r="A103">
        <v>692</v>
      </c>
      <c r="B103" t="s">
        <v>370</v>
      </c>
      <c r="F103" t="s">
        <v>371</v>
      </c>
      <c r="G103" t="s">
        <v>61</v>
      </c>
      <c r="H103" t="s">
        <v>267</v>
      </c>
      <c r="I103" t="s">
        <v>43</v>
      </c>
      <c r="J103" s="21">
        <v>91406</v>
      </c>
      <c r="K103" t="s">
        <v>44</v>
      </c>
      <c r="N103" s="17"/>
      <c r="O103" s="17"/>
      <c r="P103" s="17"/>
      <c r="Q103" s="17"/>
      <c r="R103" s="17"/>
      <c r="S103" s="17"/>
      <c r="T103" s="17"/>
      <c r="U103" s="17"/>
      <c r="V103" s="17"/>
      <c r="W103" s="17"/>
      <c r="X103" s="17"/>
      <c r="Y103" s="17"/>
      <c r="Z103" s="17"/>
      <c r="AA103" s="17"/>
      <c r="AB103" s="17"/>
      <c r="AC103" s="17"/>
      <c r="AD103" s="17"/>
      <c r="AE103" s="17"/>
      <c r="AF103" s="17"/>
      <c r="AG103" s="17"/>
      <c r="AH103" s="17"/>
      <c r="AI103" s="17"/>
      <c r="AJ103" s="17"/>
      <c r="AK103" s="17"/>
      <c r="AL103" s="17"/>
      <c r="AM103" s="17"/>
      <c r="AN103" s="17"/>
      <c r="AO103" s="17"/>
      <c r="AP103" s="17"/>
      <c r="AQ103" s="17"/>
      <c r="AR103" t="s">
        <v>379</v>
      </c>
      <c r="AT103" t="s">
        <v>380</v>
      </c>
      <c r="AW103" t="s">
        <v>1205</v>
      </c>
      <c r="AX103" t="s">
        <v>1206</v>
      </c>
      <c r="AY103" s="8" t="s">
        <v>1207</v>
      </c>
      <c r="AZ103" t="s">
        <v>384</v>
      </c>
      <c r="BA103" t="s">
        <v>1208</v>
      </c>
      <c r="BB103" t="s">
        <v>1209</v>
      </c>
      <c r="BC103" t="s">
        <v>380</v>
      </c>
      <c r="BD103" t="s">
        <v>380</v>
      </c>
      <c r="BE103" t="s">
        <v>380</v>
      </c>
      <c r="BF103" t="s">
        <v>380</v>
      </c>
      <c r="BG103">
        <v>34.198185000000002</v>
      </c>
      <c r="BH103">
        <v>-118.4871381</v>
      </c>
      <c r="BI103" t="s">
        <v>1210</v>
      </c>
      <c r="BJ103" t="s">
        <v>1211</v>
      </c>
      <c r="BK103" t="s">
        <v>1212</v>
      </c>
      <c r="BL103" t="s">
        <v>389</v>
      </c>
      <c r="BN103" t="s">
        <v>1213</v>
      </c>
      <c r="BO103" t="s">
        <v>391</v>
      </c>
      <c r="BP103">
        <v>-480</v>
      </c>
      <c r="BQ103" t="s">
        <v>1214</v>
      </c>
      <c r="BR103" t="s">
        <v>1215</v>
      </c>
      <c r="BS103">
        <v>5</v>
      </c>
      <c r="BT103">
        <v>2</v>
      </c>
    </row>
    <row r="104" spans="1:72" ht="15.75" x14ac:dyDescent="0.25">
      <c r="A104">
        <v>670</v>
      </c>
      <c r="B104" t="s">
        <v>341</v>
      </c>
      <c r="F104" t="s">
        <v>312</v>
      </c>
      <c r="H104" t="s">
        <v>272</v>
      </c>
      <c r="I104" t="s">
        <v>43</v>
      </c>
      <c r="J104" s="21" t="s">
        <v>313</v>
      </c>
      <c r="K104" t="s">
        <v>44</v>
      </c>
      <c r="L104" t="s">
        <v>342</v>
      </c>
      <c r="M104" s="17" t="s">
        <v>343</v>
      </c>
      <c r="N104" s="17"/>
      <c r="O104" s="17"/>
      <c r="P104" s="17"/>
      <c r="Q104" s="17"/>
      <c r="R104" s="17"/>
      <c r="S104" s="17"/>
      <c r="T104" s="17"/>
      <c r="U104" s="17"/>
      <c r="V104" s="17"/>
      <c r="W104" s="17"/>
      <c r="X104" s="17"/>
      <c r="Y104" s="17"/>
      <c r="Z104" s="17"/>
      <c r="AA104" s="17"/>
      <c r="AB104" s="17"/>
      <c r="AC104" s="17"/>
      <c r="AD104" s="17"/>
      <c r="AE104" s="17"/>
      <c r="AF104" s="17"/>
      <c r="AG104" s="17"/>
      <c r="AH104" s="17"/>
      <c r="AI104" s="17"/>
      <c r="AJ104" s="17"/>
      <c r="AK104" s="17"/>
      <c r="AL104" s="17"/>
      <c r="AM104" s="17"/>
      <c r="AN104" s="17"/>
      <c r="AO104" s="17"/>
      <c r="AP104" s="17"/>
      <c r="AQ104" s="17"/>
      <c r="AR104" t="s">
        <v>379</v>
      </c>
      <c r="AS104" t="s">
        <v>380</v>
      </c>
      <c r="AW104" t="s">
        <v>1051</v>
      </c>
      <c r="AX104" t="s">
        <v>1052</v>
      </c>
      <c r="AY104" s="8" t="s">
        <v>1053</v>
      </c>
      <c r="AZ104" t="s">
        <v>384</v>
      </c>
      <c r="BA104" t="s">
        <v>1054</v>
      </c>
      <c r="BB104" t="s">
        <v>1025</v>
      </c>
      <c r="BC104" t="s">
        <v>380</v>
      </c>
      <c r="BD104" t="s">
        <v>380</v>
      </c>
      <c r="BE104" t="s">
        <v>380</v>
      </c>
      <c r="BF104" t="s">
        <v>380</v>
      </c>
      <c r="BG104">
        <v>34.2052859</v>
      </c>
      <c r="BH104">
        <v>-118.4927249</v>
      </c>
      <c r="BI104" t="s">
        <v>1055</v>
      </c>
      <c r="BJ104" t="s">
        <v>1007</v>
      </c>
      <c r="BK104" t="s">
        <v>342</v>
      </c>
      <c r="BL104" t="s">
        <v>389</v>
      </c>
      <c r="BN104" t="s">
        <v>1056</v>
      </c>
      <c r="BO104" t="s">
        <v>391</v>
      </c>
      <c r="BP104">
        <v>-480</v>
      </c>
      <c r="BQ104" t="s">
        <v>991</v>
      </c>
      <c r="BR104" t="s">
        <v>1057</v>
      </c>
      <c r="BT104" t="s">
        <v>61</v>
      </c>
    </row>
    <row r="105" spans="1:72" ht="15.75" x14ac:dyDescent="0.25">
      <c r="A105">
        <v>657</v>
      </c>
      <c r="B105" t="s">
        <v>301</v>
      </c>
      <c r="F105" t="s">
        <v>287</v>
      </c>
      <c r="H105" t="s">
        <v>272</v>
      </c>
      <c r="I105" t="s">
        <v>43</v>
      </c>
      <c r="J105" s="21" t="s">
        <v>273</v>
      </c>
      <c r="K105" t="s">
        <v>44</v>
      </c>
      <c r="L105" t="s">
        <v>302</v>
      </c>
      <c r="N105" s="17"/>
      <c r="O105" s="17"/>
      <c r="P105" s="17"/>
      <c r="Q105" s="17"/>
      <c r="R105" s="17"/>
      <c r="S105" s="17"/>
      <c r="T105" s="17"/>
      <c r="U105" s="17"/>
      <c r="V105" s="17"/>
      <c r="W105" s="17"/>
      <c r="X105" s="17"/>
      <c r="Y105" s="17"/>
      <c r="Z105" s="17"/>
      <c r="AA105" s="17"/>
      <c r="AB105" s="17"/>
      <c r="AC105" s="17"/>
      <c r="AD105" s="17"/>
      <c r="AE105" s="17"/>
      <c r="AF105" s="17"/>
      <c r="AG105" s="17"/>
      <c r="AH105" s="17"/>
      <c r="AI105" s="17"/>
      <c r="AJ105" s="17"/>
      <c r="AK105" s="17"/>
      <c r="AL105" s="17"/>
      <c r="AM105" s="17"/>
      <c r="AN105" s="17"/>
      <c r="AO105" s="17"/>
      <c r="AP105" s="17"/>
      <c r="AQ105" s="17"/>
      <c r="AR105" t="s">
        <v>379</v>
      </c>
      <c r="AS105" t="s">
        <v>380</v>
      </c>
      <c r="AW105" t="s">
        <v>1051</v>
      </c>
      <c r="AX105" t="s">
        <v>1052</v>
      </c>
      <c r="AY105" s="8" t="s">
        <v>1053</v>
      </c>
      <c r="AZ105" t="s">
        <v>384</v>
      </c>
      <c r="BA105" t="s">
        <v>1054</v>
      </c>
      <c r="BB105" t="s">
        <v>1025</v>
      </c>
      <c r="BC105" t="s">
        <v>380</v>
      </c>
      <c r="BD105" t="s">
        <v>380</v>
      </c>
      <c r="BE105" t="s">
        <v>380</v>
      </c>
      <c r="BF105" t="s">
        <v>380</v>
      </c>
      <c r="BG105">
        <v>34.2052859</v>
      </c>
      <c r="BH105">
        <v>-118.4927249</v>
      </c>
      <c r="BI105" t="s">
        <v>1055</v>
      </c>
      <c r="BJ105" t="s">
        <v>1007</v>
      </c>
      <c r="BK105" t="s">
        <v>342</v>
      </c>
      <c r="BL105" t="s">
        <v>389</v>
      </c>
      <c r="BN105" t="s">
        <v>1056</v>
      </c>
      <c r="BO105" t="s">
        <v>391</v>
      </c>
      <c r="BP105">
        <v>-480</v>
      </c>
      <c r="BQ105" t="s">
        <v>991</v>
      </c>
      <c r="BR105" t="s">
        <v>1057</v>
      </c>
      <c r="BT105" t="s">
        <v>61</v>
      </c>
    </row>
    <row r="106" spans="1:72" ht="15.75" x14ac:dyDescent="0.25">
      <c r="A106">
        <v>673</v>
      </c>
      <c r="B106" t="s">
        <v>348</v>
      </c>
      <c r="F106" t="s">
        <v>349</v>
      </c>
      <c r="G106" t="s">
        <v>61</v>
      </c>
      <c r="H106" t="s">
        <v>267</v>
      </c>
      <c r="I106" t="s">
        <v>43</v>
      </c>
      <c r="J106" s="21">
        <v>91406</v>
      </c>
      <c r="K106" t="s">
        <v>44</v>
      </c>
      <c r="N106" s="17"/>
      <c r="O106" s="17"/>
      <c r="P106" s="17"/>
      <c r="Q106" s="17"/>
      <c r="R106" s="17"/>
      <c r="S106" s="17"/>
      <c r="T106" s="17"/>
      <c r="U106" s="17"/>
      <c r="V106" s="17"/>
      <c r="W106" s="17"/>
      <c r="X106" s="17"/>
      <c r="Y106" s="17"/>
      <c r="Z106" s="17"/>
      <c r="AA106" s="17"/>
      <c r="AB106" s="17"/>
      <c r="AC106" s="17"/>
      <c r="AD106" s="17"/>
      <c r="AE106" s="17"/>
      <c r="AF106" s="17"/>
      <c r="AG106" s="17"/>
      <c r="AH106" s="17"/>
      <c r="AI106" s="17"/>
      <c r="AJ106" s="17"/>
      <c r="AK106" s="17"/>
      <c r="AL106" s="17"/>
      <c r="AM106" s="17"/>
      <c r="AN106" s="17"/>
      <c r="AO106" s="17"/>
      <c r="AP106" s="17"/>
      <c r="AQ106" s="17"/>
      <c r="AR106" t="s">
        <v>379</v>
      </c>
      <c r="AT106" t="s">
        <v>380</v>
      </c>
      <c r="AW106" t="s">
        <v>1126</v>
      </c>
      <c r="AX106" t="s">
        <v>1127</v>
      </c>
      <c r="AY106" s="8" t="s">
        <v>1128</v>
      </c>
      <c r="AZ106" t="s">
        <v>384</v>
      </c>
      <c r="BA106" t="s">
        <v>1129</v>
      </c>
      <c r="BB106" t="s">
        <v>1130</v>
      </c>
      <c r="BC106" t="s">
        <v>380</v>
      </c>
      <c r="BD106" t="s">
        <v>380</v>
      </c>
      <c r="BE106" t="s">
        <v>380</v>
      </c>
      <c r="BF106" t="s">
        <v>380</v>
      </c>
      <c r="BG106">
        <v>34.206969200000003</v>
      </c>
      <c r="BH106">
        <v>-118.4937886</v>
      </c>
      <c r="BI106" t="s">
        <v>1131</v>
      </c>
      <c r="BJ106" t="s">
        <v>1132</v>
      </c>
      <c r="BK106" t="s">
        <v>1133</v>
      </c>
      <c r="BL106" t="s">
        <v>389</v>
      </c>
      <c r="BN106" t="s">
        <v>1134</v>
      </c>
      <c r="BO106" t="s">
        <v>414</v>
      </c>
      <c r="BP106">
        <v>-480</v>
      </c>
      <c r="BQ106" t="s">
        <v>1135</v>
      </c>
      <c r="BR106" t="s">
        <v>1136</v>
      </c>
      <c r="BS106">
        <v>5</v>
      </c>
      <c r="BT106">
        <v>3</v>
      </c>
    </row>
    <row r="107" spans="1:72" ht="15.75" x14ac:dyDescent="0.25">
      <c r="A107">
        <v>690</v>
      </c>
      <c r="B107" t="s">
        <v>348</v>
      </c>
      <c r="F107" t="s">
        <v>349</v>
      </c>
      <c r="G107" t="s">
        <v>61</v>
      </c>
      <c r="H107" t="s">
        <v>267</v>
      </c>
      <c r="I107" t="s">
        <v>43</v>
      </c>
      <c r="J107" s="21">
        <v>91406</v>
      </c>
      <c r="K107" t="s">
        <v>44</v>
      </c>
      <c r="N107" s="17"/>
      <c r="O107" s="17"/>
      <c r="P107" s="17"/>
      <c r="Q107" s="17"/>
      <c r="R107" s="17"/>
      <c r="S107" s="17"/>
      <c r="T107" s="17"/>
      <c r="U107" s="17"/>
      <c r="V107" s="17"/>
      <c r="W107" s="17"/>
      <c r="X107" s="17"/>
      <c r="Y107" s="17"/>
      <c r="Z107" s="17"/>
      <c r="AA107" s="17"/>
      <c r="AB107" s="17"/>
      <c r="AC107" s="17"/>
      <c r="AD107" s="17"/>
      <c r="AE107" s="17"/>
      <c r="AF107" s="17"/>
      <c r="AG107" s="17"/>
      <c r="AH107" s="17"/>
      <c r="AI107" s="17"/>
      <c r="AJ107" s="17"/>
      <c r="AK107" s="17"/>
      <c r="AL107" s="17"/>
      <c r="AM107" s="17"/>
      <c r="AN107" s="17"/>
      <c r="AO107" s="17"/>
      <c r="AP107" s="17"/>
      <c r="AQ107" s="17"/>
      <c r="AR107" t="s">
        <v>379</v>
      </c>
      <c r="AT107" t="s">
        <v>380</v>
      </c>
      <c r="AW107" t="s">
        <v>1126</v>
      </c>
      <c r="AX107" t="s">
        <v>1127</v>
      </c>
      <c r="AY107" s="8" t="s">
        <v>1128</v>
      </c>
      <c r="AZ107" t="s">
        <v>384</v>
      </c>
      <c r="BA107" t="s">
        <v>1129</v>
      </c>
      <c r="BB107" t="s">
        <v>1130</v>
      </c>
      <c r="BC107" t="s">
        <v>380</v>
      </c>
      <c r="BD107" t="s">
        <v>380</v>
      </c>
      <c r="BE107" t="s">
        <v>380</v>
      </c>
      <c r="BF107" t="s">
        <v>380</v>
      </c>
      <c r="BG107">
        <v>34.206969200000003</v>
      </c>
      <c r="BH107">
        <v>-118.4937886</v>
      </c>
      <c r="BI107" t="s">
        <v>1131</v>
      </c>
      <c r="BJ107" t="s">
        <v>1132</v>
      </c>
      <c r="BK107" t="s">
        <v>1133</v>
      </c>
      <c r="BL107" t="s">
        <v>389</v>
      </c>
      <c r="BN107" t="s">
        <v>1134</v>
      </c>
      <c r="BO107" t="s">
        <v>414</v>
      </c>
      <c r="BP107">
        <v>-480</v>
      </c>
      <c r="BQ107" t="s">
        <v>1135</v>
      </c>
      <c r="BR107" t="s">
        <v>1136</v>
      </c>
      <c r="BS107">
        <v>5</v>
      </c>
      <c r="BT107">
        <v>3</v>
      </c>
    </row>
    <row r="108" spans="1:72" ht="15.75" x14ac:dyDescent="0.25">
      <c r="A108">
        <v>658</v>
      </c>
      <c r="B108" t="s">
        <v>303</v>
      </c>
      <c r="F108" t="s">
        <v>281</v>
      </c>
      <c r="G108" t="s">
        <v>304</v>
      </c>
      <c r="H108" t="s">
        <v>272</v>
      </c>
      <c r="I108" t="s">
        <v>43</v>
      </c>
      <c r="J108" s="21" t="s">
        <v>273</v>
      </c>
      <c r="K108" t="s">
        <v>44</v>
      </c>
      <c r="L108" t="s">
        <v>305</v>
      </c>
      <c r="N108" s="17"/>
      <c r="O108" s="17"/>
      <c r="P108" s="17"/>
      <c r="Q108" s="17"/>
      <c r="R108" s="17"/>
      <c r="S108" s="17"/>
      <c r="T108" s="17"/>
      <c r="U108" s="17"/>
      <c r="V108" s="17"/>
      <c r="W108" s="17"/>
      <c r="X108" s="17"/>
      <c r="Y108" s="17"/>
      <c r="Z108" s="17"/>
      <c r="AA108" s="17"/>
      <c r="AB108" s="17"/>
      <c r="AC108" s="17"/>
      <c r="AD108" s="17"/>
      <c r="AE108" s="17"/>
      <c r="AF108" s="17"/>
      <c r="AG108" s="17"/>
      <c r="AH108" s="17"/>
      <c r="AI108" s="17"/>
      <c r="AJ108" s="17"/>
      <c r="AK108" s="17"/>
      <c r="AL108" s="17"/>
      <c r="AM108" s="17"/>
      <c r="AN108" s="17"/>
      <c r="AO108" s="17"/>
      <c r="AP108" s="17"/>
      <c r="AQ108" s="17"/>
      <c r="AR108" t="s">
        <v>379</v>
      </c>
      <c r="AS108" t="s">
        <v>380</v>
      </c>
      <c r="AW108" t="s">
        <v>1058</v>
      </c>
      <c r="AX108" t="s">
        <v>1059</v>
      </c>
      <c r="AY108" s="8" t="s">
        <v>1060</v>
      </c>
      <c r="AZ108" t="s">
        <v>384</v>
      </c>
      <c r="BA108" t="s">
        <v>1061</v>
      </c>
      <c r="BB108" t="s">
        <v>1062</v>
      </c>
      <c r="BC108" t="s">
        <v>611</v>
      </c>
      <c r="BD108" t="s">
        <v>611</v>
      </c>
      <c r="BE108" t="s">
        <v>380</v>
      </c>
      <c r="BF108" t="s">
        <v>611</v>
      </c>
      <c r="BG108">
        <v>34.016634699999997</v>
      </c>
      <c r="BH108">
        <v>-118.4530628</v>
      </c>
      <c r="BI108" t="s">
        <v>1063</v>
      </c>
      <c r="BJ108" t="s">
        <v>1064</v>
      </c>
      <c r="BK108" t="s">
        <v>1065</v>
      </c>
      <c r="BL108" t="s">
        <v>389</v>
      </c>
      <c r="BN108" t="s">
        <v>1066</v>
      </c>
      <c r="BO108" t="s">
        <v>391</v>
      </c>
      <c r="BP108">
        <v>-480</v>
      </c>
      <c r="BQ108" t="s">
        <v>1067</v>
      </c>
      <c r="BR108" t="s">
        <v>1068</v>
      </c>
      <c r="BT108" t="s">
        <v>61</v>
      </c>
    </row>
    <row r="109" spans="1:72" ht="15.75" x14ac:dyDescent="0.25">
      <c r="A109">
        <v>671</v>
      </c>
      <c r="B109" t="s">
        <v>344</v>
      </c>
      <c r="F109" t="s">
        <v>345</v>
      </c>
      <c r="H109" t="s">
        <v>272</v>
      </c>
      <c r="I109" t="s">
        <v>43</v>
      </c>
      <c r="J109" s="21" t="s">
        <v>273</v>
      </c>
      <c r="K109" t="s">
        <v>44</v>
      </c>
      <c r="L109" t="s">
        <v>346</v>
      </c>
      <c r="M109" s="17" t="s">
        <v>347</v>
      </c>
      <c r="N109" s="17"/>
      <c r="O109" s="17"/>
      <c r="P109" s="17"/>
      <c r="Q109" s="17"/>
      <c r="R109" s="17"/>
      <c r="S109" s="17"/>
      <c r="T109" s="17"/>
      <c r="U109" s="17"/>
      <c r="V109" s="17"/>
      <c r="W109" s="17"/>
      <c r="X109" s="17"/>
      <c r="Y109" s="17"/>
      <c r="Z109" s="17"/>
      <c r="AA109" s="17"/>
      <c r="AB109" s="17"/>
      <c r="AC109" s="17"/>
      <c r="AD109" s="17"/>
      <c r="AE109" s="17"/>
      <c r="AF109" s="17"/>
      <c r="AG109" s="17"/>
      <c r="AH109" s="17"/>
      <c r="AI109" s="17"/>
      <c r="AJ109" s="17"/>
      <c r="AK109" s="17"/>
      <c r="AL109" s="17"/>
      <c r="AM109" s="17"/>
      <c r="AN109" s="17"/>
      <c r="AO109" s="17"/>
      <c r="AP109" s="17"/>
      <c r="AQ109" s="17"/>
      <c r="AR109" t="s">
        <v>379</v>
      </c>
      <c r="AS109" t="s">
        <v>380</v>
      </c>
      <c r="AW109" t="s">
        <v>1118</v>
      </c>
      <c r="AX109" t="s">
        <v>1120</v>
      </c>
      <c r="AY109" s="8" t="s">
        <v>1121</v>
      </c>
      <c r="AZ109" t="s">
        <v>384</v>
      </c>
      <c r="BA109" t="s">
        <v>1122</v>
      </c>
      <c r="BB109" t="s">
        <v>1034</v>
      </c>
      <c r="BC109" t="s">
        <v>611</v>
      </c>
      <c r="BD109" t="s">
        <v>380</v>
      </c>
      <c r="BE109" t="s">
        <v>380</v>
      </c>
      <c r="BF109" t="s">
        <v>380</v>
      </c>
      <c r="BG109">
        <v>34.2151031</v>
      </c>
      <c r="BH109">
        <v>-118.48840989999999</v>
      </c>
      <c r="BI109" t="s">
        <v>1123</v>
      </c>
      <c r="BJ109" t="s">
        <v>1036</v>
      </c>
      <c r="BK109" t="s">
        <v>346</v>
      </c>
      <c r="BL109" t="s">
        <v>389</v>
      </c>
      <c r="BN109" t="s">
        <v>1124</v>
      </c>
      <c r="BO109" t="s">
        <v>1119</v>
      </c>
      <c r="BP109">
        <v>-480</v>
      </c>
      <c r="BQ109" t="s">
        <v>1039</v>
      </c>
      <c r="BR109" t="s">
        <v>1125</v>
      </c>
      <c r="BS109">
        <v>4.7</v>
      </c>
      <c r="BT109">
        <v>5</v>
      </c>
    </row>
    <row r="110" spans="1:72" ht="15.75" x14ac:dyDescent="0.25">
      <c r="A110">
        <v>659</v>
      </c>
      <c r="B110" t="s">
        <v>306</v>
      </c>
      <c r="F110" t="s">
        <v>290</v>
      </c>
      <c r="H110" t="s">
        <v>272</v>
      </c>
      <c r="I110" t="s">
        <v>43</v>
      </c>
      <c r="J110" s="21" t="s">
        <v>273</v>
      </c>
      <c r="K110" t="s">
        <v>44</v>
      </c>
      <c r="L110" t="s">
        <v>291</v>
      </c>
      <c r="N110" s="17"/>
      <c r="O110" s="17"/>
      <c r="P110" s="17"/>
      <c r="Q110" s="17"/>
      <c r="R110" s="17"/>
      <c r="S110" s="17"/>
      <c r="T110" s="17"/>
      <c r="U110" s="17"/>
      <c r="V110" s="17"/>
      <c r="W110" s="17"/>
      <c r="X110" s="17"/>
      <c r="Y110" s="17"/>
      <c r="Z110" s="17"/>
      <c r="AA110" s="17"/>
      <c r="AB110" s="17"/>
      <c r="AC110" s="17"/>
      <c r="AD110" s="17"/>
      <c r="AE110" s="17"/>
      <c r="AF110" s="17"/>
      <c r="AG110" s="17"/>
      <c r="AH110" s="17"/>
      <c r="AI110" s="17"/>
      <c r="AJ110" s="17"/>
      <c r="AK110" s="17"/>
      <c r="AL110" s="17"/>
      <c r="AM110" s="17"/>
      <c r="AN110" s="17"/>
      <c r="AO110" s="17"/>
      <c r="AP110" s="17"/>
      <c r="AQ110" s="17"/>
      <c r="AR110" t="s">
        <v>379</v>
      </c>
      <c r="AS110" t="s">
        <v>380</v>
      </c>
      <c r="AW110" t="s">
        <v>1010</v>
      </c>
      <c r="AX110" t="s">
        <v>1011</v>
      </c>
      <c r="AY110" s="13" t="s">
        <v>1012</v>
      </c>
      <c r="AZ110" t="s">
        <v>384</v>
      </c>
      <c r="BA110" t="s">
        <v>1013</v>
      </c>
      <c r="BB110" t="s">
        <v>1014</v>
      </c>
      <c r="BC110" t="s">
        <v>611</v>
      </c>
      <c r="BD110" t="s">
        <v>611</v>
      </c>
      <c r="BE110" t="s">
        <v>611</v>
      </c>
      <c r="BF110" t="s">
        <v>611</v>
      </c>
      <c r="BG110">
        <v>33.621288299999989</v>
      </c>
      <c r="BH110">
        <v>-111.9241632</v>
      </c>
      <c r="BI110" t="s">
        <v>1015</v>
      </c>
      <c r="BJ110" t="s">
        <v>1016</v>
      </c>
      <c r="BK110" t="s">
        <v>1017</v>
      </c>
      <c r="BL110" t="s">
        <v>389</v>
      </c>
      <c r="BN110" t="s">
        <v>1018</v>
      </c>
      <c r="BO110" t="s">
        <v>391</v>
      </c>
      <c r="BP110">
        <v>-420</v>
      </c>
      <c r="BQ110" t="s">
        <v>1019</v>
      </c>
      <c r="BR110" t="s">
        <v>1020</v>
      </c>
      <c r="BT110" t="s">
        <v>61</v>
      </c>
    </row>
    <row r="111" spans="1:72" ht="15.75" x14ac:dyDescent="0.25">
      <c r="A111">
        <v>694</v>
      </c>
      <c r="B111" t="s">
        <v>372</v>
      </c>
      <c r="F111" t="s">
        <v>373</v>
      </c>
      <c r="G111" t="s">
        <v>374</v>
      </c>
      <c r="H111" t="s">
        <v>267</v>
      </c>
      <c r="I111" t="s">
        <v>43</v>
      </c>
      <c r="J111" s="21">
        <v>91406</v>
      </c>
      <c r="K111" t="s">
        <v>44</v>
      </c>
      <c r="N111" s="17"/>
      <c r="O111" s="17"/>
      <c r="P111" s="17"/>
      <c r="Q111" s="17"/>
      <c r="R111" s="17"/>
      <c r="S111" s="17"/>
      <c r="T111" s="17"/>
      <c r="U111" s="17"/>
      <c r="V111" s="17"/>
      <c r="W111" s="17"/>
      <c r="X111" s="17"/>
      <c r="Y111" s="17"/>
      <c r="Z111" s="17"/>
      <c r="AA111" s="17"/>
      <c r="AB111" s="17"/>
      <c r="AC111" s="17"/>
      <c r="AD111" s="17"/>
      <c r="AE111" s="17"/>
      <c r="AF111" s="17"/>
      <c r="AG111" s="17"/>
      <c r="AH111" s="17"/>
      <c r="AI111" s="17"/>
      <c r="AJ111" s="17"/>
      <c r="AK111" s="17"/>
      <c r="AL111" s="17"/>
      <c r="AM111" s="17"/>
      <c r="AN111" s="17"/>
      <c r="AO111" s="17"/>
      <c r="AP111" s="17"/>
      <c r="AQ111" s="17"/>
      <c r="AR111" t="s">
        <v>379</v>
      </c>
      <c r="AT111" t="s">
        <v>380</v>
      </c>
      <c r="AW111" t="s">
        <v>1216</v>
      </c>
      <c r="AX111" t="s">
        <v>1217</v>
      </c>
      <c r="AY111" s="8" t="s">
        <v>1218</v>
      </c>
      <c r="AZ111" t="s">
        <v>384</v>
      </c>
      <c r="BA111" t="s">
        <v>1219</v>
      </c>
      <c r="BB111" t="s">
        <v>1220</v>
      </c>
      <c r="BC111" t="s">
        <v>380</v>
      </c>
      <c r="BD111" t="s">
        <v>380</v>
      </c>
      <c r="BE111" t="s">
        <v>380</v>
      </c>
      <c r="BF111" t="s">
        <v>380</v>
      </c>
      <c r="BG111">
        <v>34.209591699999997</v>
      </c>
      <c r="BH111">
        <v>-118.4859476</v>
      </c>
      <c r="BI111" t="s">
        <v>1221</v>
      </c>
      <c r="BJ111" t="s">
        <v>1114</v>
      </c>
      <c r="BK111" t="s">
        <v>1222</v>
      </c>
      <c r="BL111" t="s">
        <v>389</v>
      </c>
      <c r="BN111" t="s">
        <v>1223</v>
      </c>
      <c r="BO111" t="s">
        <v>391</v>
      </c>
      <c r="BP111">
        <v>-480</v>
      </c>
      <c r="BQ111" t="s">
        <v>1116</v>
      </c>
      <c r="BR111" t="s">
        <v>1224</v>
      </c>
      <c r="BS111">
        <v>4.3</v>
      </c>
      <c r="BT111">
        <v>5</v>
      </c>
    </row>
    <row r="112" spans="1:72" x14ac:dyDescent="0.25">
      <c r="N112" s="17"/>
      <c r="O112" s="17"/>
      <c r="P112" s="17"/>
      <c r="Q112" s="17"/>
      <c r="R112" s="17"/>
      <c r="S112" s="17"/>
      <c r="T112" s="17"/>
      <c r="U112" s="17"/>
      <c r="V112" s="17"/>
      <c r="W112" s="17"/>
      <c r="X112" s="17"/>
      <c r="Y112" s="17"/>
      <c r="Z112" s="17"/>
      <c r="AA112" s="17"/>
      <c r="AB112" s="17"/>
      <c r="AC112" s="17"/>
      <c r="AD112" s="17"/>
      <c r="AE112" s="17"/>
      <c r="AF112" s="17"/>
      <c r="AG112" s="17"/>
      <c r="AH112" s="17"/>
      <c r="AI112" s="17"/>
      <c r="AJ112" s="17"/>
      <c r="AK112" s="17"/>
      <c r="AL112" s="17"/>
      <c r="AM112" s="17"/>
      <c r="AN112" s="17"/>
      <c r="AO112" s="17"/>
      <c r="AP112" s="17"/>
      <c r="AQ112" s="17"/>
      <c r="AR112">
        <f>COUNTIF(AR2:AR111, "=YES")</f>
        <v>101</v>
      </c>
      <c r="AS112">
        <f>COUNTIF(AS2:AS111, "=X")</f>
        <v>53</v>
      </c>
      <c r="AT112">
        <f>COUNTIF(AT2:AT111, "=X")</f>
        <v>48</v>
      </c>
      <c r="AU112">
        <f>COUNTIF(AU2:AU111, "=X")</f>
        <v>0</v>
      </c>
      <c r="AV112">
        <f>COUNTIF(AV2:AV111, "=X")</f>
        <v>0</v>
      </c>
      <c r="AY112">
        <f>SUM(AS112:AX112)</f>
        <v>101</v>
      </c>
      <c r="BC112">
        <f>COUNTIF(BC2:BC111, "=X")</f>
        <v>74</v>
      </c>
      <c r="BD112">
        <f>COUNTIF(BD2:BD111, "=X")</f>
        <v>81</v>
      </c>
      <c r="BE112">
        <f>COUNTIF(BE2:BE111, "=X")</f>
        <v>97</v>
      </c>
      <c r="BF112">
        <f>COUNTIF(BF2:BF111, "=X")</f>
        <v>89</v>
      </c>
    </row>
    <row r="113" spans="14:58" x14ac:dyDescent="0.25">
      <c r="N113" s="17"/>
      <c r="O113" s="17"/>
      <c r="P113" s="17"/>
      <c r="Q113" s="17"/>
      <c r="R113" s="17"/>
      <c r="S113" s="17"/>
      <c r="T113" s="17"/>
      <c r="U113" s="17"/>
      <c r="V113" s="17"/>
      <c r="W113" s="17"/>
      <c r="X113" s="17"/>
      <c r="Y113" s="17"/>
      <c r="Z113" s="17"/>
      <c r="AA113" s="17"/>
      <c r="AB113" s="17"/>
      <c r="AC113" s="17"/>
      <c r="AD113" s="17"/>
      <c r="AE113" s="17"/>
      <c r="AF113" s="17"/>
      <c r="AG113" s="17"/>
      <c r="AH113" s="17"/>
      <c r="AI113" s="17"/>
      <c r="AJ113" s="17"/>
      <c r="AK113" s="17"/>
      <c r="AL113" s="17"/>
      <c r="AM113" s="17"/>
      <c r="AN113" s="17"/>
      <c r="AO113" s="17"/>
      <c r="AP113" s="17"/>
      <c r="AQ113" s="17"/>
      <c r="AY113" s="10">
        <f>116/147</f>
        <v>0.78911564625850339</v>
      </c>
      <c r="AZ113" s="10"/>
      <c r="BA113" s="10"/>
      <c r="BB113" s="10"/>
      <c r="BC113" s="10">
        <f>BC112/$AY$112</f>
        <v>0.73267326732673266</v>
      </c>
      <c r="BD113" s="10">
        <f t="shared" ref="BD113:BF113" si="0">BD112/$AY$112</f>
        <v>0.80198019801980203</v>
      </c>
      <c r="BE113" s="10">
        <f t="shared" si="0"/>
        <v>0.96039603960396036</v>
      </c>
      <c r="BF113" s="10">
        <f t="shared" si="0"/>
        <v>0.88118811881188119</v>
      </c>
    </row>
  </sheetData>
  <autoFilter ref="B1:BU113" xr:uid="{3386AE17-49C8-4771-BFE9-C5884E653155}"/>
  <sortState xmlns:xlrd2="http://schemas.microsoft.com/office/spreadsheetml/2017/richdata2" ref="A71:BW111">
    <sortCondition ref="B2:B113"/>
  </sortState>
  <conditionalFormatting sqref="AR1:AR1048576">
    <cfRule type="containsBlanks" dxfId="3" priority="2">
      <formula>LEN(TRIM(AR1))=0</formula>
    </cfRule>
    <cfRule type="cellIs" dxfId="2" priority="3" operator="equal">
      <formula>"NO"</formula>
    </cfRule>
    <cfRule type="cellIs" dxfId="1" priority="4" operator="equal">
      <formula>"YES"</formula>
    </cfRule>
  </conditionalFormatting>
  <conditionalFormatting sqref="BC1:BF111 BC113:BF1048576">
    <cfRule type="cellIs" dxfId="0" priority="1" operator="equal">
      <formula>"X"</formula>
    </cfRule>
  </conditionalFormatting>
  <hyperlinks>
    <hyperlink ref="M27" r:id="rId1" xr:uid="{5BACABFD-F724-420A-8FBB-91E4A1566852}"/>
    <hyperlink ref="M45" r:id="rId2" xr:uid="{1E76BABB-B812-4B5A-A96F-00AF90C49F4F}"/>
    <hyperlink ref="M66" r:id="rId3" xr:uid="{1112EAEE-13A2-4F46-9C5E-A7BCEB0A4882}"/>
  </hyperlinks>
  <pageMargins left="0.7" right="0.7" top="0.75" bottom="0.75" header="0.3" footer="0.3"/>
  <pageSetup orientation="portrait"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BetaDataResults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Doug T</dc:creator>
  <cp:lastModifiedBy>Jared Baszler</cp:lastModifiedBy>
  <dcterms:created xsi:type="dcterms:W3CDTF">2020-11-12T22:43:47Z</dcterms:created>
  <dcterms:modified xsi:type="dcterms:W3CDTF">2021-03-01T06:51:59Z</dcterms:modified>
</cp:coreProperties>
</file>