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autoCompressPictures="0"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CB459698-1323-44CC-9BA4-190D02EAC18D}" xr6:coauthVersionLast="46" xr6:coauthVersionMax="46" xr10:uidLastSave="{00000000-0000-0000-0000-000000000000}"/>
  <bookViews>
    <workbookView xWindow="-21600" yWindow="0" windowWidth="21600" windowHeight="15600" activeTab="1" xr2:uid="{00000000-000D-0000-FFFF-FFFF00000000}"/>
  </bookViews>
  <sheets>
    <sheet name="BetaData" sheetId="5" r:id="rId1"/>
    <sheet name="BetaDataResults" sheetId="6" r:id="rId2"/>
    <sheet name="Sheet1" sheetId="7" r:id="rId3"/>
  </sheets>
  <definedNames>
    <definedName name="_xlnm._FilterDatabase" localSheetId="0" hidden="1">BetaData!$B$1:$AQ$148</definedName>
    <definedName name="_xlnm._FilterDatabase" localSheetId="1" hidden="1">BetaDataResults!$B$1:$AV$113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Z113" i="6" l="1"/>
  <c r="S112" i="6"/>
  <c r="AE112" i="6"/>
  <c r="AF112" i="6"/>
  <c r="AG112" i="6"/>
  <c r="AD112" i="6"/>
  <c r="V112" i="6"/>
  <c r="W112" i="6"/>
  <c r="U112" i="6"/>
  <c r="T112" i="6"/>
  <c r="Z112" i="6" l="1"/>
  <c r="AG113" i="6" s="1"/>
  <c r="AD113" i="6" l="1"/>
  <c r="AE113" i="6"/>
  <c r="AF113" i="6"/>
</calcChain>
</file>

<file path=xl/sharedStrings.xml><?xml version="1.0" encoding="utf-8"?>
<sst xmlns="http://schemas.openxmlformats.org/spreadsheetml/2006/main" count="4457" uniqueCount="1498">
  <si>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</si>
  <si>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</si>
  <si>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</si>
  <si>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</si>
  <si>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</si>
  <si>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</si>
  <si>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</si>
  <si>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</si>
  <si>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</si>
  <si>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</si>
  <si>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</si>
  <si>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</si>
  <si>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</si>
  <si>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SyncStatus</t>
  </si>
  <si>
    <t>Google:SyncByPhone</t>
  </si>
  <si>
    <t>Google:SyncByNameAndAddress</t>
  </si>
  <si>
    <t>Google:SyncByWebsite</t>
  </si>
  <si>
    <t>Google:SyncByName</t>
  </si>
  <si>
    <t>Google:URL</t>
  </si>
  <si>
    <t>Google:JSON</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</si>
  <si>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</si>
  <si>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</si>
  <si>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</si>
  <si>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</si>
  <si>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</si>
  <si>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</si>
  <si>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</si>
  <si>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</si>
  <si>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</si>
  <si>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</si>
  <si>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</si>
  <si>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</si>
  <si>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</si>
  <si>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</si>
  <si>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</si>
  <si>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</si>
  <si>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</si>
  <si>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</si>
  <si>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</si>
  <si>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</si>
  <si>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</si>
  <si>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</si>
  <si>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Jet Aviation</t>
  </si>
  <si>
    <t>4301 Empire Avenue</t>
  </si>
  <si>
    <t>Burbank</t>
  </si>
  <si>
    <t>CA</t>
  </si>
  <si>
    <t>91505</t>
  </si>
  <si>
    <t>United States</t>
  </si>
  <si>
    <t>818-841-6190</t>
  </si>
  <si>
    <t>Jet Aviation West - Burbank (Formerly AvJet)</t>
  </si>
  <si>
    <t>4301 W Empire Ave</t>
  </si>
  <si>
    <t>91505-1109</t>
  </si>
  <si>
    <t>(818) 841-6190</t>
  </si>
  <si>
    <t>http://www.jetaviation.com</t>
  </si>
  <si>
    <t>Million Air - Burbank</t>
  </si>
  <si>
    <t>2800 N Clybourn Ave</t>
  </si>
  <si>
    <t>91505-1010</t>
  </si>
  <si>
    <t>(818) 843-8311</t>
  </si>
  <si>
    <t>http://www.millionair.com</t>
  </si>
  <si>
    <t>VELOCITY AEROSPACE - BURBANK INC</t>
  </si>
  <si>
    <t>2840 N. ONTARIO STREET</t>
  </si>
  <si>
    <t>7415 HAYVENHURST PLACE</t>
  </si>
  <si>
    <t>BURBANK</t>
  </si>
  <si>
    <t>AMERIFLIGHT LLC</t>
  </si>
  <si>
    <t>4700 EMPIRE AVE HGR 1</t>
  </si>
  <si>
    <t/>
  </si>
  <si>
    <t>JET CORPORATION</t>
  </si>
  <si>
    <t>4301 EMPIRE AVENUE</t>
  </si>
  <si>
    <t>HUTCHINSON AEROSPACE AND INDUSTRY INC</t>
  </si>
  <si>
    <t>4510 VANOWEN ST</t>
  </si>
  <si>
    <t>CIVIC HELICOPTERS INC</t>
  </si>
  <si>
    <t>2206-H PALOMAR AIRPORT ROAD</t>
  </si>
  <si>
    <t>CARLSBAD</t>
  </si>
  <si>
    <t>(760)438-8424 </t>
  </si>
  <si>
    <t>PINNACLE AVIATION ACADEMY INC</t>
  </si>
  <si>
    <t>2210 PALOMAR AIRPORT ROAD</t>
  </si>
  <si>
    <t>(760)929-1009 </t>
  </si>
  <si>
    <t>Diamond Aviation</t>
  </si>
  <si>
    <t>2100 Palomar Airport Rd</t>
  </si>
  <si>
    <t>Suite B200</t>
  </si>
  <si>
    <t>Carlsbad</t>
  </si>
  <si>
    <t>92011</t>
  </si>
  <si>
    <t>619-980-2116</t>
  </si>
  <si>
    <t>Global Aviation Consulting, LLC</t>
  </si>
  <si>
    <t>2198 Palomar Airport Road</t>
  </si>
  <si>
    <t>Jet Methods</t>
  </si>
  <si>
    <t>2006 Palomar Airport Road</t>
  </si>
  <si>
    <t>Suite 101</t>
  </si>
  <si>
    <t>760-930-9315</t>
  </si>
  <si>
    <t>Latitude 33 Aviation, LLC</t>
  </si>
  <si>
    <t>2100 Palomar Airport Road</t>
  </si>
  <si>
    <t>Suite 211</t>
  </si>
  <si>
    <t>760-385-3610</t>
  </si>
  <si>
    <t>Premier Air Charter, LLC</t>
  </si>
  <si>
    <t>Suite 210</t>
  </si>
  <si>
    <t>858-381-3435</t>
  </si>
  <si>
    <t>Tango Air, Inc.</t>
  </si>
  <si>
    <t>2026 Palomar Airport Road</t>
  </si>
  <si>
    <t>760-929-0307</t>
  </si>
  <si>
    <t>Jet AMG Services LLC</t>
  </si>
  <si>
    <t>2006 Palomar Airport Rd Suite 201</t>
  </si>
  <si>
    <t>Schubach Aviation</t>
  </si>
  <si>
    <t>2026 Palomar Airport Rd</t>
  </si>
  <si>
    <t>92011-4412</t>
  </si>
  <si>
    <t>(760) 929-0307</t>
  </si>
  <si>
    <t>https://schubachaviation.com</t>
  </si>
  <si>
    <t>Flight Crew Systems, Inc</t>
  </si>
  <si>
    <t>LOFT</t>
  </si>
  <si>
    <t>Flight Crew Systems, Inc. d/b/a LOFT</t>
  </si>
  <si>
    <t>6150 Corte Del Cedro</t>
  </si>
  <si>
    <t>TRU Simulation + Training LLC</t>
  </si>
  <si>
    <t>6144 Innovation Way</t>
  </si>
  <si>
    <t>92009</t>
  </si>
  <si>
    <t>PACIFIC COAST ENTERPRISES INC</t>
  </si>
  <si>
    <t>3513 SOMERSET WAY</t>
  </si>
  <si>
    <t>HANGAR ONE AVIONICS INC</t>
  </si>
  <si>
    <t>2026 PALOMAR AIRPORT ROAD</t>
  </si>
  <si>
    <t>HANGAR ONE OF CALIFORNIA INC</t>
  </si>
  <si>
    <t>2026 PALOMAR AIRPORT RD.</t>
  </si>
  <si>
    <t>HANGER #2</t>
  </si>
  <si>
    <t>L E A INC</t>
  </si>
  <si>
    <t>2186 PALOMAR AIRPORT ROAD</t>
  </si>
  <si>
    <t>CLAY LACY AVIATION INC</t>
  </si>
  <si>
    <t>2100 Palomar Airport Rd.</t>
  </si>
  <si>
    <t>Suite 230</t>
  </si>
  <si>
    <t>2206 PALOMAR AIRPORT ROAD</t>
  </si>
  <si>
    <t>ANTHELION HELICOPTERS</t>
  </si>
  <si>
    <t>3200 AIRFLITE WAY</t>
  </si>
  <si>
    <t>LONG BEACH</t>
  </si>
  <si>
    <t>(562)424-2684 </t>
  </si>
  <si>
    <t>CANDACE A LARNED ENTERPRISES INC</t>
  </si>
  <si>
    <t>LONG BEACH FLIGHT ACADEMY</t>
  </si>
  <si>
    <t>2631 E. SPRING STREET</t>
  </si>
  <si>
    <t>90806</t>
  </si>
  <si>
    <t>(562)290-0321 </t>
  </si>
  <si>
    <t>SKY CREATION INC</t>
  </si>
  <si>
    <t>2801 E. SPRING STREET</t>
  </si>
  <si>
    <t>SUITE 150</t>
  </si>
  <si>
    <t>(562)490-0077 </t>
  </si>
  <si>
    <t>Air Rutter International, LLC</t>
  </si>
  <si>
    <t>3501 North Lakewood Boulevard</t>
  </si>
  <si>
    <t>Long Beach</t>
  </si>
  <si>
    <t>90808</t>
  </si>
  <si>
    <t>562-425-8880</t>
  </si>
  <si>
    <t>Alerion Aviation, LLC</t>
  </si>
  <si>
    <t>Anthelion Helicopters</t>
  </si>
  <si>
    <t>3200 Airflite Way</t>
  </si>
  <si>
    <t>90807</t>
  </si>
  <si>
    <t>562-424-2684</t>
  </si>
  <si>
    <t>Island Express Helicopters, Inc.</t>
  </si>
  <si>
    <t>1175 Queens Highway</t>
  </si>
  <si>
    <t>90802</t>
  </si>
  <si>
    <t>310-510-2525</t>
  </si>
  <si>
    <t>Nexjet Corporation</t>
  </si>
  <si>
    <t>3250 Airflite Way</t>
  </si>
  <si>
    <t>562-912-5676</t>
  </si>
  <si>
    <t>Rainbow Air Charter, Inc.</t>
  </si>
  <si>
    <t>2601 East Spring Street</t>
  </si>
  <si>
    <t>562-424-0119</t>
  </si>
  <si>
    <t>Aerolease / Aeroplex Group</t>
  </si>
  <si>
    <t>3333 E Spring St Ste 204</t>
  </si>
  <si>
    <t>90806-2446</t>
  </si>
  <si>
    <t>(562) 981-2659</t>
  </si>
  <si>
    <t>http://www.aeroplex.net</t>
  </si>
  <si>
    <t>ZEPHYR SERVICES LLC</t>
  </si>
  <si>
    <t>2735 E Spring Street</t>
  </si>
  <si>
    <t>WEST COAST AIRCRAFT MAINTENANCE LLC</t>
  </si>
  <si>
    <t>2881 E. SPRING STREET</t>
  </si>
  <si>
    <t>OCR AVIATION</t>
  </si>
  <si>
    <t>2721 East Spring Street</t>
  </si>
  <si>
    <t>SOCAL JET SERVICES INC</t>
  </si>
  <si>
    <t>3355 EAST SPRING STREET, SUITE 100</t>
  </si>
  <si>
    <t>ATLAS INSTRUMENTS LLC</t>
  </si>
  <si>
    <t>GULFSTREAM AEROSPACE CORPORATION</t>
  </si>
  <si>
    <t>4150 DONALD DOUGLAS DRIVE</t>
  </si>
  <si>
    <t>AIR RUTTER INTERNATIONAL LLC</t>
  </si>
  <si>
    <t>4310 DONALD DOUGLAS DRIVE</t>
  </si>
  <si>
    <t>CITY OF LONG BEACH CALIFORNIA INC</t>
  </si>
  <si>
    <t>3205 LAKEWOOD BLVD</t>
  </si>
  <si>
    <t>Clay Lacy Aviation, Inc.</t>
  </si>
  <si>
    <t>8433 Earhart Road</t>
  </si>
  <si>
    <t>Oakland</t>
  </si>
  <si>
    <t>94621</t>
  </si>
  <si>
    <t>KaiserAir, Inc.</t>
  </si>
  <si>
    <t>P.O. Box 2626</t>
  </si>
  <si>
    <t>Airport Station</t>
  </si>
  <si>
    <t>94614</t>
  </si>
  <si>
    <t>510-569-9622</t>
  </si>
  <si>
    <t>Pacific Coast Jet, LLC</t>
  </si>
  <si>
    <t>8517 Earhart Road</t>
  </si>
  <si>
    <t>#170</t>
  </si>
  <si>
    <t>SP Aviation, Inc.</t>
  </si>
  <si>
    <t>9351 Earhart Road</t>
  </si>
  <si>
    <t>510-783-3584</t>
  </si>
  <si>
    <t>COLLEGE OF ALAMEDA</t>
  </si>
  <si>
    <t>970 HARBOR BAY PARKWAY</t>
  </si>
  <si>
    <t>OAKLAND</t>
  </si>
  <si>
    <t>(510)748-2318 </t>
  </si>
  <si>
    <t>Aviation Marine Insurance Services</t>
  </si>
  <si>
    <t>5707 Redwood Rd Ste 1</t>
  </si>
  <si>
    <t>94619-2400</t>
  </si>
  <si>
    <t>(510) 530-4415</t>
  </si>
  <si>
    <t>http://www.aviation-marine.com</t>
  </si>
  <si>
    <t>KaiserAir Inc.</t>
  </si>
  <si>
    <t>PO Box 2626Oakland International Airport</t>
  </si>
  <si>
    <t>94614-0626</t>
  </si>
  <si>
    <t>(510) 569-9622</t>
  </si>
  <si>
    <t>http://www.kaiserair.com</t>
  </si>
  <si>
    <t>JETT PRO LINE MAINTENANCE INC.</t>
  </si>
  <si>
    <t>8517 EARHART ROAD, SUITE 210,</t>
  </si>
  <si>
    <t>CALIFORNIA IN NICE INC</t>
  </si>
  <si>
    <t>NICE AIR</t>
  </si>
  <si>
    <t>2575 ROBERT FOWLER WAY</t>
  </si>
  <si>
    <t>SAN JOSE</t>
  </si>
  <si>
    <t>95148</t>
  </si>
  <si>
    <t>(408)729-3383 </t>
  </si>
  <si>
    <t>SKYWORKS AVIATION INC</t>
  </si>
  <si>
    <t>TRADE WINDS AVIATION</t>
  </si>
  <si>
    <t>2505 CUNNINGHAM AVENUE</t>
  </si>
  <si>
    <t>(408)729-5100 </t>
  </si>
  <si>
    <t>SQUADRON ACQUISITION CORPORATION</t>
  </si>
  <si>
    <t>SQUADRON 2</t>
  </si>
  <si>
    <t>2655 ROBERT FOWLER WAY</t>
  </si>
  <si>
    <t>(408)648-6961 </t>
  </si>
  <si>
    <t>WAKITA, YUZO</t>
  </si>
  <si>
    <t>AIR ACCORD</t>
  </si>
  <si>
    <t>(408)258-6321 </t>
  </si>
  <si>
    <t>AvBase San Jose, LLC</t>
  </si>
  <si>
    <t>1144 Coleman Ave Ste 90</t>
  </si>
  <si>
    <t>San Jose</t>
  </si>
  <si>
    <t>95110-1129</t>
  </si>
  <si>
    <t>(408) 998-2177</t>
  </si>
  <si>
    <t>QuikCharter</t>
  </si>
  <si>
    <t>PO Box 54031</t>
  </si>
  <si>
    <t>California</t>
  </si>
  <si>
    <t>95124</t>
  </si>
  <si>
    <t>QuikCharter.com</t>
  </si>
  <si>
    <t>CORPORATE AVIATION ASSOC INC</t>
  </si>
  <si>
    <t>1250 AVIATION AVENUE</t>
  </si>
  <si>
    <t>SUITE 125</t>
  </si>
  <si>
    <t>CAL-AIR AVIATION SERVICES INC</t>
  </si>
  <si>
    <t>1277 AIRPORT BLVD</t>
  </si>
  <si>
    <t>NORM MINETA INT'L AIRPORT</t>
  </si>
  <si>
    <t>HEWLETT-PACKARD ENTERPRISE COMPANY</t>
  </si>
  <si>
    <t>1210 AVIATION AVE.</t>
  </si>
  <si>
    <t>L A C AVIONICS INC</t>
  </si>
  <si>
    <t>SUITE 110</t>
  </si>
  <si>
    <t>ORANGE COUNTY FLIGHT CENTER INC</t>
  </si>
  <si>
    <t>19531 CAMPUS DRIVE SUITE 4</t>
  </si>
  <si>
    <t>SANTA ANA</t>
  </si>
  <si>
    <t>(949)756-1300 </t>
  </si>
  <si>
    <t>SUNRISE AVIATION COMPANY INC</t>
  </si>
  <si>
    <t>19531 CAMPUS DRIVE</t>
  </si>
  <si>
    <t>SUITE 7</t>
  </si>
  <si>
    <t>(949)852-8850 </t>
  </si>
  <si>
    <t>C.C. Calzone, LLC</t>
  </si>
  <si>
    <t>19301 Campus Drive</t>
  </si>
  <si>
    <t>Suite 250</t>
  </si>
  <si>
    <t>Santa Ana</t>
  </si>
  <si>
    <t>92707</t>
  </si>
  <si>
    <t>949-474-2900</t>
  </si>
  <si>
    <t>KMR Aviation, Inc.</t>
  </si>
  <si>
    <t>19711 Campus Drive</t>
  </si>
  <si>
    <t>Suite 150</t>
  </si>
  <si>
    <t>800-352-6153</t>
  </si>
  <si>
    <t>Macair, Inc.</t>
  </si>
  <si>
    <t>Suite 202</t>
  </si>
  <si>
    <t>949-250-1359</t>
  </si>
  <si>
    <t>Regency Air, LLC</t>
  </si>
  <si>
    <t>949-851-0966</t>
  </si>
  <si>
    <t>West Coast Charters, Inc.</t>
  </si>
  <si>
    <t>949-852-8340</t>
  </si>
  <si>
    <t>Freespeed Aviation, LLC</t>
  </si>
  <si>
    <t>19301 Campus Drive Suite 267</t>
  </si>
  <si>
    <t>(310) 362-6909</t>
  </si>
  <si>
    <t>http://www.freespeedaviation.com</t>
  </si>
  <si>
    <t>19301 Campus Dr Ste 202</t>
  </si>
  <si>
    <t>92707-5232</t>
  </si>
  <si>
    <t>(949) 250-1359</t>
  </si>
  <si>
    <t>macairinc.com</t>
  </si>
  <si>
    <t>19301 Campus Dr Ste 150</t>
  </si>
  <si>
    <t>92707-5235</t>
  </si>
  <si>
    <t>(949) 851-0966</t>
  </si>
  <si>
    <t>http://regencyair.com</t>
  </si>
  <si>
    <t>West Coast Aviation Services</t>
  </si>
  <si>
    <t>19711 Campus Dr Ste 200</t>
  </si>
  <si>
    <t>92707-5203</t>
  </si>
  <si>
    <t>(949) 852-8340</t>
  </si>
  <si>
    <t>http://www.westcoastcharters.com</t>
  </si>
  <si>
    <t>MARTIN AVIATION L P</t>
  </si>
  <si>
    <t>19300 IKE JONES ROAD</t>
  </si>
  <si>
    <t>AMERICAN AIRCRAFT MAINTENANCE INC</t>
  </si>
  <si>
    <t>19711-B CAMPUS DRIVE</t>
  </si>
  <si>
    <t>LEADING EDGE AVIONICS INC</t>
  </si>
  <si>
    <t>19300 Ike Jones Road</t>
  </si>
  <si>
    <t>KIM DAVIDSON AVIATION INC</t>
  </si>
  <si>
    <t>2701 AIRPORT AVE.</t>
  </si>
  <si>
    <t>SANTA MONICA</t>
  </si>
  <si>
    <t>MACH 141 INC</t>
  </si>
  <si>
    <t>7240 HAYVENHURST AVE.</t>
  </si>
  <si>
    <t>VAN NUYS</t>
  </si>
  <si>
    <t>(818)787-8500 </t>
  </si>
  <si>
    <t>Chrysler Aviation, Inc.</t>
  </si>
  <si>
    <t>7120 Hayvenhurst Avenue</t>
  </si>
  <si>
    <t>Suite 309</t>
  </si>
  <si>
    <t>Van Nuys</t>
  </si>
  <si>
    <t>91406</t>
  </si>
  <si>
    <t>818-989-7900</t>
  </si>
  <si>
    <t>7240 Hayvenhurst Avenue</t>
  </si>
  <si>
    <t>7435 Valjean Avenue</t>
  </si>
  <si>
    <t>818-989-2900</t>
  </si>
  <si>
    <t>Dreamline Aviation, LLC</t>
  </si>
  <si>
    <t>16461 Sherman Way</t>
  </si>
  <si>
    <t>818-988-0029</t>
  </si>
  <si>
    <t>Golden State Jet, LLC</t>
  </si>
  <si>
    <t>7240 Hayvenhurst Place</t>
  </si>
  <si>
    <t>Suite 146</t>
  </si>
  <si>
    <t>Helinet Aviation Services, LLC</t>
  </si>
  <si>
    <t>16303 Waterman Drive</t>
  </si>
  <si>
    <t>818-902-0229</t>
  </si>
  <si>
    <t>Jet Aviation Flight Services, Inc.</t>
  </si>
  <si>
    <t>7415 Hayvenhurst Place</t>
  </si>
  <si>
    <t>818-909-3100</t>
  </si>
  <si>
    <t>Jet Edge International</t>
  </si>
  <si>
    <t>16700C Roscoe Boulevard</t>
  </si>
  <si>
    <t>818-442-0096</t>
  </si>
  <si>
    <t>MB Airways</t>
  </si>
  <si>
    <t>Suite 254</t>
  </si>
  <si>
    <t>818-787-2205</t>
  </si>
  <si>
    <t>Pegasus Elite Aviation, Inc.</t>
  </si>
  <si>
    <t>7943 Woodley Avenue</t>
  </si>
  <si>
    <t>818-742-6666</t>
  </si>
  <si>
    <t>Planet Nine Private Air, LLC</t>
  </si>
  <si>
    <t>Suite 255</t>
  </si>
  <si>
    <t>818-724-5999</t>
  </si>
  <si>
    <t>Style Aviation Services, Inc.</t>
  </si>
  <si>
    <t>818-988-2931</t>
  </si>
  <si>
    <t>Trans-Exec Air Service, Inc.</t>
  </si>
  <si>
    <t>Suite 262</t>
  </si>
  <si>
    <t>818-904-6900</t>
  </si>
  <si>
    <t>Western Air Charter, Inc.</t>
  </si>
  <si>
    <t>NORTH VALLEY OCCUPATIONAL CENTER</t>
  </si>
  <si>
    <t>16550 SATICOY ST.</t>
  </si>
  <si>
    <t> 91406</t>
  </si>
  <si>
    <t>(818)256-1400 </t>
  </si>
  <si>
    <t>24/7 JET, Inc</t>
  </si>
  <si>
    <t>7426 Hayvernhurst Ave.</t>
  </si>
  <si>
    <t>(877) 247-5387</t>
  </si>
  <si>
    <t>www.247jet.com</t>
  </si>
  <si>
    <t>Castle &amp; Cooke Aviation</t>
  </si>
  <si>
    <t>7415 Hayvenhurst Pl</t>
  </si>
  <si>
    <t>91406-2822</t>
  </si>
  <si>
    <t>(818) 988-8385</t>
  </si>
  <si>
    <t>http://www.castlecookeaviation.com/</t>
  </si>
  <si>
    <t>Chrysler Aviation Inc.</t>
  </si>
  <si>
    <t>7120 Hayvenhurst Ave Ste 309</t>
  </si>
  <si>
    <t>91406-3813</t>
  </si>
  <si>
    <t>(818) 989-7900</t>
  </si>
  <si>
    <t>http://www.chrysleraviation.com</t>
  </si>
  <si>
    <t>Clay Lacy Aviation</t>
  </si>
  <si>
    <t>7435 Valjean Ave</t>
  </si>
  <si>
    <t>91406-2901</t>
  </si>
  <si>
    <t>(818) 989-2900</t>
  </si>
  <si>
    <t>http://www.claylacy.com</t>
  </si>
  <si>
    <t>16461 Sherman WaySuite 210</t>
  </si>
  <si>
    <t>(818) 988-0029</t>
  </si>
  <si>
    <t>http://www.dreamlineaviation.com/</t>
  </si>
  <si>
    <t>Extraord-N-Air, Inc.</t>
  </si>
  <si>
    <t>16122 Saticoy Street</t>
  </si>
  <si>
    <t>(818) 785-2577</t>
  </si>
  <si>
    <t>JetWorx</t>
  </si>
  <si>
    <t>16700C Roscoe Blvd</t>
  </si>
  <si>
    <t>(818) 933-6509</t>
  </si>
  <si>
    <t>www.jetworx.com</t>
  </si>
  <si>
    <t>Mike Boal Designs</t>
  </si>
  <si>
    <t>16101 Saticoy St</t>
  </si>
  <si>
    <t>91406-2915</t>
  </si>
  <si>
    <t>(818) 376-1606</t>
  </si>
  <si>
    <t>http://www.mikeboaldesigns.com</t>
  </si>
  <si>
    <t>Style Aviation Services Inc.</t>
  </si>
  <si>
    <t>(818) 988-2931</t>
  </si>
  <si>
    <t>http://www.styleair.com</t>
  </si>
  <si>
    <t>Van Nuys Airport</t>
  </si>
  <si>
    <t>16461 Sherman Way, Suite 300</t>
  </si>
  <si>
    <t>(818) 442-6500</t>
  </si>
  <si>
    <t>www.lawa.org</t>
  </si>
  <si>
    <t>7701 Woodley Avenue</t>
  </si>
  <si>
    <t>THORNTON AIRCRAFT COMPANY LLC</t>
  </si>
  <si>
    <t>7520 HAYVENHURST AVENUE</t>
  </si>
  <si>
    <t>16644 Roscoe Boulevard</t>
  </si>
  <si>
    <t>DASSAULT AIRCRAFT SERVICES CORPORATION</t>
  </si>
  <si>
    <t>7701 WOODLEY AVENUE</t>
  </si>
  <si>
    <t>JET TECH LTD</t>
  </si>
  <si>
    <t>16233 VANOWEN ST.</t>
  </si>
  <si>
    <t>HANGAR #1</t>
  </si>
  <si>
    <t>LEGACY AIRCRAFT SERVICES INC</t>
  </si>
  <si>
    <t>16101 Saticoy Street</t>
  </si>
  <si>
    <t>Suite 201</t>
  </si>
  <si>
    <t>MATHER AVIATION VAN NUYS LLC</t>
  </si>
  <si>
    <t>7240 HAVENHURST PLACE</t>
  </si>
  <si>
    <t>MP AERO, LLC</t>
  </si>
  <si>
    <t>EXTRAORD-N-AIR, INC.</t>
  </si>
  <si>
    <t>A PLUS AVIONICS CORP</t>
  </si>
  <si>
    <t>7240 HAYVENHURST AVENUE</t>
  </si>
  <si>
    <t>RTS AIRCRAFT SERVICES LLC</t>
  </si>
  <si>
    <t>7155 Valjean Avenue</t>
  </si>
  <si>
    <t>Hangar 4</t>
  </si>
  <si>
    <t>NATIONAL HELICOPTER SERVICE AND ENGINEERING CO INC</t>
  </si>
  <si>
    <t>16700 ROSCOE BLVD</t>
  </si>
  <si>
    <t>HELINET AVIATION SERVICES LLC</t>
  </si>
  <si>
    <t>16303 WATERMAN DR.</t>
  </si>
  <si>
    <t>L G ELECTRICAL INC</t>
  </si>
  <si>
    <t>16124 LEADWELL STREET</t>
  </si>
  <si>
    <t>AERO NASCH AVIATION INC</t>
  </si>
  <si>
    <t>6849 HAYVENHURST AVE</t>
  </si>
  <si>
    <t>SAFRAN AEROSYSTEMS SERVICES AMERICAS LLC</t>
  </si>
  <si>
    <t>6734 VALJEAN AVENUE</t>
  </si>
  <si>
    <t>CITY OF LOS ANGELES-GENERAL SERVICES</t>
  </si>
  <si>
    <t>16621 ARMINTA STREET</t>
  </si>
  <si>
    <t>SOCAL JETS INC</t>
  </si>
  <si>
    <t>7035 SOPHIA AVENUE</t>
  </si>
  <si>
    <t>V I P JET SERVICES INC</t>
  </si>
  <si>
    <t>16644 ROSCOE BLVD.</t>
  </si>
  <si>
    <t>Hangar 1-6</t>
  </si>
  <si>
    <t>WESTERN JET AVIATION INC</t>
  </si>
  <si>
    <t>16101 SATICOY STREET</t>
  </si>
  <si>
    <t>901 HANGAR, VAN NUYS AIRPORT</t>
  </si>
  <si>
    <t>REPAIRTECH INTERNATIONAL INC</t>
  </si>
  <si>
    <t>16134 SATICOY STREET</t>
  </si>
  <si>
    <t>WESTERN JET MAINTENANCE LLC</t>
  </si>
  <si>
    <t>DUNCAN AVIATION INC</t>
  </si>
  <si>
    <t>7943 WOODLEY AVE.</t>
  </si>
  <si>
    <t>YES</t>
  </si>
  <si>
    <t>X</t>
  </si>
  <si>
    <t>https://maps.googleapis.com/maps/api/place/findplacefromtext/json?input=%2B18188416190&amp;inputtype=phonenumber&amp;fields=business_status,formatted_address,geometry,icon,name,permanently_closed,place_id,plus_code,types&amp;key=AIzaSyAUoR1hu32epmid_r-h7_AiXQWhNu3zr3U</t>
  </si>
  <si>
    <t>{"business_status":"OPERATIONAL","formatted_address":"4301 Empire Ave, Burbank, CA 91505, USA","geometry":{"location":{"lat":34.194657,"lng":-118.358899},"viewport":{"northeast":{"lat":34.1959114302915,"lng":-118.3577521197085},"southwest":{"lat":34.1932134697085,"lng":-118.3604500802915}}},"icon":"https://maps.gstatic.com/mapfiles/place_api/icons/v1/png_71/generic_business-71.png","name":"Avjet Corporation","place_id":"ChIJD92c5a-VwoARqVWJKutdPoE","plus_code":{"compound_code":"5JVR+VC Burbank, CA, USA","global_code":"85635JVR+VC"},"types":["point_of_interest","establishment"]}</t>
  </si>
  <si>
    <t>Avjet Corporation</t>
  </si>
  <si>
    <t>OPERATIONAL</t>
  </si>
  <si>
    <t>ChIJD92c5a-VwoARqVWJKutdPoE</t>
  </si>
  <si>
    <t>4301 Empire Ave, Burbank, CA 91505, USA</t>
  </si>
  <si>
    <t>{"html_attributions":[],"result":{"address_components":[{"long_name":"4301","short_name":"4301","types":["street_number"]},{"long_name":"Empire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class=\"street-address\"&gt;4301 Empire Ave&lt;/span&gt;, &lt;span class=\"locality\"&gt;Burbank&lt;/span&gt;, &lt;span class=\"region\"&gt;CA&lt;/span&gt; &lt;span class=\"postal-code\"&gt;91505&lt;/span&gt;, &lt;span class=\"country-name\"&gt;USA&lt;/span&gt;","formatted_address":"4301 Empire Ave, Burbank, CA 91505, USA","formatted_phone_number":"(818) 841-6190","geometry":{"location":{"lat":34.194657,"lng":-118.358899},"viewport":{"northeast":{"lat":34.1959114302915,"lng":-118.3577521197085},"southwest":{"lat":34.1932134697085,"lng":-118.3604500802915}}},"icon":"https://maps.gstatic.com/mapfiles/place_api/icons/v1/png_71/generic_business-71.png","id":null,"international_phone_number":"+1 818-841-6190","name":"Avjet Corporation","place_id":"ChIJD92c5a-VwoARqVWJKutdPoE","rating":4.2,"reference":null,"reviews":[{"author_name":"Luca Brazi","author_url":"https://www.google.com/maps/contrib/102765977740541799345/reviews","language":"en","profile_photo_url":"https://lh3.googleusercontent.com/a-/AOh14GijTUXbI0kOKmY2BcD-MBFiqyCuIYQBuqtd6E7bcA=s128-c0x00000000-cc-rp-mo","rating":5,"relative_time_description":"a year ago","text":"Best pilots ever","time":1562130030},{"author_name":"Silva Keshishian","author_url":"https://www.google.com/maps/contrib/114939575839005800839/reviews","language":"en","profile_photo_url":"https://lh3.googleusercontent.com/-E_J784nGeyM/AAAAAAAAAAI/AAAAAAAAABg/AMZuuckCvzGJZnOepx9vTYLGWWaoieB3ZQ/s128-c0x00000000-cc-rp-mo/photo.jpg","rating":1,"relative_time_description":"3 years ago","text":"Extremely overworked and underpaid.","time":1503541789},{"author_name":"Michael Solarez","author_url":"https://www.google.com/maps/contrib/108441143376615097619/reviews","language":"en","profile_photo_url":"https://lh3.googleusercontent.com/a-/AOh14Ggw7fqhEXgJqj9VUzLrdny5gck1FgPLjyGgb70nmnQ=s128-c0x00000000-cc-rp-mo","rating":5,"relative_time_description":"5 years ago","text":"VeryNice...wheels-up","time":1438125822},{"author_name":"Julio Parocua","author_url":"https://www.google.com/maps/contrib/111631021521338201984/reviews","language":"en-US","profile_photo_url":"https://lh3.googleusercontent.com/a-/AOh14GjP3Dd_Koe67DEAP92WfnFqbEJiQd971RU4EmLJng=s128-c0x00000000-cc-rp-mo","rating":5,"relative_time_description":"2 years ago","text":"What can I say wonderful","time":1536394797},{"author_name":"Patrick Ford","author_url":"https://www.google.com/maps/contrib/113139865600619118893/reviews","language":null,"profile_photo_url":"https://lh3.googleusercontent.com/a-/AOh14GgjwEmeftmgoZH8iYQ6wfCdUjxZoW1CjLeM7N7PKtY=s128-c0x00000000-cc-rp-mo-ba3","rating":5,"relative_time_description":"4 years ago","text":"","time":1464709887}],"types":["point_of_interest","establishment"],"url":"https://maps.google.com/?cid=9312984344061105577","utc_offset":-480,"vicinity":"4301 Empire Avenue, Burbank","website":"http://www.avjet.com/"},"status":"OK"}</t>
  </si>
  <si>
    <t>&lt;span class="street-address"&gt;4301 Empire Ave&lt;/span&gt;, &lt;span class="locality"&gt;Burbank&lt;/span&gt;, &lt;span class="region"&gt;CA&lt;/span&gt; &lt;span class="postal-code"&gt;91505&lt;/span&gt;, &lt;span class="country-name"&gt;USA&lt;/span&gt;</t>
  </si>
  <si>
    <t>https://maps.gstatic.com/mapfiles/place_api/icons/v1/png_71/generic_business-71.png</t>
  </si>
  <si>
    <t>+1 818-841-6190</t>
  </si>
  <si>
    <t>point_of_interest,establishment</t>
  </si>
  <si>
    <t>4301 Empire Avenue, Burbank</t>
  </si>
  <si>
    <t>http://www.avjet.com/</t>
  </si>
  <si>
    <t>https://maps.googleapis.com/maps/api/place/findplacefromtext/json?input=%2B18188438311&amp;inputtype=phonenumber&amp;fields=business_status,formatted_address,geometry,icon,name,permanently_closed,place_id,plus_code,types&amp;key=AIzaSyAUoR1hu32epmid_r-h7_AiXQWhNu3zr3U</t>
  </si>
  <si>
    <t>{"business_status":"OPERATIONAL","formatted_address":"2800 N Clybourn Ave, Burbank, CA 91505, USA","geometry":{"location":{"lat":34.2001231,"lng":-118.3598214},"viewport":{"northeast":{"lat":34.20155193029149,"lng":-118.3585755697085},"southwest":{"lat":34.19885396970849,"lng":-118.3612735302915}}},"icon":"https://maps.gstatic.com/mapfiles/place_api/icons/v1/png_71/generic_business-71.png","name":"Million Air Burbank","place_id":"ChIJK_SWG7OVwoARv8EO8Eug_PE","plus_code":{"compound_code":"6J2R+23 Burbank, CA, USA","global_code":"85636J2R+23"},"types":["point_of_interest","establishment"]}</t>
  </si>
  <si>
    <t>Million Air Burbank</t>
  </si>
  <si>
    <t>ChIJK_SWG7OVwoARv8EO8Eug_PE</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</si>
  <si>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</si>
  <si>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Burbank","place_id":"ChIJK_SWG7OVwoARv8EO8Eug_PE","rating":4.7,"reference":null,"reviews":[{"author_name":"jimmy colestock","author_url":"https://www.google.com/maps/contrib/101369716870885940270/reviews","language":"en","profile_photo_url":"https://lh5.googleusercontent.com/-GLQ5Xb3FC1U/AAAAAAAAAAI/AAAAAAAAAAA/AMZuucn5URIvFZak_o51FD4sQ85Ykk4M3A/s128-c0x00000000-cc-rp-mo-ba4/photo.jpg","rating":5,"relative_time_description":"2 months ago","text":"Always a great place to spend the night with if you are parking your aircraft in Burbank","time":1608344273},{"author_name":"Magan Stephen","author_url":"https://www.google.com/maps/contrib/108167437130222958869/reviews","language":"en","profile_photo_url":"https://lh3.googleusercontent.com/a-/AOh14GgJ98KVCzaGN_wO-bqWjis_lPw4a_xp70OevHE=s128-c0x00000000-cc-rp-mo","rating":5,"relative_time_description":"5 months ago","text":"They give you Hollywood star treatment. Very friendly staff, amazing furnishings and a great little convenience center with complimentary drinks and cookies.","time":1600560158},{"author_name":"CALIFORNIA CUSTOM STEREO","author_url":"https://www.google.com/maps/contrib/108564862833059470800/reviews","language":"en","profile_photo_url":"https://lh4.googleusercontent.com/-AWuH1yF27x0/AAAAAAAAAAI/AAAAAAAAAAA/AMZuucm_kxKobt8PSxg81JESG6-F19y3CA/s128-c0x00000000-cc-rp-mo/photo.jpg","rating":5,"relative_time_description":"4 months ago","text":"Great service .. fuel charged was cheaper than listed on foreflight ..\nThx a million...","time":1602618064},{"author_name":"W. Ryan Reed","author_url":"https://www.google.com/maps/contrib/110740377042249198125/reviews","language":"en","profile_photo_url":"https://lh3.googleusercontent.com/a-/AOh14Gi5Ri1Xmqv40_je-IX3Tf52Hy55k9vTijsGK2EQHA=s128-c0x00000000-cc-rp-mo","rating":5,"relative_time_description":"a year ago","text":"Always do great when I take the Lear 60 in there.\nAnd thanks for the random holiday party!\n(Don't worry, I was off duty)","time":1575521361},{"author_name":"m de","author_url":"https://www.google.com/maps/contrib/113830860949397164990/reviews","language":"en","profile_photo_url":"https://lh3.googleusercontent.com/-FEkar481jHA/AAAAAAAAAAI/AAAAAAAAAAA/AMZuucnDBTa5dt0ZfBD-iU115nIopOHU5g/s128-c0x00000000-cc-rp-mo-ba6/photo.jpg","rating":5,"relative_time_description":"11 months ago","text":"Very nice airport and private jet very good service and nice people here they have coffee and water and restroom.","time":1582681475}],"types":["point_of_interest","establishment"],"url":"https://maps.google.com/?cid=17436988105282208191","utc_offset":-480,"vicinity":"2800 North Clybourn Avenue, Burbank","website":"http://www.millionair.com/FBO/bur.aspx#4"},"status":"OK"}</t>
  </si>
  <si>
    <t>&lt;span class="street-address"&gt;2800 N Clybourn Ave&lt;/span&gt;, &lt;span class="locality"&gt;Burbank&lt;/span&gt;, &lt;span class="region"&gt;CA&lt;/span&gt; &lt;span class="postal-code"&gt;91505-1010&lt;/span&gt;, &lt;span class="country-name"&gt;USA&lt;/span&gt;</t>
  </si>
  <si>
    <t>+1 818-843-8311</t>
  </si>
  <si>
    <t>2800 North Clybourn Avenue, Burbank</t>
  </si>
  <si>
    <t>http://www.millionair.com/FBO/bur.aspx#4</t>
  </si>
  <si>
    <t>https://maps.googleapis.com/maps/api/place/findplacefromtext/json?input=VELOCITY%20AEROSPACE%20-%20BURBANK%20INC%20%20%20%20%20%20%20%20%20%20%20%20%20%20%20%20%20%20%202840%20N.%20ONTARIO%20STREET%20%20%20%20%20%20%20%20%20%20%20%20%20%207415%20HAYVENHURST%20PLACE%20%20%20%20%20%20%20%20%20%20%20%20%20%20BURBANK%20%20%20%20%20%20%20%20%20%20%20%20%20%20%20%20CA%2091504&amp;key=AIzaSyAUoR1hu32epmid_r-h7_AiXQWhNu3zr3U&amp;inputtype=textquery&amp;fields=business_status,formatted_address,geometry,icon,name,permanently_closed,place_id,plus_code,types</t>
  </si>
  <si>
    <t>{"business_status":"OPERATIONAL","formatted_address":"2840 N Ontario St, Burbank, CA 91504, United States","geometry":{"location":{"lat":34.2032419,"lng":-118.342911},"viewport":{"northeast":{"lat":34.20459162989273,"lng":-118.3416375201073},"southwest":{"lat":34.20189197010728,"lng":-118.3443371798927}}},"icon":"https://maps.gstatic.com/mapfiles/place_api/icons/v1/png_71/shopping-71.png","name":"Velocity Aerospace-Burbank","place_id":"ChIJc8Q8GAGVwoAR1leTyle9OI8","plus_code":{"compound_code":"6M34+7R Burbank, California","global_code":"85636M34+7R"},"types":["point_of_interest","store","establishment"]}</t>
  </si>
  <si>
    <t>Velocity Aerospace-Burbank</t>
  </si>
  <si>
    <t>ChIJc8Q8GAGVwoAR1leTyle9OI8</t>
  </si>
  <si>
    <t>2840 N Ontario St, Burbank, CA 91504, United States</t>
  </si>
  <si>
    <t>{"html_attributions":[],"result":{"address_components":[{"long_name":"2840","short_name":"2840","types":["street_number"]},{"long_name":"North Ontario Street","short_name":"N Ontario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States","short_name":"US","types":["country","political"]},{"long_name":"91504","short_name":"91504","types":["postal_code"]},{"long_name":"2015","short_name":"2015","types":["postal_code_suffix"]}],"adr_address":"&lt;span class=\"street-address\"&gt;2840 N Ontario St&lt;/span&gt;, &lt;span class=\"locality\"&gt;Burbank&lt;/span&gt;, &lt;span class=\"region\"&gt;CA&lt;/span&gt; &lt;span class=\"postal-code\"&gt;91504-2015&lt;/span&gt;, &lt;span class=\"country-name\"&gt;USA&lt;/span&gt;","formatted_address":"2840 N Ontario St, Burbank, CA 91504, USA","formatted_phone_number":"(818) 246-8431","geometry":{"location":{"lat":34.2032419,"lng":-118.342911},"viewport":{"northeast":{"lat":34.2045907802915,"lng":-118.3416383697085},"southwest":{"lat":34.2018928197085,"lng":-118.3443363302915}}},"icon":"https://maps.gstatic.com/mapfiles/place_api/icons/v1/png_71/shopping-71.png","id":null,"international_phone_number":"+1 818-246-8431","name":"Velocity Aerospace-Burbank","place_id":"ChIJc8Q8GAGVwoAR1leTyle9OI8","rating":4.3,"reference":null,"reviews":[{"author_name":"Jon Sanders","author_url":"https://www.google.com/maps/contrib/109341689925691058198/reviews","language":null,"profile_photo_url":"https://lh3.googleusercontent.com/a-/AOh14Gi8_59EgGUfxAtfAYVVkg8_UomPhmuAuVvF4cpkMA=s128-c0x00000000-cc-rp-mo","rating":5,"relative_time_description":"2 years ago","text":"","time":1521817156},{"author_name":"moe addasi","author_url":"https://www.google.com/maps/contrib/114717115448875522638/reviews","language":null,"profile_photo_url":"https://lh3.googleusercontent.com/a-/AOh14GjHB3LYXS4l2aQKhvsHRBTkMq46FJ8EYlsYAFbGREk=s128-c0x00000000-cc-rp-mo-ba4","rating":2,"relative_time_description":"a year ago","text":"","time":1556066650},{"author_name":"Deron Rackie","author_url":"https://www.google.com/maps/contrib/101269644421810680383/reviews","language":null,"profile_photo_url":"https://lh6.googleusercontent.com/-n-1IfsgD7WM/AAAAAAAAAAI/AAAAAAAAAAA/AMZuucnK43KzUrDonQ3yoxCSovfL7rmtBQ/s128-c0x00000000-cc-rp-mo/photo.jpg","rating":5,"relative_time_description":"2 years ago","text":"","time":1546652469},{"author_name":"Jeff Stookey","author_url":"https://www.google.com/maps/contrib/106269155861333481943/reviews","language":null,"profile_photo_url":"https://lh6.googleusercontent.com/-mjSiUjj163M/AAAAAAAAAAI/AAAAAAAAAfA/AMZuucmljrC414S20uBIa8AHGVuTqH17AQ/s128-c0x00000000-cc-rp-mo/photo.jpg","rating":5,"relative_time_description":"3 years ago","text":"","time":1507864456}],"types":["point_of_interest","store","establishment"],"url":"https://maps.google.com/?cid=10320206730877949910","utc_offset":-480,"vicinity":"2840 North Ontario Street, Burbank","website":"http://www.velocityaerospace.com/"},"status":"OK"}</t>
  </si>
  <si>
    <t>&lt;span class="street-address"&gt;2840 N Ontario St&lt;/span&gt;, &lt;span class="locality"&gt;Burbank&lt;/span&gt;, &lt;span class="region"&gt;CA&lt;/span&gt; &lt;span class="postal-code"&gt;91504-2015&lt;/span&gt;, &lt;span class="country-name"&gt;USA&lt;/span&gt;</t>
  </si>
  <si>
    <t>(818) 246-8431</t>
  </si>
  <si>
    <t>https://maps.gstatic.com/mapfiles/place_api/icons/v1/png_71/shopping-71.png</t>
  </si>
  <si>
    <t>+1 818-246-8431</t>
  </si>
  <si>
    <t>point_of_interest,store,establishment</t>
  </si>
  <si>
    <t>2840 North Ontario Street, Burbank</t>
  </si>
  <si>
    <t>http://www.velocityaerospace.com/</t>
  </si>
  <si>
    <t>https://maps.googleapis.com/maps/api/place/findplacefromtext/json?input=AMERIFLIGHT%20LLC%20%20%20%20%20%20%20%20%20%20%20%20%20%20%20%20%20%20%20%20%20%20%20%20%20%20%20%20%20%20%20%20%20%20%20%204700%20EMPIRE%20AVE%20HGR%201%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</si>
  <si>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{"business_status":"OPERATIONAL","formatted_address":"4700 Empire Ave, Burbank, CA 91505, United States","geometry":{"location":{"lat":34.1958231,"lng":-118.3648019},"viewport":{"northeast":{"lat":34.19701512989271,"lng":-118.3634707201073},"southwest":{"lat":34.19431547010727,"lng":-118.3661703798927}}},"icon":"https://maps.gstatic.com/mapfiles/place_api/icons/v1/png_71/generic_business-71.png","name":"Ameriflight LLC","place_id":"ChIJq00v_rCVwoARXxh2bh4Vs2U","plus_code":{"compound_code":"5JWP+83 Burbank, California","global_code":"85635JWP+83"},"types":["point_of_interest","establishment"]}</t>
  </si>
  <si>
    <t>Ameriflight LLC</t>
  </si>
  <si>
    <t>ChIJq00v_rCVwoARXxh2bh4Vs2U</t>
  </si>
  <si>
    <t>4700 Empire Ave, Burbank, CA 91505, United States</t>
  </si>
  <si>
    <t>{"html_attributions":[],"result":{"address_components":[{"long_name":"4700","short_name":"4700","types":["street_number"]},{"long_name":"Empire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States","short_name":"US","types":["country","political"]},{"long_name":"91505","short_name":"91505","types":["postal_code"]},{"long_name":"1098","short_name":"1098","types":["postal_code_suffix"]}],"adr_address":"&lt;span class=\"street-address\"&gt;4700 Empire Ave&lt;/span&gt;, &lt;span class=\"locality\"&gt;Burbank&lt;/span&gt;, &lt;span class=\"region\"&gt;CA&lt;/span&gt; &lt;span class=\"postal-code\"&gt;91505-1098&lt;/span&gt;, &lt;span class=\"country-name\"&gt;USA&lt;/span&gt;","formatted_address":"4700 Empire Ave, Burbank, CA 91505, USA","formatted_phone_number":"(818) 847-0000","geometry":{"location":{"lat":34.1958231,"lng":-118.3648019},"viewport":{"northeast":{"lat":34.1970142802915,"lng":-118.3634715697085},"southwest":{"lat":34.1943163197085,"lng":-118.3661695302915}}},"icon":"https://maps.gstatic.com/mapfiles/place_api/icons/v1/png_71/generic_business-71.png","id":null,"international_phone_number":"+1 818-847-0000","name":"Ameriflight LLC","place_id":"ChIJq00v_rCVwoARXxh2bh4Vs2U","rating":4.0,"reference":null,"reviews":[{"author_name":"Tal Erickson","author_url":"https://www.google.com/maps/contrib/110486732527578132707/reviews","language":"en","profile_photo_url":"https://lh3.googleusercontent.com/a-/AOh14GjhgoezitB3Ifx6cpM8OP17PWeAmeRbta2_asdq=s128-c0x00000000-cc-rp-mo","rating":1,"relative_time_description":"a month ago","text":"Fly by nite. Company","time":1609940908},{"author_name":"blanco c","author_url":"https://www.google.com/maps/contrib/106057973739065312196/reviews","language":"en","profile_photo_url":"https://lh3.googleusercontent.com/a-/AOh14GiMSbStwsP_2G_pt3Fv6n7lq4qa2lXlDg5eQrJR=s128-c0x00000000-cc-rp-mo","rating":5,"relative_time_description":"2 years ago","text":"Great company.","time":1524983652},{"author_name":"Adel Basilioss","author_url":"https://www.google.com/maps/contrib/117938327483468939885/reviews","language":"en","profile_photo_url":"https://lh3.googleusercontent.com/a-/AOh14Gg2ImHE8OIx_Y2G_e9trkErJVaL-mW-_WIp9u9EMVY=s128-c0x00000000-cc-rp-mo-ba2","rating":4,"relative_time_description":"3 years ago","text":"Lousy company","time":1517430158},{"author_name":"Jonathan Kamber","author_url":"https://www.google.com/maps/contrib/108316805845912692615/reviews","language":null,"profile_photo_url":"https://lh5.googleusercontent.com/-Jl4mxnCUbFU/AAAAAAAAAAI/AAAAAAAAAAA/AMZuucmT1a8Hmm70Q9D9xRgT4PIHegKP9A/s128-c0x00000000-cc-rp-mo/photo.jpg","rating":5,"relative_time_description":"2 years ago","text":"","time":1547248510},{"author_name":"Restless 3","author_url":"https://www.google.com/maps/contrib/102711433085076893716/reviews","language":null,"profile_photo_url":"https://lh3.googleusercontent.com/a-/AOh14Ghoo2uAKJ_WhFHOy2Z1neXIXdJCIRXZ39RuVo20VA=s128-c0x00000000-cc-rp-mo-ba2","rating":5,"relative_time_description":"3 months ago","text":"","time":1603739854}],"types":["point_of_interest","establishment"],"url":"https://maps.google.com/?cid=7328224239108364383","utc_offset":-480,"vicinity":"4700 Empire Avenue, Burbank","website":"http://w3.ameriflight.com/"},"status":"OK"}</t>
  </si>
  <si>
    <t>&lt;span class="street-address"&gt;4700 Empire Ave&lt;/span&gt;, &lt;span class="locality"&gt;Burbank&lt;/span&gt;, &lt;span class="region"&gt;CA&lt;/span&gt; &lt;span class="postal-code"&gt;91505-1098&lt;/span&gt;, &lt;span class="country-name"&gt;USA&lt;/span&gt;</t>
  </si>
  <si>
    <t>(818) 847-0000</t>
  </si>
  <si>
    <t>+1 818-847-0000</t>
  </si>
  <si>
    <t>4700 Empire Avenue, Burbank</t>
  </si>
  <si>
    <t>http://w3.ameriflight.com/</t>
  </si>
  <si>
    <t>https://maps.googleapis.com/maps/api/place/findplacefromtext/json?input=JET%20CORPORATION%20%20%20%20%20%20%20%20%20%20%20%20%20%20%20%20%20%20%20%20%20%20%20%20%20%20%20%20%20%20%20%20%20%20%20%204301%20EMPIRE%20AVENUE%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</si>
  <si>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{"business_status":"OPERATIONAL","formatted_address":"4301 Empire Ave, Burbank, CA 91505, United States","geometry":{"location":{"lat":34.194657,"lng":-118.358899},"viewport":{"northeast":{"lat":34.19591227989272,"lng":-118.3577512701073},"southwest":{"lat":34.19321262010727,"lng":-118.3604509298927}}},"icon":"https://maps.gstatic.com/mapfiles/place_api/icons/v1/png_71/generic_business-71.png","name":"Avjet Corporation","place_id":"ChIJD92c5a-VwoARqVWJKutdPoE","plus_code":{"compound_code":"5JVR+VC Burbank, California","global_code":"85635JVR+VC"},"types":["point_of_interest","establishment"]}</t>
  </si>
  <si>
    <t>4301 Empire Ave, Burbank, CA 91505, United States</t>
  </si>
  <si>
    <t>https://maps.googleapis.com/maps/api/place/findplacefromtext/json?input=HUTCHINSON%20AEROSPACE%20AND%20INDUSTRY%20INC%20%20%20%20%20%20%20%20%20%20%20%20%20%204510%20VANOWEN%20ST%20%20%20%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</si>
  <si>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{"business_status":"OPERATIONAL","formatted_address":"4510 Vanowen St, Burbank, CA 91505, United States","geometry":{"location":{"lat":34.193016,"lng":-118.359848},"viewport":{"northeast":{"lat":34.19469377989272,"lng":-118.3586338201073},"southwest":{"lat":34.19199412010728,"lng":-118.3613334798927}}},"icon":"https://maps.gstatic.com/mapfiles/place_api/icons/v1/png_71/shopping-71.png","name":"Hutchinson","place_id":"ChIJQ2TQXLCVwoART__WWxeLUcI","plus_code":{"compound_code":"5JVR+63 Burbank, California","global_code":"85635JVR+63"},"types":["point_of_interest","store","establishment"]}</t>
  </si>
  <si>
    <t>Hutchinson</t>
  </si>
  <si>
    <t>ChIJQ2TQXLCVwoART__WWxeLUcI</t>
  </si>
  <si>
    <t>4510 Vanowen St, Burbank, CA 91505, United States</t>
  </si>
  <si>
    <t>{"html_attributions":[],"result":{"address_components":[{"long_name":"4510","short_name":"4510","types":["street_number"]},{"long_name":"Vanowen Street","short_name":"Vanowen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class=\"street-address\"&gt;4510 Vanowen St&lt;/span&gt;, &lt;span class=\"locality\"&gt;Burbank&lt;/span&gt;, &lt;span class=\"region\"&gt;CA&lt;/span&gt; &lt;span class=\"postal-code\"&gt;91505&lt;/span&gt;, &lt;span class=\"country-name\"&gt;USA&lt;/span&gt;","formatted_address":"4510 Vanowen St, Burbank, CA 91505, USA","formatted_phone_number":"(818) 843-1000","geometry":{"location":{"lat":34.193016,"lng":-118.359848},"viewport":{"northeast":{"lat":34.1946929302915,"lng":-118.3586346697085},"southwest":{"lat":34.1919949697085,"lng":-118.3613326302915}}},"icon":"https://maps.gstatic.com/mapfiles/place_api/icons/v1/png_71/shopping-71.png","id":null,"international_phone_number":"+1 818-843-1000","name":"Hutchinson","place_id":"ChIJQ2TQXLCVwoART__WWxeLUcI","rating":4.0,"reference":null,"reviews":[{"author_name":"Llanuel Orta","author_url":"https://www.google.com/maps/contrib/100238249129403657431/reviews","language":"en-US","profile_photo_url":"https://lh6.googleusercontent.com/-HD1GtGSZzdM/AAAAAAAAAAI/AAAAAAAAAAA/AMZuucnP08c1G6qyeO1WCFL6tRJ8J-Lhrw/s128-c0x00000000-cc-rp-mo/photo.jpg","rating":5,"relative_time_description":"2 years ago","text":"No, well, mela paso atodamadre ayi :)","time":1537563521},{"author_name":"Alvaro Vizuet","author_url":"https://www.google.com/maps/contrib/117162918091629208314/reviews","language":"en-US","profile_photo_url":"https://lh6.googleusercontent.com/-TnTCBY9riDw/AAAAAAAAAAI/AAAAAAAAAAA/AMZuucmBTW3J4hYRG62a-Dqeq01_nu65hA/s128-c0x00000000-cc-rp-mo-ba2/photo.jpg","rating":5,"relative_time_description":"2 years ago","text":"Excellent company","time":1535410469},{"author_name":"Joshua Marin","author_url":"https://www.google.com/maps/contrib/111281937022036110714/reviews","language":null,"profile_photo_url":"https://lh3.googleusercontent.com/a-/AOh14Gj_7V1YMCs1K35wJpXilU2Jgp38H7y9HbxEnGzvwA=s128-c0x00000000-cc-rp-mo","rating":1,"relative_time_description":"8 months ago","text":"","time":1591661075},{"author_name":"Pablo Garcia","author_url":"https://www.google.com/maps/contrib/114100026164576222485/reviews","language":null,"profile_photo_url":"https://lh5.googleusercontent.com/-ovIsYezw-nM/AAAAAAAAAAI/AAAAAAAAAAA/AMZuucmSWTWJ_TY0BlkJRfRFYvvRb-Y_Hg/s128-c0x00000000-cc-rp-mo-ba2/photo.jpg","rating":5,"relative_time_description":"8 months ago","text":"","time":1591634246}],"types":["point_of_interest","store","establishment"],"url":"https://maps.google.com/?cid=14002125648912908111","utc_offset":-480,"vicinity":"4510 Vanowen Street, Burbank","website":"http://www.hutchinson.com/"},"status":"OK"}</t>
  </si>
  <si>
    <t>&lt;span class="street-address"&gt;4510 Vanowen St&lt;/span&gt;, &lt;span class="locality"&gt;Burbank&lt;/span&gt;, &lt;span class="region"&gt;CA&lt;/span&gt; &lt;span class="postal-code"&gt;91505&lt;/span&gt;, &lt;span class="country-name"&gt;USA&lt;/span&gt;</t>
  </si>
  <si>
    <t>(818) 843-1000</t>
  </si>
  <si>
    <t>+1 818-843-1000</t>
  </si>
  <si>
    <t>4510 Vanowen Street, Burbank</t>
  </si>
  <si>
    <t>http://www.hutchinson.com/</t>
  </si>
  <si>
    <t>https://maps.googleapis.com/maps/api/place/findplacefromtext/json?input=%2B17604388424 &amp;inputtype=phonenumber&amp;fields=business_status,formatted_address,geometry,icon,name,permanently_closed,place_id,plus_code,types&amp;key=AIzaSyAUoR1hu32epmid_r-h7_AiXQWhNu3zr3U</t>
  </si>
  <si>
    <t>{"business_status":"OPERATIONAL","formatted_address":"2206 Palomar Airport Rd Suite H, Carlsbad, CA 92011, USA","geometry":{"location":{"lat":33.1257805,"lng":-117.2754738},"viewport":{"northeast":{"lat":33.12705888029149,"lng":-117.2742051697085},"southwest":{"lat":33.12436091970849,"lng":-117.2769031302915}}},"icon":"https://maps.gstatic.com/mapfiles/place_api/icons/v1/png_71/school-71.png","name":"Civic Helicopters, Inc.","place_id":"ChIJB9XriF1z3IARLzGn-IRtC2E","plus_code":{"compound_code":"4PGF+8R Carlsbad, CA, USA","global_code":"85544PGF+8R"},"types":["university","point_of_interest","establishment"]}</t>
  </si>
  <si>
    <t>Civic Helicopters, Inc.</t>
  </si>
  <si>
    <t>ChIJB9XriF1z3IARLzGn-IRtC2E</t>
  </si>
  <si>
    <t>2206 Palomar Airport Rd Suite H, Carlsbad, CA 92011, USA</t>
  </si>
  <si>
    <t>{"html_attributions":[],"result":{"address_components":[{"long_name":"Suite H","short_name":"Suite H","types":["subpremise"]},{"long_name":"2206","short_name":"2206","types":["street_number"]},{"long_name":"Palomar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class=\"street-address\"&gt;2206 Palomar Airport Rd Suite H&lt;/span&gt;, &lt;span class=\"locality\"&gt;Carlsbad&lt;/span&gt;, &lt;span class=\"region\"&gt;CA&lt;/span&gt; &lt;span class=\"postal-code\"&gt;92011&lt;/span&gt;, &lt;span class=\"country-name\"&gt;USA&lt;/span&gt;","formatted_address":"2206 Palomar Airport Rd Suite H, Carlsbad, CA 92011, USA","formatted_phone_number":"(760) 438-8424","geometry":{"location":{"lat":33.1257805,"lng":-117.2754738},"viewport":{"northeast":{"lat":33.12705888029149,"lng":-117.2742051697085},"southwest":{"lat":33.12436091970849,"lng":-117.2769031302915}}},"icon":"https://maps.gstatic.com/mapfiles/place_api/icons/v1/png_71/school-71.png","id":null,"international_phone_number":"+1 760-438-8424","name":"Civic Helicopters, Inc.","place_id":"ChIJB9XriF1z3IARLzGn-IRtC2E","rating":3.8,"reference":null,"reviews":[{"author_name":"gen saw","author_url":"https://www.google.com/maps/contrib/104483762454983731394/reviews","language":"en","profile_photo_url":"https://lh3.googleusercontent.com/a-/AOh14Ggh8NyhQOdg_WSvt8w5-FC7bF6i0iE5ZK1q90ptPZI=s128-c0x00000000-cc-rp-mo-ba5","rating":5,"relative_time_description":"3 weeks ago","text":"I came to this location to take my Part 107 Knowledge test since they are a PSI testing site. They were very professional and made it very easy for me to understand the procedures despite it being my first time there. There is public parking nearby across the street, just not directly by the building.","time":1611360076},{"author_name":"Steven Porter","author_url":"https://www.google.com/maps/contrib/109507220006946236867/reviews","language":"en","profile_photo_url":"https://lh3.googleusercontent.com/a-/AOh14GhlkTwojEDVsSacwGZqjiilAHjKBdNTOJ-agbtMQg=s128-c0x00000000-cc-rp-mo-ba3","rating":4,"relative_time_description":"4 months ago","text":"I recently took my drone pilot test here, and it was great! Friendly staff and a good, quiet testing environment.","time":1601081046},{"author_name":"Leslie Lutz","author_url":"https://www.google.com/maps/contrib/108507893186883345661/reviews","language":"en","profile_photo_url":"https://lh3.googleusercontent.com/-lSLolz8gvFw/AAAAAAAAAAI/AAAAAAAAAAA/AMZuucnLKpAKWhYepAXoTbHA1f0rk6HrWQ/s128-c0x00000000-cc-rp-mo/photo.jpg","rating":5,"relative_time_description":"7 months ago","text":"Love Love the helicopter ride. Candace and Chin flew me down to San Diego and back. Great views.","time":1593804415},{"author_name":"Noa “DaPinkCat” Kaloa","author_url":"https://www.google.com/maps/contrib/114269586339880132096/reviews","language":"en","profile_photo_url":"https://lh3.googleusercontent.com/a-/AOh14GifVjQOcIOvr2-ZlxFXu8Qepvkza5B-_UYSI2gt3g=s128-c0x00000000-cc-rp-mo-ba5","rating":5,"relative_time_description":"a year ago","text":"107 Drone Testing Site.  Great girls that work there, in and out.  If you need a place in North County San Diego to test for the 107, it's here.","time":1565811419},{"author_name":"Nolan Thomas77","author_url":"https://www.google.com/maps/contrib/114925246696370766295/reviews","language":"en","profile_photo_url":"https://lh3.googleusercontent.com/a-/AOh14Gh-h40UkpzmxZeLYJ_CvwyjPhsqwwBdQU_9NpSYvA=s128-c0x00000000-cc-rp-mo-ba3","rating":1,"relative_time_description":"a year ago","text":"Candice (chief flight instructor) was the rudest person I have ever met at any flight school. I had called in and made an appointment to take a tour of the school, i was looking for a flight school to finish up my training. And was met with nothing but hostility and rudeness. She didnt even show me around the school, talk about prices or anything. This would be the last flight school on earth i would ever go to","time":1552500807}],"types":["university","point_of_interest","establishment"],"url":"https://maps.google.com/?cid=6992803264297644335","utc_offset":-480,"vicinity":"2206 Palomar Airport Road Suite H, Carlsbad","website":"http://dev.civichelicopters.com/"},"status":"OK"}</t>
  </si>
  <si>
    <t>&lt;span class="street-address"&gt;2206 Palomar Airport Rd Suite H&lt;/span&gt;, &lt;span class="locality"&gt;Carlsbad&lt;/span&gt;, &lt;span class="region"&gt;CA&lt;/span&gt; &lt;span class="postal-code"&gt;92011&lt;/span&gt;, &lt;span class="country-name"&gt;USA&lt;/span&gt;</t>
  </si>
  <si>
    <t>(760) 438-8424</t>
  </si>
  <si>
    <t>https://maps.gstatic.com/mapfiles/place_api/icons/v1/png_71/school-71.png</t>
  </si>
  <si>
    <t>+1 760-438-8424</t>
  </si>
  <si>
    <t>university,point_of_interest,establishment</t>
  </si>
  <si>
    <t>2206 Palomar Airport Road Suite H, Carlsbad</t>
  </si>
  <si>
    <t>http://dev.civichelicopters.com/</t>
  </si>
  <si>
    <t>https://maps.googleapis.com/maps/api/place/findplacefromtext/json?input=%2B17609291009 &amp;inputtype=phonenumber&amp;fields=business_status,formatted_address,geometry,icon,name,permanently_closed,place_id,plus_code,types&amp;key=AIzaSyAUoR1hu32epmid_r-h7_AiXQWhNu3zr3U</t>
  </si>
  <si>
    <t>{"business_status":"OPERATIONAL","formatted_address":"2210 Palomar Airport Rd, Carlsbad, CA 92011, USA","geometry":{"location":{"lat":33.1269518,"lng":-117.2758425},"viewport":{"northeast":{"lat":33.1276866302915,"lng":-117.2744846197085},"southwest":{"lat":33.1249886697085,"lng":-117.2771825802915}}},"icon":"https://maps.gstatic.com/mapfiles/place_api/icons/v1/png_71/school-71.png","name":"Pinnacle Aviation Academy","place_id":"ChIJqUU7cmdz3IARBq56gS7m7bE","plus_code":{"compound_code":"4PGF+QM Carlsbad, CA, USA","global_code":"85544PGF+QM"},"types":["university","point_of_interest","establishment"]}</t>
  </si>
  <si>
    <t>Pinnacle Aviation Academy</t>
  </si>
  <si>
    <t>ChIJqUU7cmdz3IARBq56gS7m7bE</t>
  </si>
  <si>
    <t>2210 Palomar Airport Rd, Carlsbad, CA 92011, USA</t>
  </si>
  <si>
    <t>{"html_attributions":[],"result":{"address_components":[{"long_name":"2210","short_name":"2210","types":["street_number"]},{"long_name":"Palomar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States","short_name":"US","types":["country","political"]},{"long_name":"92011","short_name":"92011","types":["postal_code"]},{"long_name":"4416","short_name":"4416","types":["postal_code_suffix"]}],"adr_address":"&lt;span class=\"street-address\"&gt;2210 Palomar Airport Rd&lt;/span&gt;, &lt;span class=\"locality\"&gt;Carlsbad&lt;/span&gt;, &lt;span class=\"region\"&gt;CA&lt;/span&gt; &lt;span class=\"postal-code\"&gt;92011-4416&lt;/span&gt;, &lt;span class=\"country-name\"&gt;USA&lt;/span&gt;","formatted_address":"2210 Palomar Airport Rd, Carlsbad, CA 92011, USA","formatted_phone_number":"(760) 929-1009","geometry":{"location":{"lat":33.1269518,"lng":-117.2758425},"viewport":{"northeast":{"lat":33.1276866302915,"lng":-117.2744846197085},"southwest":{"lat":33.1249886697085,"lng":-117.2771825802915}}},"icon":"https://maps.gstatic.com/mapfiles/place_api/icons/v1/png_71/school-71.png","id":null,"international_phone_number":"+1 760-929-1009","name":"Pinnacle Aviation Academy","place_id":"ChIJqUU7cmdz3IARBq56gS7m7bE","rating":4.6,"reference":null,"reviews":[{"author_name":"Victor Burns","author_url":"https://www.google.com/maps/contrib/115196875472986817674/reviews","language":"en","profile_photo_url":"https://lh3.googleusercontent.com/a-/AOh14GgyADphiGOwqmbY6vrVruxamVeDyqKAy6ohAwXu=s128-c0x00000000-cc-rp-mo","rating":5,"relative_time_description":"3 months ago","text":"Visited their little pilot shop which carrries the basics you might need, books mostly, some manual flight computers, a couple basic headsets etc.  Nice staff.","time":1603761417},{"author_name":"Dan B","author_url":"https://www.google.com/maps/contrib/116703388826174588775/reviews","language":"en","profile_photo_url":"https://lh4.googleusercontent.com/-tPzUmzQgds0/AAAAAAAAAAI/AAAAAAAAAAA/AMZuucm9xmJUiPO6tLb_4Dp-FvT2EKbXUg/s128-c0x00000000-cc-rp-mo-ba4/photo.jpg","rating":5,"relative_time_description":"4 months ago","text":"I took an introductory flight with Pinnacle Aviation Academy earlier this week. It was a great experience! My pilot instructor was Franzi Hammer. She was friendly and upbeat. Franzi answered all my questions and I was very comfortable flying with her. The entire process was about an hour with about 35 minutes in the air in our Cessna 172! I didn’t really plan on getting my pilots license but since the introductory flight i now think I’m going to pursue it in 2021. I highly recommend Pinnacle if you’re interested in flying and reach out to Franzi if you don’t already have a pilot instructor.","time":1602268400},{"author_name":"Peter Friese","author_url":"https://www.google.com/maps/contrib/105687425377019994584/reviews","language":"en","profile_photo_url":"https://lh3.googleusercontent.com/a-/AOh14Gjz-lUMZzRVu3d-uOvJZ6Ez15OHw4wnNWtSZ-utzQ=s128-c0x00000000-cc-rp-mo-ba3","rating":5,"relative_time_description":"6 months ago","text":"The best flight instructors I've ever had combined with exceptional staff make Pinnacle Aviation Academy my go-to when looking for flying lessons.","time":1596164407},{"author_name":"Samuel Munday","author_url":"https://www.google.com/maps/contrib/114032058202266033740/reviews","language":"en","profile_photo_url":"https://lh3.googleusercontent.com/-CoDT-k0Fkrg/AAAAAAAAAAI/AAAAAAAAAKw/AMZuucmps6hRU19KBGKzPlPW__aCvVBYoA/s128-c0x00000000-cc-rp-mo/photo.jpg","rating":5,"relative_time_description":"9 months ago","text":"Amazing, great instructor and the most modern aircraft available.  I used a Cessna 172 with g1000.","time":1588288042},{"author_name":"LAEL LEONE","author_url":"https://www.google.com/maps/contrib/116112328632547826949/reviews","language":"en","profile_photo_url":"https://lh3.googleusercontent.com/a-/AOh14Gj6GYM-H9QivTlVZJJkjA4LSEB7f6n3TZx8iNCt19U=s128-c0x00000000-cc-rp-mo-ba2","rating":5,"relative_time_description":"a year ago","text":"Everyone there has a positive attitude, very helpful. Steadfast determination for excellence. Well kept equipment. I’ve had very good experiences every time at instructional flight school.","time":1561465099}],"types":["university","point_of_interest","establishment"],"url":"https://maps.google.com/?cid=12821156801608855046","utc_offset":-480,"vicinity":"2210 Palomar Airport Road, Carlsbad","website":"http://www.pinnacleacademy.com/"},"status":"OK"}</t>
  </si>
  <si>
    <t>&lt;span class="street-address"&gt;2210 Palomar Airport Rd&lt;/span&gt;, &lt;span class="locality"&gt;Carlsbad&lt;/span&gt;, &lt;span class="region"&gt;CA&lt;/span&gt; &lt;span class="postal-code"&gt;92011-4416&lt;/span&gt;, &lt;span class="country-name"&gt;USA&lt;/span&gt;</t>
  </si>
  <si>
    <t>(760) 929-1009</t>
  </si>
  <si>
    <t>+1 760-929-1009</t>
  </si>
  <si>
    <t>2210 Palomar Airport Road, Carlsbad</t>
  </si>
  <si>
    <t>http://www.pinnacleacademy.com/</t>
  </si>
  <si>
    <t>https://maps.googleapis.com/maps/api/place/findplacefromtext/json?input=%2B16199802116&amp;inputtype=phonenumber&amp;fields=business_status,formatted_address,geometry,icon,name,permanently_closed,place_id,plus_code,types&amp;key=AIzaSyAUoR1hu32epmid_r-h7_AiXQWhNu3zr3U</t>
  </si>
  <si>
    <t>{"business_status":"OPERATIONAL","formatted_address":"565 Hygeia Ave, Encinitas, CA 92024, USA","geometry":{"location":{"lat":33.060731,"lng":-117.2960612},"viewport":{"northeast":{"lat":33.0618514802915,"lng":-117.2949771197085},"southwest":{"lat":33.0591535197085,"lng":-117.2976750802915}}},"icon":"https://maps.gstatic.com/mapfiles/place_api/icons/v1/png_71/generic_business-71.png","name":"Diamond Aviation","place_id":"ChIJMeA31_UM3IAROFLGmKJHT6g","plus_code":{"compound_code":"3P63+7H Encinitas, CA, USA","global_code":"85543P63+7H"},"types":["point_of_interest","establishment"]}</t>
  </si>
  <si>
    <t>ChIJMeA31_UM3IAROFLGmKJHT6g</t>
  </si>
  <si>
    <t>565 Hygeia Ave, Encinitas, CA 92024, USA</t>
  </si>
  <si>
    <t>{"html_attributions":[],"result":{"address_components":[{"long_name":"565","short_name":"565","types":["street_number"]},{"long_name":"Hygeia Avenue","short_name":"Hygeia Ave","types":["route"]},{"long_name":"Leucadia","short_name":"Leucadia","types":["neighborhood","political"]},{"long_name":"Encinitas","short_name":"Encinitas","types":["locality","political"]},{"long_name":"San Diego County","short_name":"San Diego County","types":["administrative_area_level_2","political"]},{"long_name":"California","short_name":"CA","types":["administrative_area_level_1","political"]},{"long_name":"United States","short_name":"US","types":["country","political"]},{"long_name":"92024","short_name":"92024","types":["postal_code"]},{"long_name":"2676","short_name":"2676","types":["postal_code_suffix"]}],"adr_address":"&lt;span class=\"street-address\"&gt;565 Hygeia Ave&lt;/span&gt;, &lt;span class=\"locality\"&gt;Encinitas&lt;/span&gt;, &lt;span class=\"region\"&gt;CA&lt;/span&gt; &lt;span class=\"postal-code\"&gt;92024-2676&lt;/span&gt;, &lt;span class=\"country-name\"&gt;USA&lt;/span&gt;","formatted_address":"565 Hygeia Ave, Encinitas, CA 92024, USA","formatted_phone_number":"(619) 980-2116","geometry":{"location":{"lat":33.060731,"lng":-117.2960612},"viewport":{"northeast":{"lat":33.0618514802915,"lng":-117.2949771197085},"southwest":{"lat":33.0591535197085,"lng":-117.2976750802915}}},"icon":"https://maps.gstatic.com/mapfiles/place_api/icons/v1/png_71/generic_business-71.png","id":null,"international_phone_number":"+1 619-980-2116","name":"Diamond Aviation","place_id":"ChIJMeA31_UM3IAROFLGmKJHT6g","rating":null,"reference":null,"reviews":null,"types":["point_of_interest","establishment"],"url":"https://maps.google.com/?cid=12127991085205443128","utc_offset":-480,"vicinity":"565 Hygeia Avenue, Encinitas","website":"http://www.diamondaviation.biz/"},"status":"OK"}</t>
  </si>
  <si>
    <t>&lt;span class="street-address"&gt;565 Hygeia Ave&lt;/span&gt;, &lt;span class="locality"&gt;Encinitas&lt;/span&gt;, &lt;span class="region"&gt;CA&lt;/span&gt; &lt;span class="postal-code"&gt;92024-2676&lt;/span&gt;, &lt;span class="country-name"&gt;USA&lt;/span&gt;</t>
  </si>
  <si>
    <t>(619) 980-2116</t>
  </si>
  <si>
    <t>+1 619-980-2116</t>
  </si>
  <si>
    <t>565 Hygeia Avenue, Encinitas</t>
  </si>
  <si>
    <t>http://www.diamondaviation.biz/</t>
  </si>
  <si>
    <t>https://maps.googleapis.com/maps/api/place/findplacefromtext/json?input=Global%20Aviation%20Consulting%2C%20LLC%202198%20Palomar%20Airport%20Road%20%20Carlsbad%20CA%2092011&amp;key=AIzaSyAUoR1hu32epmid_r-h7_AiXQWhNu3zr3U&amp;inputtype=textquery&amp;fields=business_status,formatted_address,geometry,icon,name,permanently_closed,place_id,plus_code,types</t>
  </si>
  <si>
    <t>{"business_status":"OPERATIONAL","formatted_address":"2198 Palomar Airport Rd, Carlsbad, CA 92011, United States","geometry":{"location":{"lat":33.1253933,"lng":-117.2761997},"viewport":{"northeast":{"lat":33.12680822989272,"lng":-117.2749192701072},"southwest":{"lat":33.12410857010728,"lng":-117.2776189298927}}},"icon":"https://maps.gstatic.com/mapfiles/place_api/icons/v1/png_71/generic_business-71.png","name":"Global Aviation Consulting","place_id":"ChIJq6qag2dz3IARCqDeus-qTNg","plus_code":{"compound_code":"4PGF+5G Carlsbad, California","global_code":"85544PGF+5G"},"types":["point_of_interest","establishment"]}</t>
  </si>
  <si>
    <t>Global Aviation Consulting</t>
  </si>
  <si>
    <t>ChIJq6qag2dz3IARCqDeus-qTNg</t>
  </si>
  <si>
    <t>2198 Palomar Airport Rd, Carlsbad, CA 92011, United States</t>
  </si>
  <si>
    <t>{"html_attributions":[],"result":{"address_components":[{"long_name":"2198","short_name":"2198","types":["street_number"]},{"long_name":"Palomar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class=\"street-address\"&gt;2198 Palomar Airport Rd&lt;/span&gt;, &lt;span class=\"locality\"&gt;Carlsbad&lt;/span&gt;, &lt;span class=\"region\"&gt;CA&lt;/span&gt; &lt;span class=\"postal-code\"&gt;92011&lt;/span&gt;, &lt;span class=\"country-name\"&gt;USA&lt;/span&gt;","formatted_address":"2198 Palomar Airport Rd, Carlsbad, CA 92011, USA","formatted_phone_number":"(858) 227-9593","geometry":{"location":{"lat":33.1253933,"lng":-117.2761997},"viewport":{"northeast":{"lat":33.1268073802915,"lng":-117.2749201197085},"southwest":{"lat":33.1241094197085,"lng":-117.2776180802915}}},"icon":"https://maps.gstatic.com/mapfiles/place_api/icons/v1/png_71/generic_business-71.png","id":null,"international_phone_number":"+1 858-227-9593","name":"Global Aviation Consulting","place_id":"ChIJq6qag2dz3IARCqDeus-qTNg","rating":null,"reference":null,"reviews":null,"types":["point_of_interest","establishment"],"url":"https://maps.google.com/?cid=15586020219592548362","utc_offset":-480,"vicinity":"2198 Palomar Airport Road, Carlsbad","website":"http://globalavicon.com/?page_id=662"},"status":"OK"}</t>
  </si>
  <si>
    <t>&lt;span class="street-address"&gt;2198 Palomar Airport Rd&lt;/span&gt;, &lt;span class="locality"&gt;Carlsbad&lt;/span&gt;, &lt;span class="region"&gt;CA&lt;/span&gt; &lt;span class="postal-code"&gt;92011&lt;/span&gt;, &lt;span class="country-name"&gt;USA&lt;/span&gt;</t>
  </si>
  <si>
    <t>(858) 227-9593</t>
  </si>
  <si>
    <t>+1 858-227-9593</t>
  </si>
  <si>
    <t>2198 Palomar Airport Road, Carlsbad</t>
  </si>
  <si>
    <t>http://globalavicon.com/?page_id=662</t>
  </si>
  <si>
    <t>https://maps.googleapis.com/maps/api/place/findplacefromtext/json?input=%2B17609309315&amp;inputtype=phonenumber&amp;fields=business_status,formatted_address,geometry,icon,name,permanently_closed,place_id,plus_code,types&amp;key=AIzaSyAUoR1hu32epmid_r-h7_AiXQWhNu3zr3U</t>
  </si>
  <si>
    <t>{"business_status":"OPERATIONAL","formatted_address":"2006 Palomar Airport Rd #101, Carlsbad, CA 92011, USA","geometry":{"location":{"lat":33.125482,"lng":-117.281969},"viewport":{"northeast":{"lat":33.1269034802915,"lng":-117.2801523197085},"southwest":{"lat":33.1242055197085,"lng":-117.2828502802915}}},"icon":"https://maps.gstatic.com/mapfiles/place_api/icons/v1/png_71/generic_business-71.png","name":"Jet Methods","place_id":"ChIJCcQxKxVz3IARkFIjyNqsXMc","plus_code":{"compound_code":"4PG9+56 Carlsbad, CA, USA","global_code":"85544PG9+56"},"types":["point_of_interest","establishment"]}</t>
  </si>
  <si>
    <t>ChIJCcQxKxVz3IARkFIjyNqsXMc</t>
  </si>
  <si>
    <t>2006 Palomar Airport Rd #101, Carlsbad, CA 92011, USA</t>
  </si>
  <si>
    <t>{"html_attributions":[],"result":{"address_components":[{"long_name":"101","short_name":"101","types":["subpremise"]},{"long_name":"2006","short_name":"2006","types":["street_number"]},{"long_name":"Palomar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#101&lt;/span&gt;, &lt;span class=\"locality\"&gt;Carlsbad&lt;/span&gt;, &lt;span class=\"region\"&gt;CA&lt;/span&gt; &lt;span class=\"postal-code\"&gt;92011&lt;/span&gt;, &lt;span class=\"country-name\"&gt;USA&lt;/span&gt;","formatted_address":"2006 Palomar Airport Rd #101, Carlsbad, CA 92011, USA","formatted_phone_number":"(760) 930-9315","geometry":{"location":{"lat":33.125482,"lng":-117.281969},"viewport":{"northeast":{"lat":33.1269034802915,"lng":-117.2801523197085},"southwest":{"lat":33.1242055197085,"lng":-117.2828502802915}}},"icon":"https://maps.gstatic.com/mapfiles/place_api/icons/v1/png_71/generic_business-71.png","id":null,"international_phone_number":"+1 760-930-9315","name":"Jet Methods","place_id":"ChIJCcQxKxVz3IARkFIjyNqsXMc","rating":null,"reference":null,"reviews":null,"types":["point_of_interest","establishment"],"url":"https://maps.google.com/?cid=14365546967065645712","utc_offset":-480,"vicinity":"2006 Palomar Airport Road #101, Carlsbad","website":"https://jetmethods.com/"},"status":"OK"}</t>
  </si>
  <si>
    <t>&lt;span class="street-address"&gt;2006 Palomar Airport Rd #101&lt;/span&gt;, &lt;span class="locality"&gt;Carlsbad&lt;/span&gt;, &lt;span class="region"&gt;CA&lt;/span&gt; &lt;span class="postal-code"&gt;92011&lt;/span&gt;, &lt;span class="country-name"&gt;USA&lt;/span&gt;</t>
  </si>
  <si>
    <t>(760) 930-9315</t>
  </si>
  <si>
    <t>+1 760-930-9315</t>
  </si>
  <si>
    <t>2006 Palomar Airport Road #101, Carlsbad</t>
  </si>
  <si>
    <t>https://jetmethods.com/</t>
  </si>
  <si>
    <t>https://maps.googleapis.com/maps/api/place/findplacefromtext/json?input=%2B17603853610&amp;inputtype=phonenumber&amp;fields=business_status,formatted_address,geometry,icon,name,permanently_closed,place_id,plus_code,types&amp;key=AIzaSyAUoR1hu32epmid_r-h7_AiXQWhNu3zr3U</t>
  </si>
  <si>
    <t>{"business_status":"OPERATIONAL","formatted_address":"2100 Palomar Airport Rd #211, Carlsbad, CA 92011, USA","geometry":{"location":{"lat":33.1267884,"lng":-117.2787256},"viewport":{"northeast":{"lat":33.1279386302915,"lng":-117.2774154697085},"southwest":{"lat":33.1252406697085,"lng":-117.2801134302915}}},"icon":"https://maps.gstatic.com/mapfiles/place_api/icons/v1/png_71/generic_business-71.png","name":"Latitude 33 Aviation","place_id":"ChIJZXwq3Gdz3IARIl48lxeWh4s","plus_code":{"compound_code":"4PGC+PG Carlsbad, CA, USA","global_code":"85544PGC+PG"},"types":["point_of_interest","establishment"]}</t>
  </si>
  <si>
    <t>Latitude 33 Aviation</t>
  </si>
  <si>
    <t>ChIJZXwq3Gdz3IARIl48lxeWh4s</t>
  </si>
  <si>
    <t>2100 Palomar Airport Rd #211, Carlsbad, CA 92011, USA</t>
  </si>
  <si>
    <t>{"html_attributions":[],"result":{"address_components":[{"long_name":"211","short_name":"211","types":["subpremise"]},{"long_name":"2100","short_name":"2100","types":["street_number"]},{"long_name":"Palomar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class=\"street-address\"&gt;2100 Palomar Airport Rd #211&lt;/span&gt;, &lt;span class=\"locality\"&gt;Carlsbad&lt;/span&gt;, &lt;span class=\"region\"&gt;CA&lt;/span&gt; &lt;span class=\"postal-code\"&gt;92011&lt;/span&gt;, &lt;span class=\"country-name\"&gt;USA&lt;/span&gt;","formatted_address":"2100 Palomar Airport Rd #211, Carlsbad, CA 92011, USA","formatted_phone_number":"(800) 840-0310","geometry":{"location":{"lat":33.1267884,"lng":-117.2787256},"viewport":{"northeast":{"lat":33.1279386302915,"lng":-117.2774154697085},"southwest":{"lat":33.1252406697085,"lng":-117.2801134302915}}},"icon":"https://maps.gstatic.com/mapfiles/place_api/icons/v1/png_71/generic_business-71.png","id":null,"international_phone_number":"+1 800-840-0310","name":"Latitude 33 Aviation","place_id":"ChIJZXwq3Gdz3IARIl48lxeWh4s","rating":5.0,"reference":null,"reviews":[{"author_name":"Sean Deering","author_url":"https://www.google.com/maps/contrib/115605789215911008676/reviews","language":"en","profile_photo_url":"https://lh3.googleusercontent.com/a-/AOh14Gi4CaIBnIZupYmrZPAT96r9W1crw_wdGMtt9qm8fw=s128-c0x00000000-cc-rp-mo-ba6","rating":5,"relative_time_description":"2 years ago","text":"FLIGHTS &amp; JET PURCHASING IN SAN DIEGO AND LOS ANGELES","time":1545441250},{"author_name":"Zachary A","author_url":"https://www.google.com/maps/contrib/109125340354122928146/reviews","language":null,"profile_photo_url":"https://lh3.googleusercontent.com/a-/AOh14GgJSsXGx7DPriCKNwxOOpJP3dMzqRuOZmv1nPXU6w=s128-c0x00000000-cc-rp-mo","rating":5,"relative_time_description":"a year ago","text":"","time":1559340098},{"author_name":"Joseph Ngabo","author_url":"https://www.google.com/maps/contrib/111940868335762082552/reviews","language":null,"profile_photo_url":"https://lh4.googleusercontent.com/-GGJS5NL1S1M/AAAAAAAAAAI/AAAAAAAAAAA/AMZuuclWHdX_x4E5l0vKcSRs_bhQ5NjMaA/s128-c0x00000000-cc-rp-mo/photo.jpg","rating":5,"relative_time_description":"a year ago","text":"","time":1551667917}],"types":["point_of_interest","establishment"],"url":"https://maps.google.com/?cid=10054169721193651746","utc_offset":-480,"vicinity":"2100 Palomar Airport Road #211, Carlsbad","website":"https://www.l33jets.com/?utm_source=google&amp;utm_medium=organic&amp;utm_campaign=gmb"},"status":"OK"}</t>
  </si>
  <si>
    <t>&lt;span class="street-address"&gt;2100 Palomar Airport Rd #211&lt;/span&gt;, &lt;span class="locality"&gt;Carlsbad&lt;/span&gt;, &lt;span class="region"&gt;CA&lt;/span&gt; &lt;span class="postal-code"&gt;92011&lt;/span&gt;, &lt;span class="country-name"&gt;USA&lt;/span&gt;</t>
  </si>
  <si>
    <t>(800) 840-0310</t>
  </si>
  <si>
    <t>+1 800-840-0310</t>
  </si>
  <si>
    <t>2100 Palomar Airport Road #211, Carlsbad</t>
  </si>
  <si>
    <t>https://www.l33jets.com/?utm_source=google&amp;utm_medium=organic&amp;utm_campaign=gmb</t>
  </si>
  <si>
    <t>https://maps.googleapis.com/maps/api/place/findplacefromtext/json?input=%2B18583813435&amp;inputtype=phonenumber&amp;fields=business_status,formatted_address,geometry,icon,name,permanently_closed,place_id,plus_code,types&amp;key=AIzaSyAUoR1hu32epmid_r-h7_AiXQWhNu3zr3U</t>
  </si>
  <si>
    <t>{"business_status":"OPERATIONAL","formatted_address":"2006 Palomar Airport Rd STE 210, Carlsbad, CA 92011, USA","geometry":{"location":{"lat":33.1255204,"lng":-117.2820321},"viewport":{"northeast":{"lat":33.1269361302915,"lng":-117.2801867697085},"southwest":{"lat":33.12423816970851,"lng":-117.2828847302915}}},"icon":"https://maps.gstatic.com/mapfiles/place_api/icons/v1/png_71/generic_business-71.png","name":"Premier Air Charter, LLC","place_id":"ChIJ-4GxNKdU2YAR1U_hy0RDsM8","plus_code":{"compound_code":"4PG9+65 Carlsbad, CA, USA","global_code":"85544PG9+65"},"types":["airport","point_of_interest","establishment"]}</t>
  </si>
  <si>
    <t>ChIJ-4GxNKdU2YAR1U_hy0RDsM8</t>
  </si>
  <si>
    <t>2006 Palomar Airport Rd STE 210, Carlsbad, CA 92011, USA</t>
  </si>
  <si>
    <t>{"html_attributions":[],"result":{"address_components":[{"long_name":"STE 210","short_name":"STE 210","types":["subpremise"]},{"long_name":"2006","short_name":"2006","types":["street_number"]},{"long_name":"Palomar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STE 210&lt;/span&gt;, &lt;span class=\"locality\"&gt;Carlsbad&lt;/span&gt;, &lt;span class=\"region\"&gt;CA&lt;/span&gt; &lt;span class=\"postal-code\"&gt;92011&lt;/span&gt;, &lt;span class=\"country-name\"&gt;USA&lt;/span&gt;","formatted_address":"2006 Palomar Airport Rd STE 210, Carlsbad, CA 92011, USA","formatted_phone_number":"(858) 381-3435","geometry":{"location":{"lat":33.1255204,"lng":-117.2820321},"viewport":{"northeast":{"lat":33.1269361302915,"lng":-117.2801867697085},"southwest":{"lat":33.12423816970851,"lng":-117.2828847302915}}},"icon":"https://maps.gstatic.com/mapfiles/place_api/icons/v1/png_71/generic_business-71.png","id":null,"international_phone_number":"+1 858-381-3435","name":"Premier Air Charter, LLC","place_id":"ChIJ-4GxNKdU2YAR1U_hy0RDsM8","rating":5.0,"reference":null,"reviews":[{"author_name":"Martin Neill","author_url":"https://www.google.com/maps/contrib/107135204238605948311/reviews","language":"en","profile_photo_url":"https://lh4.googleusercontent.com/-gL4GNq4CWCI/AAAAAAAAAAI/AAAAAAAAAAA/AMZuucn5BBi-T586fmITf0_FV0dneefeNA/s128-c0x00000000-cc-rp-mo/photo.jpg","rating":5,"relative_time_description":"7 months ago","text":"Absolutely first class. Wonderful aircraft and wonderful crew. It was simple, quick and easy to book (including the multiple changes we made!). The King Air was in first class condition and a pleasure to fly in. The crew led by Captain Lucas was first rate. Will use Premier again and recommend them to other.","time":1594823745},{"author_name":"Deana Carter","author_url":"https://www.google.com/maps/contrib/112262165297677608562/reviews","language":"en","profile_photo_url":"https://lh4.googleusercontent.com/-fpVGlbtqpUg/AAAAAAAAAAI/AAAAAAAAAAA/AMZuucnqBCz8gtzQ27R9pJBwZLuicAS9BA/s128-c0x00000000-cc-rp-mo/photo.jpg","rating":5,"relative_time_description":"2 months ago","text":"Very professional, wonderful staff, very professional. I highly recommend them.","time":1606017706},{"author_name":"julie Neill","author_url":"https://www.google.com/maps/contrib/117265085572029593676/reviews","language":"en","profile_photo_url":"https://lh4.googleusercontent.com/-wYeSLbWj3ZM/AAAAAAAAAAI/AAAAAAAAAAA/AMZuucmpHCAv7jf1KouEvXwYf0YVNQMtAg/s128-c0x00000000-cc-rp-mo/photo.jpg","rating":5,"relative_time_description":"7 months ago","text":"Have used this company a number of times for business and personal flights.  They have a range of planes to suit all numbers and distances. Pilots and staff are always professional and friendly. Would highly recommend.","time":1594743993},{"author_name":"Amy Wing Scannell","author_url":"https://www.google.com/maps/contrib/114013849235820278332/reviews","language":"en","profile_photo_url":"https://lh3.googleusercontent.com/a-/AOh14Gie_Our-MzNwHvtjfhNjkrQxxTh1guI5yudDprB=s128-c0x00000000-cc-rp-mo","rating":5,"relative_time_description":"7 months ago","text":"Very impressed with the customer service at Premier Air! Had a lovely phone conversation with the receptionist and really appreciated her tone and attention to detail.  Would recommend!","time":1594750565}],"types":["airport","point_of_interest","establishment"],"url":"https://maps.google.com/?cid=14965535524509536213","utc_offset":-480,"vicinity":"2006 Palomar Airport Road STE 210, Carlsbad","website":"https://premieraircharter.com/?utm_source=google&amp;utm_medium=organic&amp;utm_campaign=gmb-listing"},"status":"OK"}</t>
  </si>
  <si>
    <t>&lt;span class="street-address"&gt;2006 Palomar Airport Rd STE 210&lt;/span&gt;, &lt;span class="locality"&gt;Carlsbad&lt;/span&gt;, &lt;span class="region"&gt;CA&lt;/span&gt; &lt;span class="postal-code"&gt;92011&lt;/span&gt;, &lt;span class="country-name"&gt;USA&lt;/span&gt;</t>
  </si>
  <si>
    <t>(858) 381-3435</t>
  </si>
  <si>
    <t>+1 858-381-3435</t>
  </si>
  <si>
    <t>airport,point_of_interest,establishment</t>
  </si>
  <si>
    <t>2006 Palomar Airport Road STE 210, Carlsbad</t>
  </si>
  <si>
    <t>https://premieraircharter.com/?utm_source=google&amp;utm_medium=organic&amp;utm_campaign=gmb-listing</t>
  </si>
  <si>
    <t>https://maps.googleapis.com/maps/api/place/findplacefromtext/json?input=%2B17609290307&amp;inputtype=phonenumber&amp;fields=business_status,formatted_address,geometry,icon,name,permanently_closed,place_id,plus_code,types&amp;key=AIzaSyAUoR1hu32epmid_r-h7_AiXQWhNu3zr3U</t>
  </si>
  <si>
    <t>{"business_status":"OPERATIONAL","formatted_address":"2026 Palomar Airport Rd, Carlsbad, CA 92011, USA","geometry":{"location":{"lat":33.1208529,"lng":-117.2807857},"viewport":{"northeast":{"lat":33.12221393029149,"lng":-117.2794493197085},"southwest":{"lat":33.11951596970849,"lng":-117.2821472802915}}},"icon":"https://maps.gstatic.com/mapfiles/place_api/icons/v1/png_71/generic_business-71.png","name":"Tango Air Inc","place_id":"ChIJZXwq3Gdz3IAReOoSkQY7cf8","plus_code":{"compound_code":"4PC9+8M Carlsbad, CA, USA","global_code":"85544PC9+8M"},"types":["point_of_interest","establishment"]}</t>
  </si>
  <si>
    <t>Tango Air Inc</t>
  </si>
  <si>
    <t>ChIJZXwq3Gdz3IAReOoSkQY7cf8</t>
  </si>
  <si>
    <t>2026 Palomar Airport Rd, Carlsbad, CA 92011, USA</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</si>
  <si>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States","short_name":"US","types":["country","political"]},{"long_name":"92011","short_name":"92011","types":["postal_code"]},{"long_name":"4412","short_name":"4412","types":["postal_code_suffix"]}],"adr_address":"&lt;span class=\"street-address\"&gt;2026 Palomar Airport Rd&lt;/span&gt;, &lt;span class=\"locality\"&gt;Carlsbad&lt;/span&gt;, &lt;span class=\"region\"&gt;CA&lt;/span&gt; &lt;span class=\"postal-code\"&gt;92011-4412&lt;/span&gt;, &lt;span class=\"country-name\"&gt;USA&lt;/span&gt;","formatted_address":"2026 Palomar Airport Rd, Carlsbad, CA 92011, USA","formatted_phone_number":"(760) 929-0307","geometry":{"location":{"lat":33.1208529,"lng":-117.2807857},"viewport":{"northeast":{"lat":33.12221393029149,"lng":-117.2794493197085},"southwest":{"lat":33.11951596970849,"lng":-117.2821472802915}}},"icon":"https://maps.gstatic.com/mapfiles/place_api/icons/v1/png_71/generic_business-71.png","id":null,"international_phone_number":"+1 760-929-0307","name":"Tango Air Inc","place_id":"ChIJZXwq3Gdz3IAReOoSkQY7cf8","rating":null,"reference":null,"reviews":null,"types":["point_of_interest","establishment"],"url":"https://maps.google.com/?cid=18406558051429706360","utc_offset":-480,"vicinity":"2026 Palomar Airport Road, Carlsbad","website":null},"status":"OK"}</t>
  </si>
  <si>
    <t>&lt;span class="street-address"&gt;2026 Palomar Airport Rd&lt;/span&gt;, &lt;span class="locality"&gt;Carlsbad&lt;/span&gt;, &lt;span class="region"&gt;CA&lt;/span&gt; &lt;span class="postal-code"&gt;92011-4412&lt;/span&gt;, &lt;span class="country-name"&gt;USA&lt;/span&gt;</t>
  </si>
  <si>
    <t>+1 760-929-0307</t>
  </si>
  <si>
    <t>2026 Palomar Airport Road, Carlsbad</t>
  </si>
  <si>
    <t>https://maps.googleapis.com/maps/api/place/findplacefromtext/json?input=Jet%20AMG%20Services%20LLC%202006%20Palomar%20Airport%20Rd%20Suite%20201%20%20Carlsbad%20CA%2092011&amp;key=AIzaSyAUoR1hu32epmid_r-h7_AiXQWhNu3zr3U&amp;inputtype=textquery&amp;fields=business_status,formatted_address,geometry,icon,name,permanently_closed,place_id,plus_code,types</t>
  </si>
  <si>
    <t>{"business_status":"OPERATIONAL","formatted_address":"2006 Palomar Airport Rd, Carlsbad, CA 92011, United States","geometry":{"location":{"lat":33.1254918,"lng":-117.2820889},"viewport":{"northeast":{"lat":33.12692092989272,"lng":-117.2802139701073},"southwest":{"lat":33.12422127010728,"lng":-117.2829136298927}}},"icon":"https://maps.gstatic.com/mapfiles/place_api/icons/v1/png_71/generic_business-71.png","name":"JET AMG","place_id":"ChIJ63WYNmhz3IARbZQe3WPZCAk","plus_code":{"compound_code":"4PG9+55 Carlsbad, California","global_code":"85544PG9+55"},"types":["point_of_interest","establishment"]}</t>
  </si>
  <si>
    <t>JET AMG</t>
  </si>
  <si>
    <t>ChIJ63WYNmhz3IARbZQe3WPZCAk</t>
  </si>
  <si>
    <t>2006 Palomar Airport Rd, Carlsbad, CA 92011, United States</t>
  </si>
  <si>
    <t>{"html_attributions":[],"result":{"address_components":[{"long_name":"2006","short_name":"2006","types":["street_number"]},{"long_name":"Palomar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Rd&lt;/span&gt;, &lt;span class=\"locality\"&gt;Carlsbad&lt;/span&gt;, &lt;span class=\"region\"&gt;CA&lt;/span&gt; &lt;span class=\"postal-code\"&gt;92011&lt;/span&gt;, &lt;span class=\"country-name\"&gt;USA&lt;/span&gt;","formatted_address":"2006 Palomar Airport Rd, Carlsbad, CA 92011, USA","formatted_phone_number":"(760) 918-9075","geometry":{"location":{"lat":33.1254918,"lng":-117.2820889},"viewport":{"northeast":{"lat":33.1269200802915,"lng":-117.2802148197085},"southwest":{"lat":33.1242221197085,"lng":-117.2829127802915}}},"icon":"https://maps.gstatic.com/mapfiles/place_api/icons/v1/png_71/generic_business-71.png","id":null,"international_phone_number":"+1 760-918-9075","name":"JET AMG","place_id":"ChIJ63WYNmhz3IARbZQe3WPZCAk","rating":null,"reference":null,"reviews":null,"types":["point_of_interest","establishment"],"url":"https://maps.google.com/?cid=651009169089795181","utc_offset":-480,"vicinity":"2006 Palomar Airport Road, Carlsbad","website":"http://www.jetamg.com/"},"status":"OK"}</t>
  </si>
  <si>
    <t>&lt;span class="street-address"&gt;2006 Palomar Airport Rd&lt;/span&gt;, &lt;span class="locality"&gt;Carlsbad&lt;/span&gt;, &lt;span class="region"&gt;CA&lt;/span&gt; &lt;span class="postal-code"&gt;92011&lt;/span&gt;, &lt;span class="country-name"&gt;USA&lt;/span&gt;</t>
  </si>
  <si>
    <t>(760) 918-9075</t>
  </si>
  <si>
    <t>+1 760-918-9075</t>
  </si>
  <si>
    <t>2006 Palomar Airport Road, Carlsbad</t>
  </si>
  <si>
    <t>http://www.jetamg.com/</t>
  </si>
  <si>
    <t>https://maps.googleapis.com/maps/api/place/findplacefromtext/json?input=Flight%20Crew%20Systems%2C%20Inc%20%20Flight%20Crew%20Systems%2C%20Inc.%20d/b/a%20LOFT%206150%20Corte%20Del%20Cedro%20%20Carlsbad%20%20CA%2092011&amp;key=AIzaSyAUoR1hu32epmid_r-h7_AiXQWhNu3zr3U&amp;inputtype=textquery&amp;fields=business_status,formatted_address,geometry,icon,name,permanently_closed,place_id,plus_code,types</t>
  </si>
  <si>
    <t>{"business_status":"OPERATIONAL","formatted_address":"6150 Corte Del Cedro, Carlsbad, CA 92011, United States","geometry":{"location":{"lat":33.123884,"lng":-117.2721839},"viewport":{"northeast":{"lat":33.12516702989272,"lng":-117.2708313701073},"southwest":{"lat":33.12246737010727,"lng":-117.2735310298927}}},"icon":"https://maps.gstatic.com/mapfiles/place_api/icons/v1/png_71/generic_business-71.png","name":"LOFT","place_id":"ChIJLVv79F5z3IARgMWY7KbzIjg","plus_code":{"compound_code":"4PFH+H4 Carlsbad, California","global_code":"85544PFH+H4"},"types":["point_of_interest","establishment"]}</t>
  </si>
  <si>
    <t>ChIJLVv79F5z3IARgMWY7KbzIjg</t>
  </si>
  <si>
    <t>6150 Corte Del Cedro, Carlsbad, CA 92011, United States</t>
  </si>
  <si>
    <t>{"html_attributions":[],"result":{"address_components":[{"long_name":"6150","short_name":"6150","types":["street_number"]},{"long_name":"Corte Del Cedro","short_name":"Corte Del Cedro","types":["route"]},{"long_name":"Carlsbad","short_name":"Carlsbad","types":["locality","political"]},{"long_name":"San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class=\"street-address\"&gt;6150 Corte Del Cedro&lt;/span&gt;, &lt;span class=\"locality\"&gt;Carlsbad&lt;/span&gt;, &lt;span class=\"region\"&gt;CA&lt;/span&gt; &lt;span class=\"postal-code\"&gt;92011&lt;/span&gt;, &lt;span class=\"country-name\"&gt;USA&lt;/span&gt;","formatted_address":"6150 Corte Del Cedro, Carlsbad, CA 92011, USA","formatted_phone_number":"(888) 359-5638","geometry":{"location":{"lat":33.123884,"lng":-117.2721839},"viewport":{"northeast":{"lat":33.12516618029149,"lng":-117.2708322197085},"southwest":{"lat":33.12246821970849,"lng":-117.2735301802915}}},"icon":"https://maps.gstatic.com/mapfiles/place_api/icons/v1/png_71/generic_business-71.png","id":null,"international_phone_number":"+1 888-359-5638","name":"LOFT","place_id":"ChIJLVv79F5z3IARgMWY7KbzIjg","rating":5.0,"reference":null,"reviews":[{"author_name":"Shawn Mack","author_url":"https://www.google.com/maps/contrib/100322033387985448502/reviews","language":"en","profile_photo_url":"https://lh3.googleusercontent.com/a-/AOh14GjA5HKJM5TZm_m8wn2M_N4NUDVPrai7v2R8wXbgIg=s128-c0x00000000-cc-rp-mo","rating":5,"relative_time_description":"5 months ago","text":"Professional, is the only way to describe this training.  Thorough, but enjoyable, and a great big picture attitude.  This is the place to learn how and the training to stay current.","time":1599068094},{"author_name":"Jack Lowrey","author_url":"https://www.google.com/maps/contrib/103651065255100394941/reviews","language":"en","profile_photo_url":"https://lh5.googleusercontent.com/-NPZ3TYqKA50/AAAAAAAAAAI/AAAAAAAAAAA/AMZuucnqervjaSWIsiyfY3_8d3Ss65Qkrg/s128-c0x00000000-cc-rp-mo/photo.jpg","rating":5,"relative_time_description":"a year ago","text":"LOFT is by Five Stars the Best!\nI recently completed my Single Pilot Initial\nCE-550 and can’t say enough great things about all their awesome and experienced instructors! What a great beautiful and well run facility! As a 30+ year Pro-Pilot (including a military instructor pilot background) I highly recommend LOFT...their CREW is simply Outstanding!!","time":1553887875},{"author_name":"David G","author_url":"https://www.google.com/maps/contrib/108054862276015713728/reviews","language":"en","profile_photo_url":"https://lh3.googleusercontent.com/a-/AOh14GhX7O5oyKQec-Nf0znFDB_SiQio7HortgF5tn4Q=s128-c0x00000000-cc-rp-mo","rating":5,"relative_time_description":"11 months ago","text":"Professional well run facility","time":1583826099},{"author_name":"Michael Carlini","author_url":"https://www.google.com/maps/contrib/100486922542775374881/reviews","language":"en","profile_photo_url":"https://lh3.googleusercontent.com/a-/AOh14GhN_XAf7QS7upB9Hx7PcIhE8Ola192lIzneMS9KcQ=s128-c0x00000000-cc-rp-mo","rating":5,"relative_time_description":"a year ago","text":"Had an amazing experience at Loft for my first PIC type rating in the Citation 560. All my instructors were retired military and/or airline guys, and they were all extremely knowledgeable and eager to see me succeed. It was a very laid back atmosphere, and even the checkride had a relaxed feel to it. Dare I say it...I actually enjoyed the checkride! I look forward to returning later this year for my CE-525 rating, and I would highly recommend Loft to anyone looking for their Citation or CJ type rating, or recurrent.","time":1554255055},{"author_name":"Richard Sears","author_url":"https://www.google.com/maps/contrib/114341648700172699136/reviews","language":"en","profile_photo_url":"https://lh3.googleusercontent.com/a-/AOh14GjZeBahoszW24Ujo6uGRnW_J3gh_zipOS4gpdKK=s128-c0x00000000-cc-rp-mo-ba3","rating":5,"relative_time_description":"2 years ago","text":"Fantastic training facility. Did my CE500 and CE525S training at LOFT.","time":1546270721}],"types":["point_of_interest","establishment"],"url":"https://maps.google.com/?cid=4045063313591682432","utc_offset":-480,"vicinity":"6150 Corte Del Cedro, Carlsbad","website":"https://www.loft.aero/"},"status":"OK"}</t>
  </si>
  <si>
    <t>&lt;span class="street-address"&gt;6150 Corte Del Cedro&lt;/span&gt;, &lt;span class="locality"&gt;Carlsbad&lt;/span&gt;, &lt;span class="region"&gt;CA&lt;/span&gt; &lt;span class="postal-code"&gt;92011&lt;/span&gt;, &lt;span class="country-name"&gt;USA&lt;/span&gt;</t>
  </si>
  <si>
    <t>(888) 359-5638</t>
  </si>
  <si>
    <t>+1 888-359-5638</t>
  </si>
  <si>
    <t>6150 Corte Del Cedro, Carlsbad</t>
  </si>
  <si>
    <t>https://www.loft.aero/</t>
  </si>
  <si>
    <t>https://maps.googleapis.com/maps/api/place/findplacefromtext/json?input=TRU%20Simulation%20+%20Training%20LLC%20%206144%20Innovation%20Way%20%20%20Carlsbad%20%20CA%2092009&amp;key=AIzaSyAUoR1hu32epmid_r-h7_AiXQWhNu3zr3U&amp;inputtype=textquery&amp;fields=business_status,formatted_address,geometry,icon,name,permanently_closed,place_id,plus_code,types</t>
  </si>
  <si>
    <t>{"business_status":"OPERATIONAL","formatted_address":"6144 Innovation Way, Carlsbad, CA 92009, United States","geometry":{"location":{"lat":33.12871,"lng":-117.257959},"viewport":{"northeast":{"lat":33.13010412989273,"lng":-117.2566076701073},"southwest":{"lat":33.12740447010728,"lng":-117.2593073298927}}},"icon":"https://maps.gstatic.com/mapfiles/place_api/icons/v1/png_71/school-71.png","name":"TRU Simulation + Training Pilot Training Center (West Coast)","place_id":"ChIJvyFH2WRz3IART5SxvCHVqtk","plus_code":{"compound_code":"4PHR+FR Carlsbad, California","global_code":"85544PHR+FR"},"types":["university","point_of_interest","establishment"]}</t>
  </si>
  <si>
    <t>TRU Simulation + Training Pilot Training Center (West Coast)</t>
  </si>
  <si>
    <t>ChIJvyFH2WRz3IART5SxvCHVqtk</t>
  </si>
  <si>
    <t>6144 Innovation Way, Carlsbad, CA 92009, United States</t>
  </si>
  <si>
    <t>{"html_attributions":[],"result":{"address_components":[{"long_name":"6144","short_name":"6144","types":["street_number"]},{"long_name":"Innovation Way","short_name":"Innovation Way","types":["route"]},{"long_name":"Bressi Ranch","short_name":"Bressi Ranch","types":["neighborhood","political"]},{"long_name":"Carlsbad","short_name":"Carlsbad","types":["locality","political"]},{"long_name":"San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States","short_name":"US","types":["country","political"]},{"long_name":"92009","short_name":"92009","types":["postal_code"]},{"long_name":"1728","short_name":"1728","types":["postal_code_suffix"]}],"adr_address":"&lt;span class=\"street-address\"&gt;6144 Innovation Way&lt;/span&gt;, &lt;span class=\"locality\"&gt;Carlsbad&lt;/span&gt;, &lt;span class=\"region\"&gt;CA&lt;/span&gt; &lt;span class=\"postal-code\"&gt;92009-1728&lt;/span&gt;, &lt;span class=\"country-name\"&gt;USA&lt;/span&gt;","formatted_address":"6144 Innovation Way, Carlsbad, CA 92009, USA","formatted_phone_number":"(800) 438-2935","geometry":{"location":{"lat":33.12871,"lng":-117.257959},"viewport":{"northeast":{"lat":33.1301032802915,"lng":-117.2566085197085},"southwest":{"lat":33.1274053197085,"lng":-117.2593064802915}}},"icon":"https://maps.gstatic.com/mapfiles/place_api/icons/v1/png_71/school-71.png","id":null,"international_phone_number":"+1 800-438-2935","name":"TRU Simulation + Training Pilot Training Center (West Coast)","place_id":"ChIJvyFH2WRz3IART5SxvCHVqtk","rating":4.4,"reference":null,"reviews":[{"author_name":"Brandon Smith","author_url":"https://www.google.com/maps/contrib/116415299078833724282/reviews","language":"en","profile_photo_url":"https://lh3.googleusercontent.com/a-/AOh14Gi0DbOf3u1pkfxb_rFz8o97wtHhcXvQ2ZGRKnPdYA=s128-c0x00000000-cc-rp-mo","rating":5,"relative_time_description":"5 years ago","text":"Best C441 training out there.  Instructors are very knowledgable and the staff is friendly and accommodating.  Wouldn't go anywhere else for my C441 training.","time":1440380873},{"author_name":"Martin Barnes","author_url":"https://www.google.com/maps/contrib/102370818007616238764/reviews","language":"en","profile_photo_url":"https://lh3.googleusercontent.com/a-/AOh14GhoB-Zt7nqJlogiNhy3ONScER9YLarRNUORHeDpDg=s128-c0x00000000-cc-rp-mo","rating":2,"relative_time_description":"5 years ago","text":"On Line Systems Ground School is world Class.\n\nThe Simulator CJ3 is a very poor representation of the actual aircraft and should be avoided.\n\nVery disappointing visit, would not return.","time":1439922276},{"author_name":"Brad Ruedig","author_url":"https://www.google.com/maps/contrib/106629663069494835201/reviews","language":"en","profile_photo_url":"https://lh6.googleusercontent.com/-BrH1UrTRMtI/AAAAAAAAAAI/AAAAAAAAAAA/AMZuucnnDXZS97RGhdNawktymCOatqUUEw/s128-c0x00000000-cc-rp-mo/photo.jpg","rating":5,"relative_time_description":"6 years ago","text":"ProFlight is by far the best C441 Conquest II training out there. I have been to all the others in 25 years of flying the 441 and 425. I send 5 pilots there each year for re-current and new pilots to initial. The fact that they have a CJ3 simulator makes it better for me now that I can get both re-currents done in one stop. The ground school is what first impressed me the most. With hands on parts to analyze and current 441 captains teaching, no other simulator based school can compare. I'll be there this fall.\n\nBrad Ruedig\nChief Pilot\nAldridge Electric, Inc.","time":1409852132},{"author_name":"Michael Sahakian","author_url":"https://www.google.com/maps/contrib/106687179612047995626/reviews","language":"en","profile_photo_url":"https://lh5.googleusercontent.com/-BA-kuNdxZIk/AAAAAAAAAAI/AAAAAAAAAAA/AMZuucmyuv9PNItv7pP3coeJAWuNth5KCA/s128-c0x00000000-cc-rp-mo/photo.jpg","rating":5,"relative_time_description":"5 years ago","text":"What a great learning experience. from the class room to the flight sim.  I gain so much fine tuning my cockpit procedures, flying the approaches and about the aircraft that I fly. these guys are really enthusiastic teaching you.\nThe unique part Pro-Flight is that they stay in constant contact with repair shops to find out about thing that we pilots need to be aware of as our aircraft age.\nI look forward to going back each year for recurrent training, it doesn't come soon enough.\nATP/Conquest 425/type rating: CJ-1, CJ-2, CJ-3, CJ-4","time":1433880247},{"author_name":"Randall “Cloud Surfer” Steele","author_url":"https://www.google.com/maps/contrib/106592081503711437137/reviews","language":null,"profile_photo_url":"https://lh3.googleusercontent.com/a-/AOh14GgfyDU0okSZYFwIq-8udrS8iq1O5b3ieHd5rhkWow=s128-c0x00000000-cc-rp-mo-ba3","rating":5,"relative_time_description":"3 years ago","text":"","time":1505487694}],"types":["university","point_of_interest","establishment"],"url":"https://maps.google.com/?cid=15684582993147565135","utc_offset":-480,"vicinity":"6144 Innovation Way, Carlsbad","website":"https://www.trusimulation.com/"},"status":"OK"}</t>
  </si>
  <si>
    <t>&lt;span class="street-address"&gt;6144 Innovation Way&lt;/span&gt;, &lt;span class="locality"&gt;Carlsbad&lt;/span&gt;, &lt;span class="region"&gt;CA&lt;/span&gt; &lt;span class="postal-code"&gt;92009-1728&lt;/span&gt;, &lt;span class="country-name"&gt;USA&lt;/span&gt;</t>
  </si>
  <si>
    <t>(800) 438-2935</t>
  </si>
  <si>
    <t>+1 800-438-2935</t>
  </si>
  <si>
    <t>6144 Innovation Way, Carlsbad</t>
  </si>
  <si>
    <t>https://www.trusimulation.com/</t>
  </si>
  <si>
    <t>NO</t>
  </si>
  <si>
    <t>https://maps.googleapis.com/maps/api/place/findplacefromtext/json?input=PACIFIC%20COAST%20ENTERPRISES%20INC%20%20%20%20%20%20%20%20%20%20%20%20%20%20%20%20%20%20%20%20%20%203513%20SOMERSET%20WAY%20%20%20%20%20%20%20%20%20%20%20%20%20%20%20%20%20%20%20%20%20%20%20%20%20%20%20%20%20%20%20%20%20%20%20%20%20%20%20%20%20%20%20%20%20%20%20%20%20%20%20%20%20%20%20CARLSBAD%20%20%20%20%20%20%20%20%20%20%20%20%20%20%20CA%2092010&amp;key=AIzaSyAUoR1hu32epmid_r-h7_AiXQWhNu3zr3U&amp;inputtype=textquery&amp;fields=business_status,formatted_address,geometry,icon,name,permanently_closed,place_id,plus_code,types</t>
  </si>
  <si>
    <t>street_address</t>
  </si>
  <si>
    <t>https://maps.googleapis.com/maps/api/place/findplacefromtext/json?input=HANGAR%20ONE%20AVIONICS%20INC%20%20%20%20%20%20%20%20%20%20%20%20%20%20%20%20%20%20%20%20%20%20%20%20%20%20%20%202026%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</si>
  <si>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{"business_status":"OPERATIONAL","formatted_address":"2026 Palomar Airport Rd, Carlsbad, CA 92011, United States","geometry":{"location":{"lat":33.1252283,"lng":-117.2807174},"viewport":{"northeast":{"lat":33.12656197989271,"lng":-117.2794795701073},"southwest":{"lat":33.12386232010726,"lng":-117.2821792298927}}},"icon":"https://maps.gstatic.com/mapfiles/place_api/icons/v1/png_71/generic_business-71.png","name":"Hangar One Avionics","place_id":"ChIJKxrMP0Nz3IARmp1yvJoXuig","plus_code":{"compound_code":"4PG9+3P Carlsbad, California","global_code":"85544PG9+3P"},"types":["point_of_interest","establishment"]}</t>
  </si>
  <si>
    <t>Hangar One Avionics</t>
  </si>
  <si>
    <t>ChIJKxrMP0Nz3IARmp1yvJoXuig</t>
  </si>
  <si>
    <t>2026 Palomar Airport Rd, Carlsbad, CA 92011, United States</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</si>
  <si>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class=\"street-address\"&gt;2026 Palomar Airport Rd&lt;/span&gt;, &lt;span class=\"locality\"&gt;Carlsbad&lt;/span&gt;, &lt;span class=\"region\"&gt;CA&lt;/span&gt; &lt;span class=\"postal-code\"&gt;92011&lt;/span&gt;, &lt;span class=\"country-name\"&gt;USA&lt;/span&gt;","formatted_address":"2026 Palomar Airport Rd, Carlsbad, CA 92011, USA","formatted_phone_number":"(760) 929-2270","geometry":{"location":{"lat":33.1252283,"lng":-117.2807174},"viewport":{"northeast":{"lat":33.12656113029149,"lng":-117.2794804197085},"southwest":{"lat":33.1238631697085,"lng":-117.2821783802915}}},"icon":"https://maps.gstatic.com/mapfiles/place_api/icons/v1/png_71/generic_business-71.png","id":null,"international_phone_number":"+1 760-929-2270","name":"Hangar One Avionics","place_id":"ChIJKxrMP0Nz3IARmp1yvJoXuig","rating":3.7,"reference":null,"reviews":[{"author_name":"Dan Wyson","author_url":"https://www.google.com/maps/contrib/100423591177604736106/reviews","language":"en","profile_photo_url":"https://lh3.googleusercontent.com/a-/AOh14GjTns2CjJa_Xp8LdSdB_4H0XIk2xjYjLHeAMWCkPA=s128-c0x00000000-cc-rp-mo","rating":5,"relative_time_description":"3 years ago","text":"Despite having a busy shop, Ken took time to trouble shoot an avionics issue for me so I could get back home. I really appreciate it. Very professional and willing to help a little guy in a pinch. And the charge was very fair.","time":1507132756},{"author_name":"Gerald Blank","author_url":"https://www.google.com/maps/contrib/117842501044723607477/reviews","language":"en","profile_photo_url":"https://lh3.googleusercontent.com/-cdX8K0ry350/AAAAAAAAAAI/AAAAAAAAAAA/AMZuucmuy8DpVbEIj7TWC8F_XVkZAytPrw/s128-c0x00000000-cc-rp-mo/photo.jpg","rating":1,"relative_time_description":"4 years ago","text":"Called the owner (I believe) Ken numerous times with no response, had to take my PA46 to another local avionics shop. Would not recommend this shop unless you have lots of time and money.","time":1475723217},{"author_name":"Michael Webb","author_url":"https://www.google.com/maps/contrib/110354891605067901590/reviews","language":null,"profile_photo_url":"https://lh3.googleusercontent.com/a-/AOh14GjZT8X_wowgDCKytymThwwxNtw3jjO3BYHYiTfmL6c=s128-c0x00000000-cc-rp-mo-ba3","rating":5,"relative_time_description":"a year ago","text":"","time":1569955363}],"types":["point_of_interest","establishment"],"url":"https://maps.google.com/?cid=2934684060539329946","utc_offset":-480,"vicinity":"2026 Palomar Airport Road, Carlsbad","website":"http://www.h1avionics.com/"},"status":"OK"}</t>
  </si>
  <si>
    <t>&lt;span class="street-address"&gt;2026 Palomar Airport Rd&lt;/span&gt;, &lt;span class="locality"&gt;Carlsbad&lt;/span&gt;, &lt;span class="region"&gt;CA&lt;/span&gt; &lt;span class="postal-code"&gt;92011&lt;/span&gt;, &lt;span class="country-name"&gt;USA&lt;/span&gt;</t>
  </si>
  <si>
    <t>(760) 929-2270</t>
  </si>
  <si>
    <t>+1 760-929-2270</t>
  </si>
  <si>
    <t>http://www.h1avionics.com/</t>
  </si>
  <si>
    <t>https://maps.googleapis.com/maps/api/place/findplacefromtext/json?input=L%20E%20A%20INC%20%20%20%20%20%20%20%20%20%20%20%20%20%20%20%20%20%20%20%20%20%20%20%20%20%20%20%20%20%20%20%20%20%20%20%20%20%20%20%20%20%202186%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</si>
  <si>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premise</t>
  </si>
  <si>
    <t>https://maps.googleapis.com/maps/api/place/findplacefromtext/json?input=CLAY%20LACY%20AVIATION%20INC%20%20%20%20%20%20%20%20%20%20%20%20%20%20%20%20%20%20%20%20%20%20%20%20%20%20%20%20%202100%20Palomar%20Airport%20Rd.%20%20%20%20%20%20%20%20%20%20%20%20Suite%20230%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</si>
  <si>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{"business_status":"OPERATIONAL","formatted_address":"2150 Palomar Airport Rd STE 202, Carlsbad, CA 92011, United States","geometry":{"location":{"lat":33.12661,"lng":-117.27851},"viewport":{"northeast":{"lat":33.12782462989273,"lng":-117.2773120701073},"southwest":{"lat":33.12512497010728,"lng":-117.2800117298927}}},"icon":"https://maps.gstatic.com/mapfiles/place_api/icons/v1/png_71/generic_business-71.png","name":"Clay Lacy Aviation - Carlsbad","place_id":"ChIJZXwq3Gdz3IARaoWwZYt9hvw","plus_code":{"compound_code":"4PGC+JH Carlsbad, California","global_code":"85544PGC+JH"},"types":["point_of_interest","establishment"]}</t>
  </si>
  <si>
    <t>Clay Lacy Aviation - Carlsbad</t>
  </si>
  <si>
    <t>ChIJZXwq3Gdz3IARaoWwZYt9hvw</t>
  </si>
  <si>
    <t>2150 Palomar Airport Rd STE 202, Carlsbad, CA 92011, United States</t>
  </si>
  <si>
    <t>{"html_attributions":[],"result":{"address_components":[{"long_name":"STE 202","short_name":"STE 202","types":["subpremise"]},{"long_name":"2150","short_name":"2150","types":["street_number"]},{"long_name":"Palomar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class=\"street-address\"&gt;2150 Palomar Airport Rd STE 202&lt;/span&gt;, &lt;span class=\"locality\"&gt;Carlsbad&lt;/span&gt;, &lt;span class=\"region\"&gt;CA&lt;/span&gt; &lt;span class=\"postal-code\"&gt;92011&lt;/span&gt;, &lt;span class=\"country-name\"&gt;USA&lt;/span&gt;","formatted_address":"2150 Palomar Airport Rd STE 202, Carlsbad, CA 92011, USA","formatted_phone_number":"(800) 423-2904","geometry":{"location":{"lat":33.12661000000001,"lng":-117.27851},"viewport":{"northeast":{"lat":33.1278237802915,"lng":-117.2773129197085},"southwest":{"lat":33.12512581970851,"lng":-117.2800108802915}}},"icon":"https://maps.gstatic.com/mapfiles/place_api/icons/v1/png_71/generic_business-71.png","id":null,"international_phone_number":"+1 800-423-2904","name":"Clay Lacy Aviation - Carlsbad","place_id":"ChIJZXwq3Gdz3IARaoWwZYt9hvw","rating":4.2,"reference":null,"reviews":[{"author_name":"Chelsea Macias","author_url":"https://www.google.com/maps/contrib/104290367056035192173/reviews","language":null,"profile_photo_url":"https://lh3.googleusercontent.com/a-/AOh14GiXCT85XHwzLk_3udR7Oj2VE-sjb1KbJT7-54Ro=s128-c0x00000000-cc-rp-mo-ba3","rating":1,"relative_time_description":"2 years ago","text":"","time":1536859043},{"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ago","text":"","time":1564284347},{"author_name":"kristin malanca","author_url":"https://www.google.com/maps/contrib/117311818250883818283/reviews","language":null,"profile_photo_url":"https://lh6.googleusercontent.com/-ish5m0ekyuE/AAAAAAAAAAI/AAAAAAAAAAA/AMZuucliPzUEUMdd9qGgFavEjvlsr3Sgiw/s128-c0x00000000-cc-rp-mo/photo.jpg","rating":5,"relative_time_description":"10 months ago","text":"","time":1585661352},{"author_name":"Brian Potter","author_url":"https://www.google.com/maps/contrib/115359281871862447205/reviews","language":null,"profile_photo_url":"https://lh3.googleusercontent.com/a-/AOh14GhQNxOZEdmTn5VoZJLVpyKa2rZ0R-se_PYZ4vZUrw=s128-c0x00000000-cc-rp-mo","rating":5,"relative_time_description":"10 months ago","text":"","time":1585774452},{"author_name":"Fabian Pacheco","author_url":"https://www.google.com/maps/contrib/101446062345726163317/reviews","language":null,"profile_photo_url":"https://lh4.googleusercontent.com/-unlBb4-jTlY/AAAAAAAAAAI/AAAAAAAAAAA/AMZuucnteRBkTRI3NeDtKzEZXpLw0_7U5g/s128-c0x00000000-cc-rp-mo/photo.jpg","rating":5,"relative_time_description":"a year ago","text":"","time":1570144444}],"types":["point_of_interest","establishment"],"url":"https://maps.google.com/?cid=18196369382097061226","utc_offset":-480,"vicinity":"2150 Palomar Airport Road STE 202, Carlsbad","website":"https://www.claylacy.com/contact-us/locations/mcclellan-palomar-airport-kcrq/"},"status":"OK"}</t>
  </si>
  <si>
    <t>&lt;span class="street-address"&gt;2150 Palomar Airport Rd STE 202&lt;/span&gt;, &lt;span class="locality"&gt;Carlsbad&lt;/span&gt;, &lt;span class="region"&gt;CA&lt;/span&gt; &lt;span class="postal-code"&gt;92011&lt;/span&gt;, &lt;span class="country-name"&gt;USA&lt;/span&gt;</t>
  </si>
  <si>
    <t>(800) 423-2904</t>
  </si>
  <si>
    <t>+1 800-423-2904</t>
  </si>
  <si>
    <t>2150 Palomar Airport Road STE 202, Carlsbad</t>
  </si>
  <si>
    <t>https://www.claylacy.com/contact-us/locations/mcclellan-palomar-airport-kcrq/</t>
  </si>
  <si>
    <t>https://maps.googleapis.com/maps/api/place/findplacefromtext/json?input=CIVIC%20HELICOPTERS%20INC%20%20%20%20%20%20%20%20%20%20%20%20%20%20%20%20%20%20%20%20%20%20%20%20%20%20%20%20%20%202206%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</si>
  <si>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{"business_status":"OPERATIONAL","formatted_address":"2206 Palomar Airport Rd Suite H, Carlsbad, CA 92011, United States","geometry":{"location":{"lat":33.1257805,"lng":-117.2754738},"viewport":{"northeast":{"lat":33.12705972989272,"lng":-117.2742043201073},"southwest":{"lat":33.12436007010728,"lng":-117.2769039798927}}},"icon":"https://maps.gstatic.com/mapfiles/place_api/icons/v1/png_71/school-71.png","name":"Civic Helicopters, Inc.","place_id":"ChIJB9XriF1z3IARLzGn-IRtC2E","plus_code":{"compound_code":"4PGF+8R Carlsbad, California","global_code":"85544PGF+8R"},"types":["university","point_of_interest","establishment"]}</t>
  </si>
  <si>
    <t>2206 Palomar Airport Rd Suite H, Carlsbad, CA 92011, United States</t>
  </si>
  <si>
    <t>https://maps.googleapis.com/maps/api/place/findplacefromtext/json?input=%2B15622900321 &amp;inputtype=phonenumber&amp;fields=business_status,formatted_address,geometry,icon,name,permanently_closed,place_id,plus_code,types&amp;key=AIzaSyAUoR1hu32epmid_r-h7_AiXQWhNu3zr3U</t>
  </si>
  <si>
    <t>{"business_status":"OPERATIONAL","formatted_address":"2631 E Spring St, Long Beach, CA 90806, USA","geometry":{"location":{"lat":33.8122095,"lng":-118.1610017},"viewport":{"northeast":{"lat":33.8134678302915,"lng":-118.1597148197085},"southwest":{"lat":33.8107698697085,"lng":-118.1624127802915}}},"icon":"https://maps.gstatic.com/mapfiles/place_api/icons/v1/png_71/school-71.png","name":"Long Beach Flying Club","place_id":"ChIJe0dKZM0z3YAR0g5dMA5lNyg","plus_code":{"compound_code":"RR6Q+VH Long Beach, CA, USA","global_code":"8553RR6Q+VH"},"types":["university","point_of_interest","establishment"]}</t>
  </si>
  <si>
    <t>Long Beach Flying Club</t>
  </si>
  <si>
    <t>ChIJe0dKZM0z3YAR0g5dMA5lNyg</t>
  </si>
  <si>
    <t>2631 E Spring St, Long Beach, CA 90806, USA</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</si>
  <si>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Club","place_id":"ChIJe0dKZM0z3YAR0g5dMA5lNyg","rating":4.1,"reference":null,"reviews":[{"author_name":"Jacob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of.","time":1545852187},{"author_name":"sonu singh","author_url":"https://www.google.com/maps/contrib/109608609204577292765/reviews","language":"en","profile_photo_url":"https://lh3.googleusercontent.com/a-/AOh14GheD-spUBwe9JSft3NqnmQyjefEjcVH33qqXqZR_w=s128-c0x00000000-cc-rp-mo","rating":5,"relative_time_description":"4 months ago","text":"Friendly Staff Members!!","time":1602178171},{"author_name":"Joseph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jEWy6SwpgfI/AAAAAAAAAAI/AAAAAAAAAAA/AMZuuclJEIlTCCeDRXoFxYGYXXhpWXOxqw/s128-c0x00000000-cc-rp-mo/photo.jpg","rating":1,"relative_time_description":"4 years ago","text":"Unfriendly and unwelcoming staff at the front desk; nobody answers the phone, two emails were ignored - this place really turned me off.","time":1469853775}],"types":["university","point_of_interest","establishment"],"url":"https://maps.google.com/?cid=2897895996851556050","utc_offset":-480,"vicinity":"2631 East Spring Street, Long Beach","website":"http://www.lbflying.com/"},"status":"OK"}</t>
  </si>
  <si>
    <t>&lt;span class="street-address"&gt;2631 E Spring St&lt;/span&gt;, &lt;span class="locality"&gt;Long Beach&lt;/span&gt;, &lt;span class="region"&gt;CA&lt;/span&gt; &lt;span class="postal-code"&gt;90806&lt;/span&gt;, &lt;span class="country-name"&gt;USA&lt;/span&gt;</t>
  </si>
  <si>
    <t>(562) 290-0321</t>
  </si>
  <si>
    <t>+1 562-290-0321</t>
  </si>
  <si>
    <t>2631 East Spring Street, Long Beach</t>
  </si>
  <si>
    <t>http://www.lbflying.com/</t>
  </si>
  <si>
    <t>https://maps.googleapis.com/maps/api/place/findplacefromtext/json?input=%2B15624900077 &amp;inputtype=phonenumber&amp;fields=business_status,formatted_address,geometry,icon,name,permanently_closed,place_id,plus_code,types&amp;key=AIzaSyAUoR1hu32epmid_r-h7_AiXQWhNu3zr3U</t>
  </si>
  <si>
    <t>{"business_status":"OPERATIONAL","formatted_address":"2801 E Spring St Suite 150, Long Beach, CA 90806, USA","geometry":{"location":{"lat":33.8123143,"lng":-118.1586613},"viewport":{"northeast":{"lat":33.81352478029149,"lng":-118.1572671697085},"southwest":{"lat":33.8108268197085,"lng":-118.1599651302915}}},"icon":"https://maps.gstatic.com/mapfiles/place_api/icons/v1/png_71/school-71.png","name":"Sky Creation, Inc.","place_id":"ChIJaRZXo-Yz3YARdCpfg-eqQvo","plus_code":{"compound_code":"RR6R+WG Long Beach, CA, USA","global_code":"8553RR6R+WG"},"types":["university","point_of_interest","establishment"]}</t>
  </si>
  <si>
    <t>Sky Creation, Inc.</t>
  </si>
  <si>
    <t>ChIJaRZXo-Yz3YARdCpfg-eqQvo</t>
  </si>
  <si>
    <t>2801 E Spring St Suite 150, Long Beach, CA 90806, USA</t>
  </si>
  <si>
    <t>{"html_attributions":[],"result":{"address_components":[{"long_name":"Suite 150","short_name":"Suite 150","types":["subpremise"]},{"long_name":"2801","short_name":"2801","types":["street_number"]},{"long_name":"East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class=\"street-address\"&gt;2801 E Spring St Suite 150&lt;/span&gt;, &lt;span class=\"locality\"&gt;Long Beach&lt;/span&gt;, &lt;span class=\"region\"&gt;CA&lt;/span&gt; &lt;span class=\"postal-code\"&gt;90806&lt;/span&gt;, &lt;span class=\"country-name\"&gt;USA&lt;/span&gt;","formatted_address":"2801 E Spring St Suite 150, Long Beach, CA 90806, USA","formatted_phone_number":"(562) 490-0077","geometry":{"location":{"lat":33.8123143,"lng":-118.1586613},"viewport":{"northeast":{"lat":33.81352478029149,"lng":-118.1572671697085},"southwest":{"lat":33.8108268197085,"lng":-118.1599651302915}}},"icon":"https://maps.gstatic.com/mapfiles/place_api/icons/v1/png_71/school-71.png","id":null,"international_phone_number":"+1 562-490-0077","name":"Sky Creation, Inc.","place_id":"ChIJaRZXo-Yz3YARdCpfg-eqQvo","rating":4.7,"reference":null,"reviews":[{"author_name":"Luke Szk","author_url":"https://www.google.com/maps/contrib/103770280331661254472/reviews","language":"en","profile_photo_url":"https://lh3.googleusercontent.com/a-/AOh14Gh2emlaqLRGhw1sYYYU_vv4pXQwhovmfzQRUZVQsw=s128-c0x00000000-cc-rp-mo","rating":5,"relative_time_description":"4 weeks ago","text":"Great flight school to learn how to fly. They also do demo flight for those considering flight lessons.","time":1611110312},{"author_name":"西川龍菜","author_url":"https://www.google.com/maps/contrib/116426387613357549538/reviews","language":"en-US","profile_photo_url":"https://lh3.googleusercontent.com/a-/AOh14Gj0X16QilHCcj5UmCQIkPy-tTDGmmqa4IMkUDX6QVM=s128-c0x00000000-cc-rp-mo-ba5","rating":4,"relative_time_description":"a year ago","text":"# 20080605\n“Sky Creation, Inc. experienced a helicopter flight… it was fun! I'm looking at the aircraft taking off from above.","time":1567912239},{"author_name":"HIFNI ASSEGAF","author_url":"https://www.google.com/maps/contrib/110679189907975885702/reviews","language":null,"profile_photo_url":"https://lh3.googleusercontent.com/a-/AOh14GgU1w4fuekCkljq-xuK5Fg0LDndbTeJT18fxMzD9Q=s128-c0x00000000-cc-rp-mo","rating":5,"relative_time_description":"a year ago","text":"","time":1581045768}],"types":["university","point_of_interest","establishment"],"url":"https://maps.google.com/?cid=18033163769263106676","utc_offset":-480,"vicinity":"2801 East Spring Street Suite 150, Long Beach","website":"https://skycreation.net/en/"},"status":"OK"}</t>
  </si>
  <si>
    <t>&lt;span class="street-address"&gt;2801 E Spring St Suite 150&lt;/span&gt;, &lt;span class="locality"&gt;Long Beach&lt;/span&gt;, &lt;span class="region"&gt;CA&lt;/span&gt; &lt;span class="postal-code"&gt;90806&lt;/span&gt;, &lt;span class="country-name"&gt;USA&lt;/span&gt;</t>
  </si>
  <si>
    <t>(562) 490-0077</t>
  </si>
  <si>
    <t>+1 562-490-0077</t>
  </si>
  <si>
    <t>2801 East Spring Street Suite 150, Long Beach</t>
  </si>
  <si>
    <t>https://skycreation.net/en/</t>
  </si>
  <si>
    <t/>
  </si>
  <si>
    <t>https://maps.googleapis.com/maps/api/place/findplacefromtext/json?input=%2B15624258880&amp;inputtype=phonenumber&amp;fields=business_status,formatted_address,geometry,icon,name,permanently_closed,place_id,plus_code,types&amp;key=AIzaSyAUoR1hu32epmid_r-h7_AiXQWhNu3zr3U</t>
  </si>
  <si>
    <t>{"business_status":"OPERATIONAL","formatted_address":"1100 New Hwy, Farmingdale, NY 11735, USA","geometry":{"location":{"lat":40.7346728,"lng":-73.4128132},"viewport":{"northeast":{"lat":40.7360590302915,"lng":-73.4112151697085},"southwest":{"lat":40.7333610697085,"lng":-73.41391313029152}}},"icon":"https://maps.gstatic.com/mapfiles/place_api/icons/v1/png_71/generic_business-71.png","name":"JetFlite International","place_id":"ChIJ58Cx0B4r6IkR8QFvoYVhFnA","plus_code":{"compound_code":"PHMP+VV Farmingdale, NY, USA","global_code":"87G8PHMP+VV"},"types":["point_of_interest","establishment"]}</t>
  </si>
  <si>
    <t>JetFlite International</t>
  </si>
  <si>
    <t>ChIJ58Cx0B4r6IkR8QFvoYVhFnA</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</si>
  <si>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</si>
  <si>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USA","formatted_phone_number":"(562) 425-8880","geometry":{"location":{"lat":40.7346728,"lng":-73.4128132},"viewport":{"northeast":{"lat":40.7360590302915,"lng":-73.4112151697085},"southwest":{"lat":40.7333610697085,"lng":-73.41391313029152}}},"icon":"https://maps.gstatic.com/mapfiles/place_api/icons/v1/png_71/generic_business-71.png","id":null,"international_phone_number":"+1 562-425-8880","name":"JetFlite International","place_id":"ChIJ58Cx0B4r6IkR8QFvoYVhFnA","rating":null,"reference":null,"reviews":null,"types":["point_of_interest","establishment"],"url":"https://maps.google.com/?cid=8076750208302514673","utc_offset":-300,"vicinity":"1100 New Highway, Farmingdale","website":null},"status":"OK"}</t>
  </si>
  <si>
    <t>&lt;span class="street-address"&gt;1100 New Hwy&lt;/span&gt;, &lt;span class="locality"&gt;Farmingdale&lt;/span&gt;, &lt;span class="region"&gt;NY&lt;/span&gt; &lt;span class="postal-code"&gt;11735-1550&lt;/span&gt;, &lt;span class="country-name"&gt;USA&lt;/span&gt;</t>
  </si>
  <si>
    <t>(562) 425-8880</t>
  </si>
  <si>
    <t>+1 562-425-8880</t>
  </si>
  <si>
    <t>1100 New Highway, Farmingdale</t>
  </si>
  <si>
    <t>https://maps.googleapis.com/maps/api/place/findplacefromtext/json?input=%2B15624242684&amp;inputtype=phonenumber&amp;fields=business_status,formatted_address,geometry,icon,name,permanently_closed,place_id,plus_code,types&amp;key=AIzaSyAUoR1hu32epmid_r-h7_AiXQWhNu3zr3U</t>
  </si>
  <si>
    <t>travel_agency,university,point_of_interest,establishment</t>
  </si>
  <si>
    <t>{"business_status":"OPERATIONAL","formatted_address":"3200 Airflite Way, Long Beach, CA 90807, USA","geometry":{"location":{"lat":33.8156322,"lng":-118.1586366},"viewport":{"northeast":{"lat":33.8170984802915,"lng":-118.1574142697085},"southwest":{"lat":33.8144005197085,"lng":-118.1601122302915}}},"icon":"https://maps.gstatic.com/mapfiles/place_api/icons/v1/png_71/generic_business-71.png","name":"Anthelion Helicopters","place_id":"ChIJJexsNzMy3YAR8Ff9IFBpjIg","plus_code":{"compound_code":"RR8R+7G Long Beach, CA, USA","global_code":"8553RR8R+7G"},"types":["travel_agency","university","point_of_interest","establishment"]}</t>
  </si>
  <si>
    <t>ChIJJexsNzMy3YAR8Ff9IFBpjIg</t>
  </si>
  <si>
    <t>3200 Airflite Way, Long Beach, CA 90807, USA</t>
  </si>
  <si>
    <t>{"html_attributions":[],"result":{"address_components":[{"long_name":"3200","short_name":"3200","types":["street_number"]},{"long_name":"Airflite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class=\"street-address\"&gt;3200 Airflite Way&lt;/span&gt;, &lt;span class=\"locality\"&gt;Long Beach&lt;/span&gt;, &lt;span class=\"region\"&gt;CA&lt;/span&gt; &lt;span class=\"postal-code\"&gt;90807&lt;/span&gt;, &lt;span class=\"country-name\"&gt;USA&lt;/span&gt;","formatted_address":"3200 Airflite Way, Long Beach, CA 90807, USA","formatted_phone_number":"(800) 471-4354","geometry":{"location":{"lat":33.8156322,"lng":-118.1586366},"viewport":{"northeast":{"lat":33.8170984802915,"lng":-118.1574142697085},"southwest":{"lat":33.8144005197085,"lng":-118.1601122302915}}},"icon":"https://maps.gstatic.com/mapfiles/place_api/icons/v1/png_71/generic_business-71.png","id":null,"international_phone_number":"+1 800-471-4354","name":"Anthelion Helicopters","place_id":"ChIJJexsNzMy3YAR8Ff9IFBpjIg","rating":4.1,"reference":null,"reviews":[{"author_name":"Tony sesto","author_url":"https://www.google.com/maps/contrib/112289009317335095419/reviews","language":"en","profile_photo_url":"https://lh5.googleusercontent.com/-Cc2U89PoIbE/AAAAAAAAAAI/AAAAAAAAAAA/AMZuucltdN8WI7udB3K9_vKFrZxqzdmO5w/s128-c0x00000000-cc-rp-mo-ba3/photo.jpg","rating":5,"relative_time_description":"a week ago","text":"Working with them for a gender reveal.  Professional, polite, and extremely helpful.  Will be using them again just to go on a tour","time":1612830934},{"author_name":"Alex men","author_url":"https://www.google.com/maps/contrib/104994760283309784747/reviews","language":"en","profile_photo_url":"https://lh6.googleusercontent.com/-pjUhepXstvE/AAAAAAAAAAI/AAAAAAAAAAA/AMZuucnrIcRoxabbaLUmdm5-w5MDYobK6g/s128-c0x00000000-cc-rp-mo/photo.jpg","rating":5,"relative_time_description":"4 months ago","text":"Was a very memorable experience for me and my girlfriend. We were very nervous at first, but they were extremely friendly and had a great humor that made us relax and enjoy the flight. Also very knowledgeable about the area, you will learn a couple new things.","time":1601095609},{"author_name":"Julia Tredway","author_url":"https://www.google.com/maps/contrib/105442696224651306541/reviews","language":"en","profile_photo_url":"https://lh5.googleusercontent.com/-eXGYnqO6oIQ/AAAAAAAAAAI/AAAAAAAAAAA/AMZuuckYeUbPxfxZGwuThxkA-xxRLRnqpw/s128-c0x00000000-cc-rp-mo/photo.jpg","rating":5,"relative_time_description":"8 months ago","text":"What a great experience flying over LA!  Our pilot was super knowledgeable and knew all the interesting neighborhoods and buildings to point out.  Flying near Dodger Stadium was so cool. Just the perfect amount of time in the sky to see everything.","time":1591115033},{"author_name":"HERB CROWE","author_url":"https://www.google.com/maps/contrib/100127131706309243770/reviews","language":"en","profile_photo_url":"https://lh5.googleusercontent.com/-QylY1qDjnHk/AAAAAAAAAAI/AAAAAAAAAAA/AMZuucmIHTxC4xl5RB2yhoIf3BVjGg5Siw/s128-c0x00000000-cc-rp-mo/photo.jpg","rating":5,"relative_time_description":"5 months ago","text":"Our pilot was awesome!! He was very personable and knowledgeable. He made our trip even more interesting that just getting to ride in a helicopter. He was truly sincere and a very competent pilot. The staff was excellent too.","time":1600391784},{"author_name":"stacey B","author_url":"https://www.google.com/maps/contrib/109916353552667876503/reviews","language":"en","profile_photo_url":"https://lh3.googleusercontent.com/a-/AOh14GhYLBrkl3xSrlaCX-BBTfy2pMcjsLF_qbczPBw_=s128-c0x00000000-cc-rp-mo","rating":5,"relative_time_description":"4 months ago","text":"We had an awesome time. Although we only flew over Long Beach it was still nice.","time":1601310136}],"types":["travel_agency","university","point_of_interest","establishment"],"url":"https://maps.google.com/?cid=9839355078769465328","utc_offset":-480,"vicinity":"3200 Airflite Way, Long Beach","website":"http://www.anthelionhelicopters.com/"},"status":"OK"}</t>
  </si>
  <si>
    <t>&lt;span class="street-address"&gt;3200 Airflite Way&lt;/span&gt;, &lt;span class="locality"&gt;Long Beach&lt;/span&gt;, &lt;span class="region"&gt;CA&lt;/span&gt; &lt;span class="postal-code"&gt;90807&lt;/span&gt;, &lt;span class="country-name"&gt;USA&lt;/span&gt;</t>
  </si>
  <si>
    <t>(800) 471-4354</t>
  </si>
  <si>
    <t>+1 800-471-4354</t>
  </si>
  <si>
    <t>3200 Airflite Way, Long Beach</t>
  </si>
  <si>
    <t>http://www.anthelionhelicopters.com/</t>
  </si>
  <si>
    <t>https://maps.googleapis.com/maps/api/place/findplacefromtext/json?input=%2B13105102525&amp;inputtype=phonenumber&amp;fields=business_status,formatted_address,geometry,icon,name,permanently_closed,place_id,plus_code,types&amp;key=AIzaSyAUoR1hu32epmid_r-h7_AiXQWhNu3zr3U</t>
  </si>
  <si>
    <t>airport,travel_agency,point_of_interest,establishment</t>
  </si>
  <si>
    <t>{"business_status":"OPERATIONAL","formatted_address":"56 Pebbly Beach Rd, Avalon, CA 90704, USA","geometry":{"location":{"lat":33.33650420000001,"lng":-118.3120466},"viewport":{"northeast":{"lat":33.3377993302915,"lng":-118.3108780697085},"southwest":{"lat":33.33510136970851,"lng":-118.3135760302915}}},"icon":"https://maps.gstatic.com/mapfiles/place_api/icons/v1/png_71/generic_business-71.png","name":"IEX Helicopters - Catalina Island","place_id":"ChIJ698lpZhy3YARPSDH12zSdRQ","plus_code":{"compound_code":"8MPQ+J5 Avalon, CA, USA","global_code":"85538MPQ+J5"},"types":["airport","travel_agency","point_of_interest","establishment"]}</t>
  </si>
  <si>
    <t>IEX Helicopters - Catalina Island</t>
  </si>
  <si>
    <t>ChIJ698lpZhy3YARPSDH12zSdRQ</t>
  </si>
  <si>
    <t>56 Pebbly Beach Rd, Avalon, CA 90704, USA</t>
  </si>
  <si>
    <t>{"html_attributions":[],"result":{"address_components":[{"long_name":"56","short_name":"56","types":["street_number"]},{"long_name":"Pebbly Beach Road","short_name":"Pebbly Beach Rd","types":["route"]},{"long_name":"Avalon","short_name":"Avalon","types":["locality","political"]},{"long_name":"Los Angeles County","short_name":"Los Angeles County","types":["administrative_area_level_2","political"]},{"long_name":"California","short_name":"CA","types":["administrative_area_level_1","political"]},{"long_name":"United States","short_name":"US","types":["country","political"]},{"long_name":"90704","short_name":"90704","types":["postal_code"]}],"adr_address":"&lt;span class=\"street-address\"&gt;56 Pebbly Beach Rd&lt;/span&gt;, &lt;span class=\"locality\"&gt;Avalon&lt;/span&gt;, &lt;span class=\"region\"&gt;CA&lt;/span&gt; &lt;span class=\"postal-code\"&gt;90704&lt;/span&gt;, &lt;span class=\"country-name\"&gt;USA&lt;/span&gt;","formatted_address":"56 Pebbly Beach Rd, Avalon, CA 90704, USA","formatted_phone_number":"(800) 228-2566","geometry":{"location":{"lat":33.33650420000001,"lng":-118.3120466},"viewport":{"northeast":{"lat":33.3377993302915,"lng":-118.3108780697085},"southwest":{"lat":33.33510136970851,"lng":-118.3135760302915}}},"icon":"https://maps.gstatic.com/mapfiles/place_api/icons/v1/png_71/generic_business-71.png","id":null,"international_phone_number":"+1 800-228-2566","name":"IEX Helicopters - Catalina Island","place_id":"ChIJ698lpZhy3YARPSDH12zSdRQ","rating":4.7,"reference":null,"reviews":[{"author_name":"daniel pablos","author_url":"https://www.google.com/maps/contrib/107597117679578051589/reviews","language":"en","profile_photo_url":"https://lh5.googleusercontent.com/-KYDvXGzXN3g/AAAAAAAAAAI/AAAAAAAAAAA/AMZuucnDy7arXOTaafPen3OyC-8qKT21QQ/s128-c0x00000000-cc-rp-mo-ba2/photo.jpg","rating":5,"relative_time_description":"3 months ago","text":"The BEST way to see the island, for sure! The pilot/tour guide was cool calm informative and friendly.","time":1604351274},{"author_name":"Richard Mataya","author_url":"https://www.google.com/maps/contrib/110819047970642556649/reviews","language":"en","profile_photo_url":"https://lh3.googleusercontent.com/a-/AOh14Gif3qJAGcPuiwiQfxXgfAieYauMbqwFsXfUp-zWOg=s128-c0x00000000-cc-rp-mo","rating":5,"relative_time_description":"7 months ago","text":"Perfect way to get to Catalina. Super smooth, very friendly and so much easier than the ferry. So glad we splurged a little - but worth every penny. Thanks #iexhelicopters!","time":1594676334},{"author_name":"Sandor Dobi","author_url":"https://www.google.com/maps/contrib/108717241975771860538/reviews","language":"en","profile_photo_url":"https://lh3.googleusercontent.com/a-/AOh14GhhCAWIdOTLWuyQsdaJ65Dw821V_1cCt6XrZHvINg=s128-c0x00000000-cc-rp-mo","rating":5,"relative_time_description":"8 months ago","text":"Crew and staff are polite and professional! It takes just under 15 mins to cross the channel!","time":1591796012},{"author_name":"Mike Webb","author_url":"https://www.google.com/maps/contrib/109444615842786690622/reviews","language":"en","profile_photo_url":"https://lh3.googleusercontent.com/a-/AOh14Gg5TN7UwNcC2pRXlgCcVHV0aAHD22iJseQHUIkJ=s128-c0x00000000-cc-rp-mo-ba3","rating":5,"relative_time_description":"a year ago","text":"We had a great experience and our helicopter pilot was very professional and skilled. Perfect flights to and from Catalina. I've never taken the ferry but I don't think I ever will!","time":1578855705},{"author_name":"Lisa Caron","author_url":"https://www.google.com/maps/contrib/115986223241021481624/reviews","language":"en","profile_photo_url":"https://lh5.googleusercontent.com/-4oJ4A9d-y-Y/AAAAAAAAAAI/AAAAAAAAAAA/AMZuuckT_bjAoujVcK97mKistb4P7kVePg/s128-c0x00000000-cc-rp-mo/photo.jpg","rating":5,"relative_time_description":"3 months ago","text":"I was great, loved it. Thanks","time":1604931812}],"types":["airport","travel_agency","point_of_interest","establishment"],"url":"https://maps.google.com/?cid=1474315817952157757","utc_offset":-480,"vicinity":"56 Pebbly Beach Road, Avalon","website":"http://iexhelicopters.com/"},"status":"OK"}</t>
  </si>
  <si>
    <t>&lt;span class="street-address"&gt;56 Pebbly Beach Rd&lt;/span&gt;, &lt;span class="locality"&gt;Avalon&lt;/span&gt;, &lt;span class="region"&gt;CA&lt;/span&gt; &lt;span class="postal-code"&gt;90704&lt;/span&gt;, &lt;span class="country-name"&gt;USA&lt;/span&gt;</t>
  </si>
  <si>
    <t>(800) 228-2566</t>
  </si>
  <si>
    <t>+1 800-228-2566</t>
  </si>
  <si>
    <t>56 Pebbly Beach Road, Avalon</t>
  </si>
  <si>
    <t>http://iexhelicopters.com/</t>
  </si>
  <si>
    <t>https://maps.googleapis.com/maps/api/place/findplacefromtext/json?input=Rainbow%20Air%20Charter%2C%20Inc.%202601%20East%20Spring%20Street%20%20Long%20Beach%20CA%2090806&amp;key=AIzaSyAUoR1hu32epmid_r-h7_AiXQWhNu3zr3U&amp;inputtype=textquery&amp;fields=business_status,formatted_address,geometry,icon,name,permanently_closed,place_id,plus_code,types</t>
  </si>
  <si>
    <t>{"business_status":"CLOSED_PERMANENTLY","formatted_address":"2601 E Spring St, Long Beach, CA 90806, United States","geometry":{"location":{"lat":33.8124088,"lng":-118.1614875},"viewport":{"northeast":{"lat":33.81366192989272,"lng":-118.1601592701073},"southwest":{"lat":33.81096227010728,"lng":-118.1628589298927}}},"icon":"https://maps.gstatic.com/mapfiles/place_api/icons/v1/png_71/school-71.png","name":"Rainbow Air","place_id":"ChIJKXQDZM0z3YAR7NEEVi4Tr-I","plus_code":{"compound_code":"RR6Q+XC Long Beach, California","global_code":"8553RR6Q+XC"},"types":["university","point_of_interest","establishment"]}</t>
  </si>
  <si>
    <t>Rainbow Air</t>
  </si>
  <si>
    <t>CLOSED_PERMANENTLY</t>
  </si>
  <si>
    <t>ChIJKXQDZM0z3YAR7NEEVi4Tr-I</t>
  </si>
  <si>
    <t>2601 E Spring St, Long Beach, CA 90806, United States</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</si>
  <si>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-0119","geometry":{"location":{"lat":33.8124088,"lng":-118.1614875},"viewport":{"northeast":{"lat":33.8136610802915,"lng":-118.1601601197085},"southwest":{"lat":33.8109631197085,"lng":-118.1628580802915}}},"icon":"https://maps.gstatic.com/mapfiles/place_api/icons/v1/png_71/school-71.png","id":null,"international_phone_number":"+1 562-424-0119","name":"Rainbow Air","place_id":"ChIJKXQDZM0z3YAR7NEEVi4Tr-I","rating":null,"reference":null,"reviews":null,"types":["university","point_of_interest","establishment"],"url":"https://maps.google.com/?cid=16334295463228658156","utc_offset":-480,"vicinity":"2601 East Spring Street, Long Beach","website":null},"status":"OK"}</t>
  </si>
  <si>
    <t>&lt;span class="street-address"&gt;2601 E Spring St&lt;/span&gt;, &lt;span class="locality"&gt;Long Beach&lt;/span&gt;, &lt;span class="region"&gt;CA&lt;/span&gt; &lt;span class="postal-code"&gt;90806-2218&lt;/span&gt;, &lt;span class="country-name"&gt;USA&lt;/span&gt;</t>
  </si>
  <si>
    <t>(562) 424-0119</t>
  </si>
  <si>
    <t>+1 562-424-0119</t>
  </si>
  <si>
    <t>2601 East Spring Street, Long Beach</t>
  </si>
  <si>
    <t>https://maps.googleapis.com/maps/api/place/findplacefromtext/json?input=%2B15629812659&amp;inputtype=phonenumber&amp;fields=business_status,formatted_address,geometry,icon,name,permanently_closed,place_id,plus_code,types&amp;key=AIzaSyAUoR1hu32epmid_r-h7_AiXQWhNu3zr3U</t>
  </si>
  <si>
    <t>{"business_status":"OPERATIONAL","formatted_address":"3333 E Spring St, Long Beach, CA 90806, USA","geometry":{"location":{"lat":33.8118681,"lng":-118.1527323},"viewport":{"northeast":{"lat":33.8130926802915,"lng":-118.1514091697085},"southwest":{"lat":33.8103947197085,"lng":-118.1541071302915}}},"icon":"https://maps.gstatic.com/mapfiles/place_api/icons/v1/png_71/generic_business-71.png","name":"Aeroplex / Aerolease Group","place_id":"ChIJkdJmgC4y3YARjOhPs4fcNBw","plus_code":{"compound_code":"RR6W+PW Long Beach, CA, USA","global_code":"8553RR6W+PW"},"types":["point_of_interest","establishment"]}</t>
  </si>
  <si>
    <t>Aeroplex / Aerolease Group</t>
  </si>
  <si>
    <t>ChIJkdJmgC4y3YARjOhPs4fcNBw</t>
  </si>
  <si>
    <t>3333 E Spring St, Long Beach, CA 90806,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</si>
  <si>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33.8130926802915,"lng":-118.1514091697085},"southwest":{"lat":33.8103947197085,"lng":-118.1541071302915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Skaar","author_url":"https://www.google.com/maps/contrib/103423341963203581819/reviews","language":"en","profile_photo_url":"https://lh3.googleusercontent.com/a-/AOh14Gh4mHzpZwnSA9gFyH5vuYp82JMjrJV6C81sjym7=s128-c0x00000000-cc-rp-mo-ba4","rating":5,"relative_time_description":"2 years ago","text":"Well done.","time":1525748926},{"author_name":"Google GMail","author_url":"https://www.google.com/maps/contrib/107736262589444538254/reviews","language":null,"profile_photo_url":"https://lh5.googleusercontent.com/--m2ZjnvYEyc/AAAAAAAAAAI/AAAAAAAAAAA/AMZuucmyOSiJuT-nYgFZzGCRdRFFmN9Z4Q/s128-c0x00000000-cc-rp-mo/photo.jpg","rating":3,"relative_time_description":"a year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11 months ago","text":"","time":1583734496}],"types":["point_of_interest","establishment"],"url":"https://maps.google.com/?cid=2032491807237990540","utc_offset":-480,"vicinity":"3333 East Spring Street, Long Beach","website":"http://www.aeroplex.net/"},"status":"OK"}</t>
  </si>
  <si>
    <t>&lt;span class="street-address"&gt;3333 E Spring St&lt;/span&gt;, &lt;span class="locality"&gt;Long Beach&lt;/span&gt;, &lt;span class="region"&gt;CA&lt;/span&gt; &lt;span class="postal-code"&gt;90806-2448&lt;/span&gt;, &lt;span class="country-name"&gt;USA&lt;/span&gt;</t>
  </si>
  <si>
    <t>+1 562-981-2659</t>
  </si>
  <si>
    <t>3333 East Spring Street, Long Beach</t>
  </si>
  <si>
    <t>http://www.aeroplex.net/</t>
  </si>
  <si>
    <t>https://maps.googleapis.com/maps/api/place/findplacefromtext/json?input=ZEPHYR%20SERVICES%20LLC%202735%20E%20Spring%20Street%20%20Long%20Beach%20CA%2090806&amp;key=AIzaSyAUoR1hu32epmid_r-h7_AiXQWhNu3zr3U&amp;inputtype=textquery&amp;fields=business_status,formatted_address,geometry,icon,name,permanently_closed,place_id,plus_code,types</t>
  </si>
  <si>
    <t>{"business_status":"OPERATIONAL","formatted_address":"2735 E Spring St, Long Beach, CA 90806, United States","geometry":{"location":{"lat":33.8122146,"lng":-118.1598357},"viewport":{"northeast":{"lat":33.81343707989272,"lng":-118.1584862701073},"southwest":{"lat":33.81073742010728,"lng":-118.1611859298928}}},"icon":"https://maps.gstatic.com/mapfiles/place_api/icons/v1/png_71/airport-71.png","name":"Zephyr Services","place_id":"ChIJYaWGWs0z3YARMMlWChIiPds","plus_code":{"compound_code":"RR6R+V3 Long Beach, California","global_code":"8553RR6R+V3"},"types":["airport","point_of_interest","establishment"]}</t>
  </si>
  <si>
    <t>Zephyr Services</t>
  </si>
  <si>
    <t>ChIJYaWGWs0z3YARMMlWChIiPds</t>
  </si>
  <si>
    <t>2735 E Spring St, Long Beach, CA 90806, United States</t>
  </si>
  <si>
    <t>{"html_attributions":[],"result":{"address_components":[{"long_name":"2735","short_name":"2735","types":["street_number"]},{"long_name":"East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States","short_name":"US","types":["country","political"]},{"long_name":"90806","short_name":"90806","types":["postal_code"]},{"long_name":"2220","short_name":"2220","types":["postal_code_suffix"]}],"adr_address":"&lt;span class=\"street-address\"&gt;2735 E Spring St&lt;/span&gt;, &lt;span class=\"locality\"&gt;Long Beach&lt;/span&gt;, &lt;span class=\"region\"&gt;CA&lt;/span&gt; &lt;span class=\"postal-code\"&gt;90806-2220&lt;/span&gt;, &lt;span class=\"country-name\"&gt;USA&lt;/span&gt;","formatted_address":"2735 E Spring St, Long Beach, CA 90806, USA","formatted_phone_number":null,"geometry":{"location":{"lat":33.8122146,"lng":-118.1598357},"viewport":{"northeast":{"lat":33.81343623029149,"lng":-118.1584871197085},"southwest":{"lat":33.81073826970849,"lng":-118.1611850802915}}},"icon":"https://maps.gstatic.com/mapfiles/place_api/icons/v1/png_71/airport-71.png","id":null,"international_phone_number":null,"name":"Zephyr Services","place_id":"ChIJYaWGWs0z3YARMMlWChIiPds","rating":null,"reference":null,"reviews":null,"types":["airport","point_of_interest","establishment"],"url":"https://maps.google.com/?cid=15797820528763783472","utc_offset":-480,"vicinity":"2735 East Spring Street, Long Beach","website":null},"status":"OK"}</t>
  </si>
  <si>
    <t>&lt;span class="street-address"&gt;2735 E Spring St&lt;/span&gt;, &lt;span class="locality"&gt;Long Beach&lt;/span&gt;, &lt;span class="region"&gt;CA&lt;/span&gt; &lt;span class="postal-code"&gt;90806-2220&lt;/span&gt;, &lt;span class="country-name"&gt;USA&lt;/span&gt;</t>
  </si>
  <si>
    <t>https://maps.gstatic.com/mapfiles/place_api/icons/v1/png_71/airport-71.png</t>
  </si>
  <si>
    <t>2735 East Spring Street, Long Beach</t>
  </si>
  <si>
    <t>https://maps.googleapis.com/maps/api/place/findplacefromtext/json?input=WEST%20COAST%20AIRCRAFT%20MAINTENANCE%20LLC%202881%20E.%20SPRING%20STREET%20%20LONG%20BEACH%20CA%2090806&amp;key=AIzaSyAUoR1hu32epmid_r-h7_AiXQWhNu3zr3U&amp;inputtype=textquery&amp;fields=business_status,formatted_address,geometry,icon,name,permanently_closed,place_id,plus_code,types</t>
  </si>
  <si>
    <t>{"business_status":"OPERATIONAL","formatted_address":"2881 E Spring St, Long Beach, CA 90806, United States","geometry":{"location":{"lat":33.8115409,"lng":-118.1576434},"viewport":{"northeast":{"lat":33.81289627989272,"lng":-118.1562907701073},"southwest":{"lat":33.81019662010728,"lng":-118.1589904298927}}},"icon":"https://maps.gstatic.com/mapfiles/place_api/icons/v1/png_71/generic_business-71.png","name":"West Coast Aircraft Maintenance","place_id":"ChIJ44hFQi0y3YARSUXzB5bZEKI","plus_code":{"compound_code":"RR6R+JW Long Beach, California","global_code":"8553RR6R+JW"},"types":["point_of_interest","establishment"]}</t>
  </si>
  <si>
    <t>West Coast Aircraft Maintenance</t>
  </si>
  <si>
    <t>ChIJ44hFQi0y3YARSUXzB5bZEKI</t>
  </si>
  <si>
    <t>2881 E Spring St, Long Beach, CA 90806, United States</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</si>
  <si>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33.8115409,"lng":-118.1576434},"viewport":{"northeast":{"lat":33.8128954302915,"lng":-118.1562916197085},"southwest":{"lat":33.8101974697085,"lng":-118.1589895802915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Cuneo","author_url":"https://www.google.com/maps/contrib/114941021324578138671/reviews","language":null,"profile_photo_url":"https://lh3.googleusercontent.com/a-/AOh14GiroNHybXpRK5v_gY80fGRo7gK6w9u9k0HPJeb0HQ=s128-c0x00000000-cc-rp-mo","rating":4,"relative_time_description":"a year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ago","text":"","time":1544301890}],"types":["point_of_interest","establishment"],"url":"https://maps.google.com/?cid=11678073072173401417","utc_offset":-480,"vicinity":"2881 East Spring Street, Long Beach","website":"http://www.wcas.aero/charter/"},"status":"OK"}</t>
  </si>
  <si>
    <t>&lt;span class="street-address"&gt;2881 E Spring St&lt;/span&gt;, &lt;span class="locality"&gt;Long Beach&lt;/span&gt;, &lt;span class="region"&gt;CA&lt;/span&gt; &lt;span class="postal-code"&gt;90806-2417&lt;/span&gt;, &lt;span class="country-name"&gt;USA&lt;/span&gt;</t>
  </si>
  <si>
    <t>(562) 981-6064</t>
  </si>
  <si>
    <t>+1 562-981-6064</t>
  </si>
  <si>
    <t>2881 East Spring Street, Long Beach</t>
  </si>
  <si>
    <t>http://www.wcas.aero/charter/</t>
  </si>
  <si>
    <t>https://maps.googleapis.com/maps/api/place/findplacefromtext/json?input=OCR%20AVIATION%202721%20East%20Spring%20Street%20%20LONG%20BEACH%20CA%2090806&amp;key=AIzaSyAUoR1hu32epmid_r-h7_AiXQWhNu3zr3U&amp;inputtype=textquery&amp;fields=business_status,formatted_address,geometry,icon,name,permanently_closed,place_id,plus_code,types</t>
  </si>
  <si>
    <t>{"business_status":"OPERATIONAL","formatted_address":"2721 E Spring St, Long Beach, CA 90806, United States","geometry":{"location":{"lat":33.8122515,"lng":-118.1601986},"viewport":{"northeast":{"lat":33.81345592989272,"lng":-118.1588492201073},"southwest":{"lat":33.81075627010727,"lng":-118.1615488798927}}},"icon":"https://maps.gstatic.com/mapfiles/place_api/icons/v1/png_71/generic_business-71.png","name":"OCR Aviation","place_id":"ChIJpUlYWM0z3YARJiEl71TEecA","plus_code":{"compound_code":"RR6Q+WW Long Beach, California","global_code":"8553RR6Q+WW"},"types":["point_of_interest","store","establishment"]}</t>
  </si>
  <si>
    <t>OCR Aviation</t>
  </si>
  <si>
    <t>ChIJpUlYWM0z3YARJiEl71TEecA</t>
  </si>
  <si>
    <t>2721 E Spring St, Long Beach, CA 90806, United States</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</si>
  <si>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Aviation","place_id":"ChIJpUlYWM0z3YARJiEl71TEecA","rating":4.5,"reference":null,"reviews":[{"author_name":"MicGuire Monson","author_url":"https://www.google.com/maps/contrib/117803998496063425679/reviews","language":"en","profile_photo_url":"https://lh3.googleusercontent.com/a-/AOh14Gglj0TsfmD2QmXvh4mxOa4LxS-zVmig7dVs79dZ=s128-c0x00000000-cc-rp-mo","rating":5,"relative_time_description":"7 months ago","text":"Such a great spot. Could not be happier. The owner made me feel right at home.","time":1593712868},{"author_name":"Alota Dixenuras","author_url":"https://www.google.com/maps/contrib/101773535086280364476/reviews","language":"en","profile_photo_url":"https://lh3.googleusercontent.com/-VEhjlI1wT7Q/AAAAAAAAAAI/AAAAAAAAAAA/AMZuucmkYTrGSw1brCVhZ1JGJm_4uxoeKQ/s128-c0x00000000-cc-rp-mo/photo.jpg","rating":5,"relative_time_description":"7 months ago","text":"The owner was unbelievable. Took his time to explain everything to me. All workers there work their tails off and did such a great job on my plane.","time":1593668846},{"author_name":"Tyler Roah","author_url":"https://www.google.com/maps/contrib/102845872687451318062/reviews","language":"en","profile_photo_url":"https://lh3.googleusercontent.com/a-/AOh14GhiqbDHJL4RJ9-UdU5-OgmVqMUUv7Aw-PFD-wIcNg=s128-c0x00000000-cc-rp-mo","rating":5,"relative_time_description":"7 months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Zavarella","author_url":"https://www.google.com/maps/contrib/111233651217041306955/reviews","language":"en","profile_photo_url":"https://lh3.googleusercontent.com/a-/AOh14GihIuBoA1PZ21a2Hwl5cFV5AZ_DceumtPo-4ioS=s128-c0x00000000-cc-rp-mo","rating":5,"relative_time_description":"7 months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7 months ago","text":"Service could not have been better","time":1593665457}],"types":["point_of_interest","store","establishment"],"url":"https://maps.google.com/?cid=13869332396532637990","utc_offset":-480,"vicinity":"2721 East Spring Street, Long Beach","website":"http://www.ocraviation.com/"},"status":"OK"}</t>
  </si>
  <si>
    <t>&lt;span class="street-address"&gt;2721 E Spring St&lt;/span&gt;, &lt;span class="locality"&gt;Long Beach&lt;/span&gt;, &lt;span class="region"&gt;CA&lt;/span&gt; &lt;span class="postal-code"&gt;90806&lt;/span&gt;, &lt;span class="country-name"&gt;USA&lt;/span&gt;</t>
  </si>
  <si>
    <t>(562) 426-5331</t>
  </si>
  <si>
    <t>+1 562-426-5331</t>
  </si>
  <si>
    <t>2721 East Spring Street, Long Beach</t>
  </si>
  <si>
    <t>http://www.ocraviation.com/</t>
  </si>
  <si>
    <t>https://maps.googleapis.com/maps/api/place/findplacefromtext/json?input=SOCAL%20JET%20SERVICES%20INC%203355%20EAST%20SPRING%20STREET%2C%20SUITE%20100%20%20LONG%20BEACH%20CA%2090806&amp;key=AIzaSyAUoR1hu32epmid_r-h7_AiXQWhNu3zr3U&amp;inputtype=textquery&amp;fields=business_status,formatted_address,geometry,icon,name,permanently_closed,place_id,plus_code,types</t>
  </si>
  <si>
    <t>{"business_status":"OPERATIONAL","formatted_address":"3355 E Spring St Suite 100, Long Beach, CA 90806, United States","geometry":{"location":{"lat":33.8116712,"lng":-118.152872},"viewport":{"northeast":{"lat":33.81299727989272,"lng":-118.1515193701073},"southwest":{"lat":33.81029762010728,"lng":-118.1542190298928}}},"icon":"https://maps.gstatic.com/mapfiles/place_api/icons/v1/png_71/generic_business-71.png","name":"SoCal Jet Services","place_id":"ChIJ9dJmgC4y3YART3vPhrEpAo0","plus_code":{"compound_code":"RR6W+MV Long Beach, California","global_code":"8553RR6W+MV"},"types":["point_of_interest","establishment"]}</t>
  </si>
  <si>
    <t>SoCal Jet Services</t>
  </si>
  <si>
    <t>ChIJ9dJmgC4y3YART3vPhrEpAo0</t>
  </si>
  <si>
    <t>3355 E Spring St Suite 100, Long Beach, CA 90806, United States</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</si>
  <si>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teve22er","author_url":"https://www.google.com/maps/contrib/117675632333104817041/reviews","language":null,"profile_photo_url":"https://lh5.googleusercontent.com/-KT5nIHyawME/AAAAAAAAAAI/AAAAAAAAAAA/AMZuucn0r3oMy32MuoWdHdcuNv101YA0SQ/s128-c0x00000000-cc-rp-mo/photo.jpg","rating":5,"relative_time_description":"a year ago","text":"","time":1562815263},{"author_name":"Jayson Albee","author_url":"https://www.google.com/maps/contrib/114028030501962044631/reviews","language":null,"profile_photo_url":"https://lh3.googleusercontent.com/a-/AOh14GhMCy8QZ-3TgirYGMF7pQ9kZ3lQOds1f_rexHPcZw=s128-c0x00000000-cc-rp-mo","rating":5,"relative_time_description":"2 years ago","text":"","time":1538056951},{"author_name":"Jaime Ortiz","author_url":"https://www.google.com/maps/contrib/107391467696911497457/reviews","language":null,"profile_photo_url":"https://lh3.googleusercontent.com/a-/AOh14GhSF9BBf201RP4Gpn8o0RjZr7aIn9BFQwZXcknDFRA=s128-c0x00000000-cc-rp-mo","rating":5,"relative_time_description":"3 years ago","text":"","time":1498847115}],"types":["point_of_interest","establishment"],"url":"https://maps.google.com/?cid=10160729551748954959","utc_offset":-480,"vicinity":"3355 East Spring Street Suite 100, Long Beach","website":"https://www.socaljetservices.com/"},"status":"OK"}</t>
  </si>
  <si>
    <t>&lt;span class="street-address"&gt;3355 E Spring St Suite 100&lt;/span&gt;, &lt;span class="locality"&gt;Long Beach&lt;/span&gt;, &lt;span class="region"&gt;CA&lt;/span&gt; &lt;span class="postal-code"&gt;90806&lt;/span&gt;, &lt;span class="country-name"&gt;USA&lt;/span&gt;</t>
  </si>
  <si>
    <t>(800) 372-1698</t>
  </si>
  <si>
    <t>+1 800-372-1698</t>
  </si>
  <si>
    <t>3355 East Spring Street Suite 100, Long Beach</t>
  </si>
  <si>
    <t>https://www.socaljetservices.com/</t>
  </si>
  <si>
    <t>https://maps.googleapis.com/maps/api/place/findplacefromtext/json?input=ATLAS%20INSTRUMENTS%20LLC%202601%20East%20Spring%20Street%20%20Long%20Beach%20CA%2090806&amp;key=AIzaSyAUoR1hu32epmid_r-h7_AiXQWhNu3zr3U&amp;inputtype=textquery&amp;fields=business_status,formatted_address,geometry,icon,name,permanently_closed,place_id,plus_code,types</t>
  </si>
  <si>
    <t>{"business_status":"OPERATIONAL","formatted_address":"2601 E Spring St, Long Beach, CA 90806, United States","geometry":{"location":{"lat":33.8124023,"lng":-118.1615126},"viewport":{"northeast":{"lat":33.81366042989272,"lng":-118.1601832201072},"southwest":{"lat":33.81096077010728,"lng":-118.1628828798927}}},"icon":"https://maps.gstatic.com/mapfiles/place_api/icons/v1/png_71/generic_business-71.png","name":"ATLAS INSTRUMENTS LLC","place_id":"ChIJQ55Ykv1K3YARz9z8Hz4iVq8","plus_code":{"compound_code":"RR6Q+X9 Long Beach, California","global_code":"8553RR6Q+X9"},"types":["point_of_interest","establishment"]}</t>
  </si>
  <si>
    <t>ChIJQ55Ykv1K3YARz9z8Hz4iVq8</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</si>
  <si>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322-4841","geometry":{"location":{"lat":33.8124023,"lng":-118.1615126},"viewport":{"northeast":{"lat":33.8136595802915,"lng":-118.1601840697085},"southwest":{"lat":33.8109616197085,"lng":-118.1628820302915}}},"icon":"https://maps.gstatic.com/mapfiles/place_api/icons/v1/png_71/generic_business-71.png","id":null,"international_phone_number":"+1 562-322-4841","name":"ATLAS INSTRUMENTS LLC","place_id":"ChIJQ55Ykv1K3YARz9z8Hz4iVq8","rating":null,"reference":null,"reviews":null,"types":["point_of_interest","establishment"],"url":"https://maps.google.com/?cid=12634323454854487247","utc_offset":-480,"vicinity":"2601 East Spring Street, Long Beach","website":"http://www.atlasinstruments.net/"},"status":"OK"}</t>
  </si>
  <si>
    <t>(562) 322-4841</t>
  </si>
  <si>
    <t>+1 562-322-4841</t>
  </si>
  <si>
    <t>http://www.atlasinstruments.net/</t>
  </si>
  <si>
    <t>https://maps.googleapis.com/maps/api/place/findplacefromtext/json?input=GULFSTREAM%20AEROSPACE%20CORPORATION%204150%20DONALD%20DOUGLAS%20DRIVE%20%20LONG%20BEACH%20CA%2090808&amp;key=AIzaSyAUoR1hu32epmid_r-h7_AiXQWhNu3zr3U&amp;inputtype=textquery&amp;fields=business_status,formatted_address,geometry,icon,name,permanently_closed,place_id,plus_code,types</t>
  </si>
  <si>
    <t>{"business_status":"OPERATIONAL","formatted_address":"4150 Donald Douglas Dr, Long Beach, CA 90808, United States","geometry":{"location":{"lat":33.8161219,"lng":-118.1445548},"viewport":{"northeast":{"lat":33.81782552989272,"lng":-118.1432025201073},"southwest":{"lat":33.81512587010727,"lng":-118.1459021798927}}},"icon":"https://maps.gstatic.com/mapfiles/place_api/icons/v1/png_71/generic_business-71.png","name":"Gulfstream Aerospace Corporation: Long Beach","place_id":"ChIJBxn6Xjsy3YARK9cS3nQH2X4","plus_code":{"compound_code":"RV84+C5 Long Beach, California","global_code":"8553RV84+C5"},"types":["point_of_interest","establishment"]}</t>
  </si>
  <si>
    <t>Gulfstream Aerospace Corporation: Long Beach</t>
  </si>
  <si>
    <t>ChIJBxn6Xjsy3YARK9cS3nQH2X4</t>
  </si>
  <si>
    <t>4150 Donald Douglas Dr, Long Beach, CA 90808, United States</t>
  </si>
  <si>
    <t>{"html_attributions":[],"result":{"address_components":[{"long_name":"4150","short_name":"4150","types":["street_number"]},{"long_name":"Donald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States","short_name":"US","types":["country","political"]},{"long_name":"90808","short_name":"90808","types":["postal_code"]},{"long_name":"1725","short_name":"1725","types":["postal_code_suffix"]}],"adr_address":"&lt;span class=\"street-address\"&gt;4150 Donald Douglas Dr&lt;/span&gt;, &lt;span class=\"locality\"&gt;Long Beach&lt;/span&gt;, &lt;span class=\"region\"&gt;CA&lt;/span&gt; &lt;span class=\"postal-code\"&gt;90808-1725&lt;/span&gt;, &lt;span class=\"country-name\"&gt;USA&lt;/span&gt;","formatted_address":"4150 Donald Douglas Dr, Long Beach, CA 90808, USA","formatted_phone_number":"(800) 810-4853","geometry":{"location":{"lat":33.8161219,"lng":-118.1445548},"viewport":{"northeast":{"lat":33.8178246802915,"lng":-118.1432033697085},"southwest":{"lat":33.8151267197085,"lng":-118.1459013302915}}},"icon":"https://maps.gstatic.com/mapfiles/place_api/icons/v1/png_71/generic_business-71.png","id":null,"international_phone_number":"+1 800-810-4853","name":"Gulfstream Aerospace Corporation: Long Beach","place_id":"ChIJBxn6Xjsy3YARK9cS3nQH2X4","rating":4.5,"reference":null,"reviews":[{"author_name":"Jason Armstrong","author_url":"https://www.google.com/maps/contrib/106734062394252022212/reviews","language":"en","profile_photo_url":"https://lh3.googleusercontent.com/a-/AOh14GhjNKdWj-JbliWqegOlj2w_VmcV3WMTZMtcA4Dwow=s128-c0x00000000-cc-rp-mo-ba3","rating":5,"relative_time_description":"a month ago","text":"Are you kidding me? It's Gulfstream.","time":1610746111},{"author_name":"Wilberto Lopez","author_url":"https://www.google.com/maps/contrib/101061323508431755272/reviews","language":"en","profile_photo_url":"https://lh3.googleusercontent.com/a-/AOh14GgHQL0DrmKooKssLaitqK6_YELiDAZ_KWaXWlKrKh4=s128-c0x00000000-cc-rp-mo-ba4","rating":5,"relative_time_description":"6 months ago","text":"That was  nice place and people are so great","time":1596140335},{"author_name":"san diego tennis","author_url":"https://www.google.com/maps/contrib/110352709925655915830/reviews","language":"en","profile_photo_url":"https://lh3.googleusercontent.com/a-/AOh14GgazYhetiRWeGf3yVepg1OYaTbES8Bbyw-OH2TH=s128-c0x00000000-cc-rp-mo-ba4","rating":5,"relative_time_description":"2 years ago","text":"I was a controls contractor for them ... Good people ... It aint open to the public unless you got $40m+ for a jet.","time":1550038038},{"author_name":"Brian Dominguez","author_url":"https://www.google.com/maps/contrib/104350876642315186124/reviews","language":"en","profile_photo_url":"https://lh6.googleusercontent.com/-HBqIu7oBAIg/AAAAAAAAAAI/AAAAAAAAAAA/AMZuucnZ6rBEPa2bV-OYGts67u4r8mN_gQ/s128-c0x00000000-cc-rp-mo/photo.jpg","rating":4,"relative_time_description":"7 years ago","text":"My first time at Gulfstream, I was deffinately impressed with the people. The ambiance is very welcoming and polite. One can easily tell... they strive to ensure that quality is in every product that they deliver. Very High quality product.\n\nBrian","time":1372370273},{"author_name":"VW O'Day","author_url":"https://www.google.com/maps/contrib/104530682554885666521/reviews","language":"en","profile_photo_url":"https://lh5.googleusercontent.com/-6xT-Z5DH4u0/AAAAAAAAAAI/AAAAAAAAAAA/AMZuucl2qqy-9rZMmWpVXaCl3FuvmvttvA/s128-c0x00000000-cc-rp-mo-ba7/photo.jpg","rating":5,"relative_time_description":"a year ago","text":"Nice jets","time":1570247693}],"types":["point_of_interest","establishment"],"url":"https://maps.google.com/?cid=9140345117248509739","utc_offset":-480,"vicinity":"4150 Donald Douglas Drive, Long Beach","website":"http://www.gulfstream.com/"},"status":"OK"}</t>
  </si>
  <si>
    <t>&lt;span class="street-address"&gt;4150 Donald Douglas Dr&lt;/span&gt;, &lt;span class="locality"&gt;Long Beach&lt;/span&gt;, &lt;span class="region"&gt;CA&lt;/span&gt; &lt;span class="postal-code"&gt;90808-1725&lt;/span&gt;, &lt;span class="country-name"&gt;USA&lt;/span&gt;</t>
  </si>
  <si>
    <t>(800) 810-4853</t>
  </si>
  <si>
    <t>+1 800-810-4853</t>
  </si>
  <si>
    <t>4150 Donald Douglas Drive, Long Beach</t>
  </si>
  <si>
    <t>http://www.gulfstream.com/</t>
  </si>
  <si>
    <t>https://maps.googleapis.com/maps/api/place/findplacefromtext/json?input=%2B15105699622&amp;inputtype=phonenumber&amp;fields=business_status,formatted_address,geometry,icon,name,permanently_closed,place_id,plus_code,types&amp;key=AIzaSyAUoR1hu32epmid_r-h7_AiXQWhNu3zr3U</t>
  </si>
  <si>
    <t>{"business_status":"OPERATIONAL","formatted_address":"8735 Earhart Rd, Oakland, CA 94621, USA","geometry":{"location":{"lat":37.7289578,"lng":-122.2100563},"viewport":{"northeast":{"lat":37.7307104302915,"lng":-122.2083314697085},"southwest":{"lat":37.7280124697085,"lng":-122.2110294302915}}},"icon":"https://maps.gstatic.com/mapfiles/place_api/icons/v1/png_71/generic_business-71.png","name":"KaiserAir, Inc.","place_id":"ChIJ93r1gK-Fj4ARCFidWIO2lHQ","plus_code":{"compound_code":"PQHQ+HX Oakland, CA, USA","global_code":"849VPQHQ+HX"},"types":["point_of_interest","establishment"]}</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</si>
  <si>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</si>
  <si>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</si>
  <si>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37.7307104302915,"lng":-122.2083314697085},"southwest":{"lat":37.7280124697085,"lng":-122.2110294302915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a week ago","text":"Amazing service. Seamless hospital to hospital transfer. Very professional!","time":1612502903},{"author_name":"Gary Grant","author_url":"https://www.google.com/maps/contrib/100240468973648566019/reviews","language":"en","profile_photo_url":"https://lh5.googleusercontent.com/-zdVtoL-5-v0/AAAAAAAAAAI/AAAAAAAAAAA/AMZuuclP2cTXZjGknMRxbQxx0tpzAKlo9A/s128-c0x00000000-cc-rp-mo-ba4/photo.jpg","rating":5,"relative_time_description":"a month ago","text":"It's a great location for picking up my big corporate clients.","time":1609304309},{"author_name":"David Irmer III","author_url":"https://www.google.com/maps/contrib/100177665026807464472/reviews","language":"en","profile_photo_url":"https://lh3.googleusercontent.com/a-/AOh14GgRwTLng3ZwscFg9L3j8Is3WF-Nma4GiLNKq6HW0w=s128-c0x00000000-cc-rp-mo","rating":5,"relative_time_description":"2 weeks ago","text":"Great FBO, very nice and attentive staff.","time":1612305672},{"author_name":"Jonathan Buss","author_url":"https://www.google.com/maps/contrib/101439174610520717244/reviews","language":"en","profile_photo_url":"https://lh4.googleusercontent.com/-hvrhE96hTTk/AAAAAAAAAAI/AAAAAAAAAFo/AMZuuckxrQKVZfyFP-Y4RhK6JudU5DDeTQ/s128-c0x00000000-cc-rp-mo/photo.jpg","rating":5,"relative_time_description":"3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team!","time":1605063335},{"author_name":"Jake Malkin","author_url":"https://www.google.com/maps/contrib/101910382097042255668/reviews","language":"en","profile_photo_url":"https://lh6.googleusercontent.com/-F-Wg3JsHHjg/AAAAAAAAAAI/AAAAAAAAAAA/AMZuucmzzCLtZUMFrI1CZkgxZYzNHybEZA/s128-c0x00000000-cc-rp-mo/photo.jpg","rating":5,"relative_time_description":"11 months ago","text":"Super helpful extremely nice 👌 great service","time":1584629992}],"types":["point_of_interest","establishment"],"url":"https://maps.google.com/?cid=8400539880196495368","utc_offset":-480,"vicinity":"8735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</si>
  <si>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</si>
  <si>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</si>
  <si>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</si>
  <si>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http://www.kaiserair.com/</t>
  </si>
  <si>
    <t>https://maps.googleapis.com/maps/api/place/findplacefromtext/json?input=SP%20Aviation%2C%20Inc.%209351%20Earhart%20Road%20%20Oakland%20CA%2094621&amp;key=AIzaSyAUoR1hu32epmid_r-h7_AiXQWhNu3zr3U&amp;inputtype=textquery&amp;fields=business_status,formatted_address,geometry,icon,name,permanently_closed,place_id,plus_code,types</t>
  </si>
  <si>
    <t>{"business_status":"OPERATIONAL","formatted_address":"9351 Earhart Rd, Oakland, CA 94621, United States","geometry":{"location":{"lat":37.7270417,"lng":-122.2051011},"viewport":{"northeast":{"lat":37.72853952989272,"lng":-122.2037034201073},"southwest":{"lat":37.72583987010728,"lng":-122.2064030798927}}},"icon":"https://maps.gstatic.com/mapfiles/place_api/icons/v1/png_71/generic_business-71.png","name":"JSX","place_id":"ChIJq5l0jaaFj4ARMPfM0DvabEs","plus_code":{"compound_code":"PQGV+RX Oakland, California","global_code":"849VPQGV+RX"},"types":["point_of_interest","establishment"]}</t>
  </si>
  <si>
    <t>JSX</t>
  </si>
  <si>
    <t>ChIJq5l0jaaFj4ARMPfM0DvabEs</t>
  </si>
  <si>
    <t>9351 Earhart Rd, Oakland, CA 94621, United States</t>
  </si>
  <si>
    <t>{"html_attributions":[],"result":{"address_components":[{"long_name":"9351","short_name":"9351","types":["street_number"]},{"long_name":"Earhart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class=\"street-address\"&gt;9351 Earhart Rd&lt;/span&gt;, &lt;span class=\"locality\"&gt;Oakland&lt;/span&gt;, &lt;span class=\"region\"&gt;CA&lt;/span&gt; &lt;span class=\"postal-code\"&gt;94621&lt;/span&gt;, &lt;span class=\"country-name\"&gt;USA&lt;/span&gt;","formatted_address":"9351 Earhart Rd, Oakland, CA 94621, USA","formatted_phone_number":"(800) 435-9579","geometry":{"location":{"lat":37.7270417,"lng":-122.2051011},"viewport":{"northeast":{"lat":37.7285386802915,"lng":-122.2037042697085},"southwest":{"lat":37.7258407197085,"lng":-122.2064022302915}}},"icon":"https://maps.gstatic.com/mapfiles/place_api/icons/v1/png_71/generic_business-71.png","id":null,"international_phone_number":"+1 800-435-9579","name":"JSX","place_id":"ChIJq5l0jaaFj4ARMPfM0DvabEs","rating":4.7,"reference":null,"reviews":[{"author_name":"Christina Van Zandt","author_url":"https://www.google.com/maps/contrib/115492799726255549184/reviews","language":"en","profile_photo_url":"https://lh3.googleusercontent.com/a-/AOh14GjlgIl3CrMOkLZ7df9NnpvCCOt9MthsjnuFgH3aHQ=s128-c0x00000000-cc-rp-mo","rating":5,"relative_time_description":"a month ago","text":"Amazing service, convenient. Well priced. Only problem is limited schedule and routes. Would use this airline if available btwn CA and TX!","time":1609461228},{"author_name":"John millette","author_url":"https://www.google.com/maps/contrib/109349634377669045149/reviews","language":"en","profile_photo_url":"https://lh5.googleusercontent.com/-Dcs2ZKUP9g8/AAAAAAAAAAI/AAAAAAAAAAA/AMZuucl6dlFIbaG_-ko3gjsDg4dJoDIZRQ/s128-c0x00000000-cc-rp-mo-ba4/photo.jpg","rating":5,"relative_time_description":"a month ago","text":"No long lines or crazy security. They're small but friendly and efficient. Fly as if you're in a private jet. I will use this airlines again...hopefully they will extend their flights all over the states","time":1608555743},{"author_name":"Rick Dennis","author_url":"https://www.google.com/maps/contrib/111757200839042990430/reviews","language":"en","profile_photo_url":"https://lh3.googleusercontent.com/a-/AOh14Gi856PTyZEKxcKkcK0dCa34n8Wu5X6kYPlSfddILQ=s128-c0x00000000-cc-rp-mo-ba5","rating":5,"relative_time_description":"2 months ago","text":"My first time using this carrier.  Was really great! Easy parking, super pleasant staff and free coffee. They will be my first choice next time I visit the cities they service.","time":1607626565},{"author_name":"Stuart Resnick","author_url":"https://www.google.com/maps/contrib/114230337329188530411/reviews","language":"en","profile_photo_url":"https://lh3.googleusercontent.com/a-/AOh14GjlP7slSe5xKIGLNFEVSRTVLWnG-jkqKJoOY-AF-ms=s128-c0x00000000-cc-rp-mo-ba4","rating":5,"relative_time_description":"3 months ago","text":"Flying Oakland to Vegas on JSX is so much better than commercial, and at reasonable price. Takes almost all the hassle out of the trip. Including the fact that it's quick and easy to get Uber from JSX terminal.","time":1603831751},{"author_name":"Carol Eckels","author_url":"https://www.google.com/maps/contrib/115693746061932949478/reviews","language":"en","profile_photo_url":"https://lh3.googleusercontent.com/a-/AOh14Gh1Ocb2hV3kvZIFl6Wh1IFA7GZCs8H6RLhiY_5xJQ=s128-c0x00000000-cc-rp-mo","rating":5,"relative_time_description":"a month ago","text":"Love this airline!  So easy!  Travel made simple.","time":1610222067}],"types":["point_of_interest","establishment"],"url":"https://maps.google.com/?cid=5434958800770365232","utc_offset":-480,"vicinity":"9351 Earhart Road, Oakland","website":"http://www.jsx.com/"},"status":"OK"}</t>
  </si>
  <si>
    <t>&lt;span class="street-address"&gt;9351 Earhart Rd&lt;/span&gt;, &lt;span class="locality"&gt;Oakland&lt;/span&gt;, &lt;span class="region"&gt;CA&lt;/span&gt; &lt;span class="postal-code"&gt;94621&lt;/span&gt;, &lt;span class="country-name"&gt;USA&lt;/span&gt;</t>
  </si>
  <si>
    <t>(800) 435-9579</t>
  </si>
  <si>
    <t>+1 800-435-9579</t>
  </si>
  <si>
    <t>9351 Earhart Road, Oakland</t>
  </si>
  <si>
    <t>http://www.jsx.com/</t>
  </si>
  <si>
    <t>https://maps.googleapis.com/maps/api/place/findplacefromtext/json?input=COLLEGE%20OF%20ALAMEDA%20970%20HARBOR%20BAY%20PARKWAY%20%20OAKLAND%20CA%2094621&amp;key=AIzaSyAUoR1hu32epmid_r-h7_AiXQWhNu3zr3U&amp;inputtype=textquery&amp;fields=business_status,formatted_address,geometry,icon,name,permanently_closed,place_id,plus_code,types</t>
  </si>
  <si>
    <t>school,point_of_interest,establishment</t>
  </si>
  <si>
    <t>{"business_status":"OPERATIONAL","formatted_address":"970 Harbor Bay Pkwy, Alameda, CA 94502, United States","geometry":{"location":{"lat":37.7413744,"lng":-122.2263353},"viewport":{"northeast":{"lat":37.74272397989272,"lng":-122.2251389201073},"southwest":{"lat":37.74002432010727,"lng":-122.2278385798927}}},"icon":"https://maps.gstatic.com/mapfiles/place_api/icons/v1/png_71/school-71.png","name":"College of Alameda Aviation Maintenance Facility","place_id":"ChIJ24rCTDGEj4ARGyq1O-dF6nU","plus_code":{"compound_code":"PQRF+GF Alameda, California","global_code":"849VPQRF+GF"},"types":["school","point_of_interest","establishment"]}</t>
  </si>
  <si>
    <t>College of Alameda Aviation Maintenance Facility</t>
  </si>
  <si>
    <t>ChIJ24rCTDGEj4ARGyq1O-dF6nU</t>
  </si>
  <si>
    <t>970 Harbor Bay Pkwy, Alameda, CA 94502, United States</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</si>
  <si>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L3Vlx-iEi90/AAAAAAAAAAI/AAAAAAAAAAA/AMZuucmPH8lBJc4QOv-Swnp9cb6n1udY3Q/s128-c0x00000000-cc-rp-mo/photo.jpg","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Na","author_url":"https://www.google.com/maps/contrib/112078305425905452382/reviews","language":"en","profile_photo_url":"https://lh3.googleusercontent.com/a-/AOh14GgHT3qZBv_oBBrq4iMwx6wZi5Oof3YmkfdZkfP-Pg=s128-c0x00000000-cc-rp-mo-ba4","rating":5,"relative_time_description":"2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ago","text":"","time":1486017510}],"types":["school","point_of_interest","establishment"],"url":"https://maps.google.com/?cid=8496680506429352475","utc_offset":-480,"vicinity":"970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</si>
  <si>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</si>
  <si>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(510) 748-2368</t>
  </si>
  <si>
    <t>+1 510-748-2368</t>
  </si>
  <si>
    <t>970 Harbor Bay Parkway, Alameda</t>
  </si>
  <si>
    <t>http://alameda.peralta.edu/aviation-maintenance-technology/directions/</t>
  </si>
  <si>
    <t>https://maps.googleapis.com/maps/api/place/findplacefromtext/json?input=%2B15105304415&amp;inputtype=phonenumber&amp;fields=business_status,formatted_address,geometry,icon,name,permanently_closed,place_id,plus_code,types&amp;key=AIzaSyAUoR1hu32epmid_r-h7_AiXQWhNu3zr3U</t>
  </si>
  <si>
    <t>insurance_agency,point_of_interest,establishment</t>
  </si>
  <si>
    <t>{"business_status":"OPERATIONAL","formatted_address":"4000 Bridgeway # 101, Sausalito, CA 94965, USA","geometry":{"location":{"lat":37.8714337,"lng":-122.5036855},"viewport":{"northeast":{"lat":37.8728257302915,"lng":-122.5022768197085},"southwest":{"lat":37.8701277697085,"lng":-122.5049747802915}}},"icon":"https://maps.gstatic.com/mapfiles/place_api/icons/v1/png_71/generic_business-71.png","name":"Aviation Marine Insurance Services Inc.","place_id":"ChIJR1_W0ZyIj4ARXQBR32UY_os","plus_code":{"compound_code":"VFCW+HG Sausalito, CA, USA","global_code":"849VVFCW+HG"},"types":["insurance_agency","point_of_interest","establishment"]}</t>
  </si>
  <si>
    <t>Aviation Marine Insurance Services Inc.</t>
  </si>
  <si>
    <t>ChIJR1_W0ZyIj4ARXQBR32UY_os</t>
  </si>
  <si>
    <t>4000 Bridgeway # 101, Sausalito, CA 94965, USA</t>
  </si>
  <si>
    <t>{"html_attributions":[],"result":{"address_components":[{"long_name":"# 101","short_name":"# 101","types":["subpremise"]},{"long_name":"4000","short_name":"4000","types":["street_number"]},{"long_name":"Bridgeway","short_name":"Bridgeway","types":["route"]},{"long_name":"Sausalito","short_name":"Sausalito","types":["locality","political"]},{"long_name":"Marin County","short_name":"Marin County","types":["administrative_area_level_2","political"]},{"long_name":"California","short_name":"CA","types":["administrative_area_level_1","political"]},{"long_name":"United States","short_name":"US","types":["country","political"]},{"long_name":"94965","short_name":"94965","types":["postal_code"]}],"adr_address":"&lt;span class=\"street-address\"&gt;4000 Bridgeway # 101&lt;/span&gt;, &lt;span class=\"locality\"&gt;Sausalito&lt;/span&gt;, &lt;span class=\"region\"&gt;CA&lt;/span&gt; &lt;span class=\"postal-code\"&gt;94965&lt;/span&gt;, &lt;span class=\"country-name\"&gt;USA&lt;/span&gt;","formatted_address":"4000 Bridgeway # 101, Sausalito, CA 94965, USA","formatted_phone_number":"(800) 972-0907","geometry":{"location":{"lat":37.8714337,"lng":-122.5036855},"viewport":{"northeast":{"lat":37.8728257302915,"lng":-122.5022768197085},"southwest":{"lat":37.8701277697085,"lng":-122.5049747802915}}},"icon":"https://maps.gstatic.com/mapfiles/place_api/icons/v1/png_71/generic_business-71.png","id":null,"international_phone_number":"+1 800-972-0907","name":"Aviation Marine Insurance Services Inc.","place_id":"ChIJR1_W0ZyIj4ARXQBR32UY_os","rating":null,"reference":null,"reviews":null,"types":["insurance_agency","point_of_interest","establishment"],"url":"https://maps.google.com/?cid=10087527041173880925","utc_offset":-480,"vicinity":"4000 Bridgeway # 101, Sausalito","website":"http://www.aviation-marine.com/"},"status":"OK"}</t>
  </si>
  <si>
    <t>&lt;span class="street-address"&gt;4000 Bridgeway # 101&lt;/span&gt;, &lt;span class="locality"&gt;Sausalito&lt;/span&gt;, &lt;span class="region"&gt;CA&lt;/span&gt; &lt;span class="postal-code"&gt;94965&lt;/span&gt;, &lt;span class="country-name"&gt;USA&lt;/span&gt;</t>
  </si>
  <si>
    <t>(800) 972-0907</t>
  </si>
  <si>
    <t>+1 800-972-0907</t>
  </si>
  <si>
    <t>4000 Bridgeway # 101, Sausalito</t>
  </si>
  <si>
    <t>http://www.aviation-marine.com/</t>
  </si>
  <si>
    <t>https://maps.googleapis.com/maps/api/place/findplacefromtext/json?input=%2B14087293383 &amp;inputtype=phonenumber&amp;fields=business_status,formatted_address,geometry,icon,name,permanently_closed,place_id,plus_code,types&amp;key=AIzaSyAUoR1hu32epmid_r-h7_AiXQWhNu3zr3U</t>
  </si>
  <si>
    <t>{"business_status":"OPERATIONAL","formatted_address":"2575 Robert Fowler Way, San Jose, CA 95148, USA","geometry":{"location":{"lat":37.3381262,"lng":-121.8209428},"viewport":{"northeast":{"lat":37.3394081302915,"lng":-121.8194920697085},"southwest":{"lat":37.3367101697085,"lng":-121.8221900302915}}},"icon":"https://maps.gstatic.com/mapfiles/place_api/icons/v1/png_71/school-71.png","name":"Nice Air","place_id":"ChIJNydfnq0yjoARURNLGkqDEVs","plus_code":{"compound_code":"85QH+7J San Jose, CA, USA","global_code":"849W85QH+7J"},"types":["university","point_of_interest","establishment"]}</t>
  </si>
  <si>
    <t>Nice Air</t>
  </si>
  <si>
    <t>ChIJNydfnq0yjoARURNLGkqDEVs</t>
  </si>
  <si>
    <t>2575 Robert Fowler Way, San Jose, CA 95148, USA</t>
  </si>
  <si>
    <t>{"html_attributions":[],"result":{"address_components":[{"long_name":"2575","short_name":"2575","types":["street_number"]},{"long_name":"Robert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States","short_name":"US","types":["country","political"]},{"long_name":"95148","short_name":"95148","types":["postal_code"]},{"long_name":"1010","short_name":"1010","types":["postal_code_suffix"]}],"adr_address":"&lt;span class=\"street-address\"&gt;2575 Robert Fowler Way&lt;/span&gt;, &lt;span class=\"locality\"&gt;San Jose&lt;/span&gt;, &lt;span class=\"region\"&gt;CA&lt;/span&gt; &lt;span class=\"postal-code\"&gt;95148-1010&lt;/span&gt;, &lt;span class=\"country-name\"&gt;USA&lt;/span&gt;","formatted_address":"2575 Robert Fowler Way, San Jose, CA 95148, USA","formatted_phone_number":"(408) 729-3383","geometry":{"location":{"lat":37.3381262,"lng":-121.8209428},"viewport":{"northeast":{"lat":37.3394081302915,"lng":-121.8194920697085},"southwest":{"lat":37.3367101697085,"lng":-121.8221900302915}}},"icon":"https://maps.gstatic.com/mapfiles/place_api/icons/v1/png_71/school-71.png","id":null,"international_phone_number":"+1 408-729-3383","name":"Nice Air","place_id":"ChIJNydfnq0yjoARURNLGkqDEVs","rating":4.2,"reference":null,"reviews":[{"author_name":"Martin Robins","author_url":"https://www.google.com/maps/contrib/100711702822093670616/reviews","language":"en","profile_photo_url":"https://lh3.googleusercontent.com/a-/AOh14GiO8zaRgtuHctxcPS5417JAoNCYSx4D3o_yEm-t-A=s128-c0x00000000-cc-rp-mo","rating":5,"relative_time_description":"2 months ago","text":"Nice Air strikes the perfect balance between affordability and luxury.  They are a very professional operation with a sound maintenance facility that keeps their aircraft in excellent working order.  Their aircraft may not be newest out there, but they don't charge \"new aircraft\" prices either.  The important thing is that they know what they are doing and I've always had complete confidence in their equipment, instructors and mechanics.\n\nI moved to the Bay Area several years ago and discovered Nice Air while looking for a good place to rent aircraft for recreation as well as furthering my flight training (Commercial and CFI).  Their school does attract a large number of students from Europe and Asia but I've also met a good number of other Silicon Valley professionals there and find it a great place to hang out and to just be around other general aviation enthusiasts.\n\nI've flown with numerous flight schools and rental operations across the US and have found that they tend to fall into one of three categories:\nThere are the flashy, overpriced places with brand new, expensive aircraft and self-important instructors.  Those places never seem to stay in business for long.  Then there are the old, dusty places tucked away in the corner of the airport with out of date equipment and out of touch instructors.  Those places are just a little too scary for my comfort level!  And then there are places like Nice Air that focus on the important things like safety and professionalism, without wasting money on flashy offices etc.  These places frequently outlast the competition because they're doing it right.  These are the places I feel most comfortable flying with and this is why I enjoy flying at Nice Air and recommend it to others.","time":1608082622},{"author_name":"Akino Flowers","author_url":"https://www.google.com/maps/contrib/116170861952196064430/reviews","language":"en","profile_photo_url":"https://lh3.googleusercontent.com/a-/AOh14Gg8yeZDuWwZD6vCuPZYg_ahsLLpEU9vblgcg7WM9A=s128-c0x00000000-cc-rp-mo","rating":5,"relative_time_description":"a month ago","text":"Took my Part 107 exam here in 2020, amazing people, all were friendly and helpful.","time":1610486839},{"author_name":"Kuangwei Hwang","author_url":"https://www.google.com/maps/contrib/112343365240743883936/reviews","language":"en","profile_photo_url":"https://lh3.googleusercontent.com/a-/AOh14GioC0QtZAjnEJpE2Jh2BouohRSIa76lYktyTyW5bA=s128-c0x00000000-cc-rp-mo","rating":5,"relative_time_description":"a week ago","text":"I chose this FBO to support my Angel Flight mission due to Hiro's excellent and friendly serivce.  He was a great help in helping us drop off our patient and getting us a rental car so we could stay overnight. Will certainly stay here again and get all of our FBO needs.","time":1612686264},{"author_name":"Michael Tucker","author_url":"https://www.google.com/maps/contrib/113415371669727703693/reviews","language":"en","profile_photo_url":"https://lh4.googleusercontent.com/-vHiwhVt34s4/AAAAAAAAAAI/AAAAAAAAAAA/AMZuucnnxfbQ82BgpfAG0YvzhgaVjjKO3Q/s128-c0x00000000-cc-rp-mo/photo.jpg","rating":5,"relative_time_description":"2 years ago","text":"Our AC unit was not operating when we arrived at our mobile home at Paradise Bay so we phoned a contractor who had previously done a \"check up\" on the unit. When their technician arrived and did about a 5-10 minute check of the unit, we were informed that a new compressor was needed, but that they could install a new unit for a minimal amount more … total of about $5,000 !  I phoned Nice Air and they promptly sent a service tech who made a thorough assessment, replaced a burnt out disconnect, checked all pressures, etc. and had the unit up and running within 90 minutes at a very fair price ( a fraction of what the first contractor tried to finagle). I could not be happier with the Nice Air service tech, Chris, who was thorough, honest and explained every step. I will not name the first company but rest assured I would NEVER use them again. Cheers to NICE AIR for excellent work at a fair price !","time":1541626091},{"author_name":"Alex Arnoldy","author_url":"https://www.google.com/maps/contrib/108896001560964966366/reviews","language":"en","profile_photo_url":"https://lh4.googleusercontent.com/-EtrWulmPufk/AAAAAAAAAAI/AAAAAAAAAAA/AMZuucnoxLNNyQcCVvYH-4UzJojtQHSXaA/s128-c0x00000000-cc-rp-mo/photo.jpg","rating":5,"relative_time_description":"a year ago","text":"Very friendly team and affordable airplanes","time":1577591531}],"types":["university","point_of_interest","establishment"],"url":"https://maps.google.com/?cid=6562170486347469649","utc_offset":-480,"vicinity":"2575 Robert Fowler Way, San Jose","website":"http://www.niceairaviation.com/"},"status":"OK"}</t>
  </si>
  <si>
    <t>&lt;span class="street-address"&gt;2575 Robert Fowler Way&lt;/span&gt;, &lt;span class="locality"&gt;San Jose&lt;/span&gt;, &lt;span class="region"&gt;CA&lt;/span&gt; &lt;span class="postal-code"&gt;95148-1010&lt;/span&gt;, &lt;span class="country-name"&gt;USA&lt;/span&gt;</t>
  </si>
  <si>
    <t>(408) 729-3383</t>
  </si>
  <si>
    <t>+1 408-729-3383</t>
  </si>
  <si>
    <t>2575 Robert Fowler Way, San Jose</t>
  </si>
  <si>
    <t>http://www.niceairaviation.com/</t>
  </si>
  <si>
    <t>https://maps.googleapis.com/maps/api/place/findplacefromtext/json?input=%2B14087295100 &amp;inputtype=phonenumber&amp;fields=business_status,formatted_address,geometry,icon,name,permanently_closed,place_id,plus_code,types&amp;key=AIzaSyAUoR1hu32epmid_r-h7_AiXQWhNu3zr3U</t>
  </si>
  <si>
    <t>university,point_of_interest,store,establishment</t>
  </si>
  <si>
    <t>{"business_status":"OPERATIONAL","formatted_address":"2505 Cunningham Ave, San Jose, CA 95148, USA","geometry":{"location":{"lat":37.33641659999999,"lng":-121.8200971},"viewport":{"northeast":{"lat":37.3377306802915,"lng":-121.8186054197085},"southwest":{"lat":37.3350327197085,"lng":-121.8213033802915}}},"icon":"https://maps.gstatic.com/mapfiles/place_api/icons/v1/png_71/school-71.png","name":"Trade Winds Aviation","place_id":"ChIJ0_eF2a0yjoARf9p8igpIFdk","plus_code":{"compound_code":"85PH+HX San Jose, CA, USA","global_code":"849W85PH+HX"},"types":["university","point_of_interest","store","establishment"]}</t>
  </si>
  <si>
    <t>Trade Winds Aviation</t>
  </si>
  <si>
    <t>ChIJ0_eF2a0yjoARf9p8igpIFdk</t>
  </si>
  <si>
    <t>2505 Cunningham Ave, San Jose, CA 95148, USA</t>
  </si>
  <si>
    <t>{"html_attributions":[],"result":{"address_components":[{"long_name":"2505","short_name":"2505","types":["street_number"]},{"long_name":"Cunningham Avenue","short_name":"Cunningham Ave","types":["route"]},{"long_name":"Alum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States","short_name":"US","types":["country","political"]},{"long_name":"95148","short_name":"95148","types":["postal_code"]},{"long_name":"1002","short_name":"1002","types":["postal_code_suffix"]}],"adr_address":"&lt;span class=\"street-address\"&gt;2505 Cunningham Ave&lt;/span&gt;, &lt;span class=\"locality\"&gt;San Jose&lt;/span&gt;, &lt;span class=\"region\"&gt;CA&lt;/span&gt; &lt;span class=\"postal-code\"&gt;95148-1002&lt;/span&gt;, &lt;span class=\"country-name\"&gt;USA&lt;/span&gt;","formatted_address":"2505 Cunningham Ave, San Jose, CA 95148, USA","formatted_phone_number":"(408) 729-5100","geometry":{"location":{"lat":37.33641659999999,"lng":-121.8200971},"viewport":{"northeast":{"lat":37.3377306802915,"lng":-121.8186054197085},"southwest":{"lat":37.3350327197085,"lng":-121.8213033802915}}},"icon":"https://maps.gstatic.com/mapfiles/place_api/icons/v1/png_71/school-71.png","id":null,"international_phone_number":"+1 408-729-5100","name":"Trade Winds Aviation","place_id":"ChIJ0_eF2a0yjoARf9p8igpIFdk","rating":4.3,"reference":null,"reviews":[{"author_name":"Gary Bowen","author_url":"https://www.google.com/maps/contrib/100777319125821412002/reviews","language":"en","profile_photo_url":"https://lh3.googleusercontent.com/a-/AOh14GhU5CUhWxVllNZKuDFp5ztH87iCUBwqPkYyr0UUEA=s128-c0x00000000-cc-rp-mo-ba4","rating":5,"relative_time_description":"6 months ago","text":"Trade Winds Aviation in San Jose, CA is an outstanding organization. Flight training is  with excellent CFIs who are both experts in their field and passionate about flying. Trade Wind's shop and maintenance are exemplary...so you can be confident that the fleet is maintained to the highest standards. Very good management. Friendly and efficient staff. I recommend Trade Winds Aviation without reservation.","time":1595533164},{"author_name":"Scott Franco","author_url":"https://www.google.com/maps/contrib/102843264999783293975/reviews","language":"en","profile_photo_url":"https://lh4.googleusercontent.com/-0EUcqA_Xkqc/AAAAAAAAAAI/AAAAAAAAAAA/AMZuucnKPrUlbVUatNZWslaq9gSnrgwyYg/s128-c0x00000000-cc-rp-mo/photo.jpg","rating":1,"relative_time_description":"6 months ago","text":"Positively the worst flight school on the field. I tried them twice, with several years between. Both times the flight instructor stood me up without notice, and without apology. The second time I was there, the instructor told me his rate was higher than normal because he had an ATP (airline transport pilot) rating. I needed a BFR (bi-annual flight review). He told me he was only working there because he got kicked out of the airlines for safety violations. In short, he charged me that higher rate for about 2 hours of time with no flight time and I didn't get my BFR, which I needed to get flying again. We rescheduled for the next weekend, then he stood me up, without notice. Never again. There are plenty of other flight schools on the airport.\n\n[reply to Trade Winds aviation]\nAs stated in the review, I have been a student there twice, although both times for only a short period. So trade winds adds insult to injury by claiming I don't exist. Tell me something. If I never went there how do I know details about your flight instructors? I'll bet you didn't even bother to check.","time":1596071854},{"author_name":"Alain Gyger","author_url":"https://www.google.com/maps/contrib/112105212924878447844/reviews","language":"en","profile_photo_url":"https://lh3.googleusercontent.com/a-/AOh14GjSjqTRzuZe_NVMwgkxj1-sQWSFgNAqiEI822IOFg=s128-c0x00000000-cc-rp-mo-ba5","rating":5,"relative_time_description":"3 years ago","text":"A great place to learn how to fly. I was only able to take ground school but even that was well done. They've expanded their classroom floorspace and can accommodate more students at one time. All of their instructors are top notch. They also have a very competent squad of mechanics. Best of all, they have\"pilot fuel\" ... snacks and coffee!","time":1514443274},{"author_name":"Eric Holmes","author_url":"https://www.google.com/maps/contrib/117470411091044074342/reviews","language":"en","profile_photo_url":"https://lh3.googleusercontent.com/a-/AOh14Gh_k2cx7a5d8l-mMcb9cHVA0Pvsnq7huSBihfVUig=s128-c0x00000000-cc-rp-mo","rating":1,"relative_time_description":"a year ago","text":"This school struggles to attract and retain talent, which is understandable in the current pilot shortage environment. However, the situation that I experienced was all to the detriment of the student. Of my primary flight instructors, 3/3 left or are leaving the school imminently. My first instructor was very capable, but left shortly after we began training to seek a better salary at another flight school. My second instructor, who was decidedly less capable, saw a 50% salary raise (probably the club's retention attempt) and took me on several costly cross-country flights. Then, with zero notice, he left the school before completing the solo cross country milestone with me. It took the club months to locate my third instructor, and before they did, they proposed a higher hourly rate advanced instructor as a stand in. The third instructor, who may have meant well, re-flew the entire course from slow flight with me costing me thousands of dollars to re-qualify for Solo -- then we had to refly the cross country portions entirely as well! At the time of this review, the 3rd instructor is scheduled to leave imminently for personal reasons. That led to a rush to get qualified before his departure which ultimately led to the \"falling out\" with the owner of this club. The owner, while appearing initially to support my training, and seeking in fact to involve me somehow in his aircraft leasing operations of the club, today unilaterally chose to \"fire\" me (his customer) because I was not making sufficient progress after needing to refly my stage 7 check. The blame for this unfortunate cascade of situations was put 100% on my shoulders. The owner failed to acknowledge any responsibility or propose any meaningful remediation. Overall, I would recommend against this club as it seems a shadow of its former self. The owner took his personal frustrations out on his customer (me) who rightly questioned the value proposition of having to repeat entire sections of work already established. Give this club a miss until they can regroup and refocus on the customer.","time":1558054858},{"author_name":"Nico Hein","author_url":"https://www.google.com/maps/contrib/102535980217472534460/reviews","language":"en","profile_photo_url":"https://lh3.googleusercontent.com/-fTh_R7hodeo/AAAAAAAAAAI/AAAAAAAAAAA/AMZuuckyOSvup3X7eN379Pf0EyFZyAqOvw/s128-c0x00000000-cc-rp-mo/photo.jpg","rating":3,"relative_time_description":"2 years ago","text":"Lang waiting times until a flight instructor is assigned. Intransparent communication.","time":1541080894}],"types":["university","point_of_interest","store","establishment"],"url":"https://maps.google.com/?cid=15642488090851596927","utc_offset":-480,"vicinity":"2505 Cunningham Avenue, San Jose","website":"http://www.tradewindsaviation.com/"},"status":"OK"}</t>
  </si>
  <si>
    <t>&lt;span class="street-address"&gt;2505 Cunningham Ave&lt;/span&gt;, &lt;span class="locality"&gt;San Jose&lt;/span&gt;, &lt;span class="region"&gt;CA&lt;/span&gt; &lt;span class="postal-code"&gt;95148-1002&lt;/span&gt;, &lt;span class="country-name"&gt;USA&lt;/span&gt;</t>
  </si>
  <si>
    <t>(408) 729-5100</t>
  </si>
  <si>
    <t>+1 408-729-5100</t>
  </si>
  <si>
    <t>2505 Cunningham Avenue, San Jose</t>
  </si>
  <si>
    <t>http://www.tradewindsaviation.com/</t>
  </si>
  <si>
    <t>https://maps.googleapis.com/maps/api/place/findplacefromtext/json?input=SQUADRON%20ACQUISITION%20CORPORATION%202655%20ROBERT%20FOWLER%20WAY%20%20SAN%20JOSE%20CA%2095148&amp;key=AIzaSyAUoR1hu32epmid_r-h7_AiXQWhNu3zr3U&amp;inputtype=textquery&amp;fields=business_status,formatted_address,geometry,icon,name,permanently_closed,place_id,plus_code,types</t>
  </si>
  <si>
    <t>{"business_status":"OPERATIONAL","formatted_address":"2655 Robert Fowler Way, San Jose, CA 95148, United States","geometry":{"location":{"lat":37.3386694,"lng":-121.8200515},"viewport":{"northeast":{"lat":37.33994407989272,"lng":-121.8186536201073},"southwest":{"lat":37.33724442010728,"lng":-121.8213532798927}}},"icon":"https://maps.gstatic.com/mapfiles/place_api/icons/v1/png_71/school-71.png","name":"Squadron-2","place_id":"ChIJl2rBmK0yjoARLqTnwSRGfb4","plus_code":{"compound_code":"85QH+FX San Jose, California","global_code":"849W85QH+FX"},"types":["university","point_of_interest","establishment"]}</t>
  </si>
  <si>
    <t>Squadron-2</t>
  </si>
  <si>
    <t>ChIJl2rBmK0yjoARLqTnwSRGfb4</t>
  </si>
  <si>
    <t>2655 Robert Fowler Way, San Jose, CA 95148, United States</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</si>
  <si>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States","short_name":"US","types":["country","political"]},{"long_name":"95148","short_name":"95148","types":["postal_code"]}],"adr_address":"&lt;span class=\"street-address\"&gt;2655 Robert Fowler Way&lt;/span&gt;, &lt;span class=\"locality\"&gt;San Jose&lt;/span&gt;, &lt;span class=\"region\"&gt;CA&lt;/span&gt; &lt;span class=\"postal-code\"&gt;95148&lt;/span&gt;, &lt;span class=\"country-name\"&gt;USA&lt;/span&gt;","formatted_address":"2655 Robert Fowler Way, San Jose, CA 95148, USA","formatted_phone_number":"(408) 648-2008","geometry":{"location":{"lat":37.3386694,"lng":-121.8200515},"viewport":{"northeast":{"lat":37.3399432302915,"lng":-121.8186544697085},"southwest":{"lat":37.33724526970851,"lng":-121.8213524302915}}},"icon":"https://maps.gstatic.com/mapfiles/place_api/icons/v1/png_71/school-71.png","id":null,"international_phone_number":"+1 408-648-2008","name":"Squadron-2","place_id":"ChIJl2rBmK0yjoARLqTnwSRGfb4","rating":4.7,"reference":null,"reviews":[{"author_name":"swapnil lungade","author_url":"https://www.google.com/maps/contrib/115585057600352049624/reviews","language":"en","profile_photo_url":"https://lh3.googleusercontent.com/a-/AOh14GiVKPkwePNNnVvQEAi141-_GedR_Dsrn-YPvkA1=s128-c0x00000000-cc-rp-mo","rating":5,"relative_time_description":"4 months ago","text":"David was supercool, the breathtaking views of oceans and exciting flying experience was nice !!","time":1601151894},{"author_name":"Pradeep godavarthi","author_url":"https://www.google.com/maps/contrib/113207069715160810071/reviews","language":"en","profile_photo_url":"https://lh3.googleusercontent.com/a-/AOh14Ghz3VIiafZTSvZnJbXB16apoU6egEhgNiSpjZh0ius=s128-c0x00000000-cc-rp-mo-ba2","rating":1,"relative_time_description":"a year ago","text":"Why school management doesnt respond to email.. :( i want to join here","time":1563554959},{"author_name":"Indian Roar LLP \"Exponential Marketing Company\"","author_url":"https://www.google.com/maps/contrib/110064908852613279089/reviews","language":"en","profile_photo_url":"https://lh3.googleusercontent.com/a-/AOh14GjFKCM0hZW4akXrJXJToNP6hInAgaFeQG4q-sLwqQ=s128-c0x00000000-cc-rp-mo-ba2","rating":5,"relative_time_description":"2 years ago","text":"It was best time of my life","time":1519242680},{"author_name":"Farmer","author_url":"https://www.google.com/maps/contrib/100004961290306099272/reviews","language":"en","profile_photo_url":"https://lh3.googleusercontent.com/a-/AOh14GiWS_sWGkV73_9pyUvQjLEZQeBT5ZfoxKJwhuSI=s128-c0x00000000-cc-rp-mo","rating":5,"relative_time_description":"4 years ago","text":"Learn to fly here","time":1481168996},{"author_name":"ajay chavan","author_url":"https://www.google.com/maps/contrib/115250779333458460125/reviews","language":"en","profile_photo_url":"https://lh5.googleusercontent.com/-SfP636QtNpE/AAAAAAAAAAI/AAAAAAAAAAA/AMZuucmQC6g9d2GJcwdtG-cABZqc9vY-Pg/s128-c0x00000000-cc-rp-mo-ba2/photo.jpg","rating":5,"relative_time_description":"4 years ago","text":"Good instructors !","time":1477737333}],"types":["university","point_of_interest","establishment"],"url":"https://maps.google.com/?cid=13726204362981090350","utc_offset":-480,"vicinity":"2655 Robert Fowler Way, San Jose","website":"https://www.squadron2.com/"},"status":"OK"}</t>
  </si>
  <si>
    <t>&lt;span class="street-address"&gt;2655 Robert Fowler Way&lt;/span&gt;, &lt;span class="locality"&gt;San Jose&lt;/span&gt;, &lt;span class="region"&gt;CA&lt;/span&gt; &lt;span class="postal-code"&gt;95148&lt;/span&gt;, &lt;span class="country-name"&gt;USA&lt;/span&gt;</t>
  </si>
  <si>
    <t>(408) 648-2008</t>
  </si>
  <si>
    <t>+1 408-648-2008</t>
  </si>
  <si>
    <t>2655 Robert Fowler Way, San Jose</t>
  </si>
  <si>
    <t>https://www.squadron2.com/</t>
  </si>
  <si>
    <t>https://maps.googleapis.com/maps/api/place/findplacefromtext/json?input=%2B14082586321 &amp;inputtype=phonenumber&amp;fields=business_status,formatted_address,geometry,icon,name,permanently_closed,place_id,plus_code,types&amp;key=AIzaSyAUoR1hu32epmid_r-h7_AiXQWhNu3zr3U</t>
  </si>
  <si>
    <t>{"business_status":"OPERATIONAL","formatted_address":"2655 Robert Fowler Way, San Jose, CA 95148, USA","geometry":{"location":{"lat":37.3388513,"lng":-121.8200467},"viewport":{"northeast":{"lat":37.3400341802915,"lng":-121.8186544697085},"southwest":{"lat":37.3373362197085,"lng":-121.8213524302915}}},"icon":"https://maps.gstatic.com/mapfiles/place_api/icons/v1/png_71/school-71.png","name":"Air Accord","place_id":"ChIJl3aXmq0yjoARPLQOcyAOsD0","plus_code":{"compound_code":"85QH+GX San Jose, CA, USA","global_code":"849W85QH+GX"},"types":["university","point_of_interest","establishment"]}</t>
  </si>
  <si>
    <t>Air Accord</t>
  </si>
  <si>
    <t>ChIJl3aXmq0yjoARPLQOcyAOsD0</t>
  </si>
  <si>
    <t>2655 Robert Fowler Way, San Jose, CA 95148, USA</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</si>
  <si>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States","short_name":"US","types":["country","political"]},{"long_name":"95148","short_name":"95148","types":["postal_code"]},{"long_name":"1016","short_name":"1016","types":["postal_code_suffix"]}],"adr_address":"&lt;span class=\"street-address\"&gt;2655 Robert Fowler Way&lt;/span&gt;, &lt;span class=\"locality\"&gt;San Jose&lt;/span&gt;, &lt;span class=\"region\"&gt;CA&lt;/span&gt; &lt;span class=\"postal-code\"&gt;95148-1016&lt;/span&gt;, &lt;span class=\"country-name\"&gt;USA&lt;/span&gt;","formatted_address":"2655 Robert Fowler Way, San Jose, CA 95148, USA","formatted_phone_number":"(408) 258-6321","geometry":{"location":{"lat":37.3388513,"lng":-121.8200467},"viewport":{"northeast":{"lat":37.3400341802915,"lng":-121.8186544697085},"southwest":{"lat":37.3373362197085,"lng":-121.8213524302915}}},"icon":"https://maps.gstatic.com/mapfiles/place_api/icons/v1/png_71/school-71.png","id":null,"international_phone_number":"+1 408-258-6321","name":"Air Accord","place_id":"ChIJl3aXmq0yjoARPLQOcyAOsD0","rating":null,"reference":null,"reviews":null,"types":["university","point_of_interest","establishment"],"url":"https://maps.google.com/?cid=4445068364746765372","utc_offset":-480,"vicinity":"2655 Robert Fowler Way, San Jose","website":"http://www.air-accord.com/"},"status":"OK"}</t>
  </si>
  <si>
    <t>&lt;span class="street-address"&gt;2655 Robert Fowler Way&lt;/span&gt;, &lt;span class="locality"&gt;San Jose&lt;/span&gt;, &lt;span class="region"&gt;CA&lt;/span&gt; &lt;span class="postal-code"&gt;95148-1016&lt;/span&gt;, &lt;span class="country-name"&gt;USA&lt;/span&gt;</t>
  </si>
  <si>
    <t>(408) 258-6321</t>
  </si>
  <si>
    <t>+1 408-258-6321</t>
  </si>
  <si>
    <t>http://www.air-accord.com/</t>
  </si>
  <si>
    <t>https://maps.googleapis.com/maps/api/place/findplacefromtext/json?input=CORPORATE%20AVIATION%20ASSOC%20INC%201250%20AVIATION%20AVENUE%20SUITE%20125%20SAN%20JOSE%20CA%2095110&amp;key=AIzaSyAUoR1hu32epmid_r-h7_AiXQWhNu3zr3U&amp;inputtype=textquery&amp;fields=business_status,formatted_address,geometry,icon,name,permanently_closed,place_id,plus_code,types</t>
  </si>
  <si>
    <t>{"business_status":"OPERATIONAL","formatted_address":"1250 Aviation Ave # 125, San Jose, CA 95110, United States","geometry":{"location":{"lat":37.3571027,"lng":-121.929937},"viewport":{"northeast":{"lat":37.35831627989273,"lng":-121.9285740701072},"southwest":{"lat":37.35561662010728,"lng":-121.9312737298927}}},"icon":"https://maps.gstatic.com/mapfiles/place_api/icons/v1/png_71/generic_business-71.png","name":"Corporate Air Technology","place_id":"ChIJ04PypbzLj4ARlopQik9bWww","plus_code":{"compound_code":"934C+R2 San Jose, California","global_code":"849W934C+R2"},"types":["point_of_interest","store","establishment"]}</t>
  </si>
  <si>
    <t>Corporate Air Technology</t>
  </si>
  <si>
    <t>ChIJ04PypbzLj4ARlopQik9bWww</t>
  </si>
  <si>
    <t>1250 Aviation Ave # 125, San Jose, CA 95110, United States</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</si>
  <si>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Hoffart","author_url":"https://www.google.com/maps/contrib/112513796859799238207/reviews","language":"en","profile_photo_url":"https://lh3.googleusercontent.com/a-/AOh14GhlUHx822vO3cxN5J1XQgB2oUD_STgNBGo-Pjt3=s128-c0x00000000-cc-rp-mo","rating":5,"relative_time_description":"11 months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3","rating":5,"relative_time_description":"8 months ago","text":"If you own an airplane this is the place for maintenance and repair.","time":1592012253}],"types":["point_of_interest","store","establishment"],"url":"https://maps.google.com/?cid=890405748516883094","utc_offset":-480,"vicinity":"1250 Aviation Avenue # 125, San Jose","website":"http://corpairtech.com/"},"status":"OK"}</t>
  </si>
  <si>
    <t>&lt;span class="street-address"&gt;1250 Aviation Ave # 125&lt;/span&gt;, &lt;span class="locality"&gt;San Jose&lt;/span&gt;, &lt;span class="region"&gt;CA&lt;/span&gt; &lt;span class="postal-code"&gt;95110-1120&lt;/span&gt;, &lt;span class="country-name"&gt;USA&lt;/span&gt;</t>
  </si>
  <si>
    <t>(408) 977-0990</t>
  </si>
  <si>
    <t>+1 408-977-0990</t>
  </si>
  <si>
    <t>1250 Aviation Avenue # 125, San Jose</t>
  </si>
  <si>
    <t>http://corpairtech.com/</t>
  </si>
  <si>
    <t>https://maps.googleapis.com/maps/api/place/findplacefromtext/json?input=L%20A%20C%20AVIONICS%20INC%201250%20AVIATION%20AVENUE%20SUITE%20110%20SAN%20JOSE%20CA%2095110&amp;key=AIzaSyAUoR1hu32epmid_r-h7_AiXQWhNu3zr3U&amp;inputtype=textquery&amp;fields=business_status,formatted_address,geometry,icon,name,permanently_closed,place_id,plus_code,types</t>
  </si>
  <si>
    <t>electronics_store,point_of_interest,store,establishment</t>
  </si>
  <si>
    <t>{"business_status":"OPERATIONAL","formatted_address":"1250 Aviation Ave # 110, San Jose, CA 95110, United States","geometry":{"location":{"lat":37.3571027,"lng":-121.929937},"viewport":{"northeast":{"lat":37.35831627989273,"lng":-121.9285740701072},"southwest":{"lat":37.35561662010728,"lng":-121.9312737298927}}},"icon":"https://maps.gstatic.com/mapfiles/place_api/icons/v1/png_71/shopping-71.png","name":"Lac Avionics","place_id":"ChIJ04PypbzLj4ARSfYIbhb_G_A","plus_code":{"compound_code":"934C+R2 San Jose, California","global_code":"849W934C+R2"},"types":["electronics_store","point_of_interest","store","establishment"]}</t>
  </si>
  <si>
    <t>Lac Avionics</t>
  </si>
  <si>
    <t>ChIJ04PypbzLj4ARSfYIbhb_G_A</t>
  </si>
  <si>
    <t>1250 Aviation Ave # 110, San Jose, CA 95110, United States</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</si>
  <si>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Avionics","place_id":"ChIJ04PypbzLj4ARSfYIbhb_G_A","rating":null,"reference":null,"reviews":null,"types":["electronics_store","point_of_interest","store","establishment"],"url":"https://maps.google.com/?cid=17301702865274336841","utc_offset":-480,"vicinity":"1250 Aviation Avenue # 110, San Jose","website":"http://www.lacavionics.com/"},"status":"OK"}</t>
  </si>
  <si>
    <t>&lt;span class="street-address"&gt;1250 Aviation Ave # 110&lt;/span&gt;, &lt;span class="locality"&gt;San Jose&lt;/span&gt;, &lt;span class="region"&gt;CA&lt;/span&gt; &lt;span class="postal-code"&gt;95110-1133&lt;/span&gt;, &lt;span class="country-name"&gt;USA&lt;/span&gt;</t>
  </si>
  <si>
    <t>(408) 295-4144</t>
  </si>
  <si>
    <t>+1 408-295-4144</t>
  </si>
  <si>
    <t>1250 Aviation Avenue # 110, San Jose</t>
  </si>
  <si>
    <t>http://www.lacavionics.com/</t>
  </si>
  <si>
    <t>https://maps.googleapis.com/maps/api/place/findplacefromtext/json?input=%2B19497561300 &amp;inputtype=phonenumber&amp;fields=business_status,formatted_address,geometry,icon,name,permanently_closed,place_id,plus_code,types&amp;key=AIzaSyAUoR1hu32epmid_r-h7_AiXQWhNu3zr3U</t>
  </si>
  <si>
    <t>{"business_status":"OPERATIONAL","formatted_address":"19531 Campus Dr, Santa Ana, CA 92707, USA","geometry":{"location":{"lat":33.6664554,"lng":-117.8713482},"viewport":{"northeast":{"lat":33.6677497302915,"lng":-117.8699206197085},"southwest":{"lat":33.6650517697085,"lng":-117.8726185802915}}},"icon":"https://maps.gstatic.com/mapfiles/place_api/icons/v1/png_71/generic_business-71.png","name":"Orange County Flight Center","place_id":"ChIJleRT-VXe3IARJ_sfY9kTwqM","plus_code":{"compound_code":"M48H+HF Santa Ana, CA, USA","global_code":"8554M48H+HF"},"types":["point_of_interest","establishment"]}</t>
  </si>
  <si>
    <t>Orange County Flight Center</t>
  </si>
  <si>
    <t>ChIJleRT-VXe3IARJ_sfY9kTwqM</t>
  </si>
  <si>
    <t>19531 Campus Dr, Santa Ana, CA 92707, USA</t>
  </si>
  <si>
    <t>{"html_attributions":[],"result":{"address_components":[{"long_name":"19531","short_name":"19531","types":["street_number"]},{"long_name":"Campus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Dr&lt;/span&gt;, &lt;span class=\"locality\"&gt;Santa Ana&lt;/span&gt;, &lt;span class=\"region\"&gt;CA&lt;/span&gt; &lt;span class=\"postal-code\"&gt;92707-5207&lt;/span&gt;, &lt;span class=\"country-name\"&gt;USA&lt;/span&gt;","formatted_address":"19531 Campus Dr, Santa Ana, CA 92707, USA","formatted_phone_number":"(949) 756-1300","geometry":{"location":{"lat":33.6664554,"lng":-117.8713482},"viewport":{"northeast":{"lat":33.6677497302915,"lng":-117.8699206197085},"southwest":{"lat":33.6650517697085,"lng":-117.8726185802915}}},"icon":"https://maps.gstatic.com/mapfiles/place_api/icons/v1/png_71/generic_business-71.png","id":null,"international_phone_number":"+1 949-756-1300","name":"Orange County Flight Center","place_id":"ChIJleRT-VXe3IARJ_sfY9kTwqM","rating":4.6,"reference":null,"reviews":[{"author_name":"Chasity Owens","author_url":"https://www.google.com/maps/contrib/102414617652572145716/reviews","language":"en","profile_photo_url":"https://lh3.googleusercontent.com/a-/AOh14Gj7_sOJH_oC9o4i_PF5Kvzai03y13Am2U3UCwWO=s128-c0x00000000-cc-rp-mo","rating":5,"relative_time_description":"a year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Coburn","author_url":"https://www.google.com/maps/contrib/109672351000270425235/reviews","language":"en","profile_photo_url":"https://lh3.googleusercontent.com/a-/AOh14GhcqexmTZJGRTxMANw-0JH-0YZOhQ2HreN9rVaOTw=s128-c0x00000000-cc-rp-mo","rating":5,"relative_time_description":"a year ago","text":"Barry (chief instructor) and Annie (manager) do a great job running this place.","time":1561805334},{"author_name":"mike lafirst","author_url":"https://www.google.com/maps/contrib/102452197565013749610/reviews","language":"en","profile_photo_url":"https://lh3.googleusercontent.com/a-/AOh14Gh7BmjevozCOr3L5T6yB7BfoR1DRG5AjDayUZCDAg=s128-c0x00000000-cc-rp-mo","rating":5,"relative_time_description":"2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far.","time":1532630760},{"author_name":"Joshua Ferrara","author_url":"https://www.google.com/maps/contrib/108818954392691325024/reviews","language":"en","profile_photo_url":"https://lh3.googleusercontent.com/-R9et22ST5_Y/AAAAAAAAAAI/AAAAAAAABS4/AMZuuckDea4nfvk2TPZ0ivUT_8SBwNc5aw/s128-c0x00000000-cc-rp-mo/photo.jpg","rating":5,"relative_time_description":"3 years ago","text":"Went here the other day to take a part 107 knowledge test and was treated very well. I'd definitely recommend them.","time":1516664398},{"author_name":"Jessie Padgett","author_url":"https://www.google.com/maps/contrib/111632077292702550303/reviews","language":"en","profile_photo_url":"https://lh3.googleusercontent.com/a-/AOh14GgZNFR95bVf_-5CYv6T7zJsBkik6sDre3zj9mdrEw=s128-c0x00000000-cc-rp-mo","rating":2,"relative_time_description":"3 years ago","text":"My friend had a bad experience with Robert / Rob Perez. Robert was very rarely on time for appointments, spent much of the time on his phone, and cancelled appointments often (many times while my friend was on his way to OCFC). Thankfully he is no longer with OCFC, and would give this place 5 stars if they vetted their instructors more thoroughly.","time":1513203857}],"types":["point_of_interest","establishment"],"url":"https://maps.google.com/?cid=11800015798055992103","utc_offset":-480,"vicinity":"19531 Campus Drive, Santa Ana","website":"https://www.ocfc.com/"},"status":"OK"}</t>
  </si>
  <si>
    <t>&lt;span class="street-address"&gt;19531 Campus Dr&lt;/span&gt;, &lt;span class="locality"&gt;Santa Ana&lt;/span&gt;, &lt;span class="region"&gt;CA&lt;/span&gt; &lt;span class="postal-code"&gt;92707-5207&lt;/span&gt;, &lt;span class="country-name"&gt;USA&lt;/span&gt;</t>
  </si>
  <si>
    <t>(949) 756-1300</t>
  </si>
  <si>
    <t>+1 949-756-1300</t>
  </si>
  <si>
    <t>19531 Campus Drive, Santa Ana</t>
  </si>
  <si>
    <t>https://www.ocfc.com/</t>
  </si>
  <si>
    <t>https://maps.googleapis.com/maps/api/place/findplacefromtext/json?input=%2B19498528850 &amp;inputtype=phonenumber&amp;fields=business_status,formatted_address,geometry,icon,name,permanently_closed,place_id,plus_code,types&amp;key=AIzaSyAUoR1hu32epmid_r-h7_AiXQWhNu3zr3U</t>
  </si>
  <si>
    <t>{"business_status":"OPERATIONAL","formatted_address":"19531 Campus Dr #7, Santa Ana, CA 92707, USA","geometry":{"location":{"lat":33.6662965,"lng":-117.8713826},"viewport":{"northeast":{"lat":33.6676164302915,"lng":-117.8699918697085},"southwest":{"lat":33.6649184697085,"lng":-117.8726898302915}}},"icon":"https://maps.gstatic.com/mapfiles/place_api/icons/v1/png_71/school-71.png","name":"Sunrise Aviation","place_id":"ChIJR-QprlXe3IARNPwW6ujMwto","plus_code":{"compound_code":"M48H+GC Santa Ana, CA, USA","global_code":"8554M48H+GC"},"types":["university","point_of_interest","establishment"]}</t>
  </si>
  <si>
    <t>Sunrise Aviation</t>
  </si>
  <si>
    <t>ChIJR-QprlXe3IARNPwW6ujMwto</t>
  </si>
  <si>
    <t>19531 Campus Dr #7, Santa Ana, CA 92707, USA</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</si>
  <si>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USA","formatted_phone_number":"(949) 852-8850","geometry":{"location":{"lat":33.6662965,"lng":-117.8713826},"viewport":{"northeast":{"lat":33.6676164302915,"lng":-117.8699918697085},"southwest":{"lat":33.6649184697085,"lng":-117.8726898302915}}},"icon":"https://maps.gstatic.com/mapfiles/place_api/icons/v1/png_71/school-71.png","id":null,"international_phone_number":"+1 949-852-8850","name":"Sunrise Aviation","place_id":"ChIJR-QprlXe3IARNPwW6ujMwto","rating":4.3,"reference":null,"reviews":[{"author_name":"Brian Ramos","author_url":"https://www.google.com/maps/contrib/104102582399882788945/reviews","language":"en","profile_photo_url":"https://lh3.googleusercontent.com/a-/AOh14Gj4ehG-wSaBYBxAMLaTdsRq7g_aKxtOF1nOoQOyZPs=s128-c0x00000000-cc-rp-mo-ba5","rating":1,"relative_time_description":"7 months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option.","time":1593701481},{"author_name":"J Hathaway","author_url":"https://www.google.com/maps/contrib/110109794817865912644/reviews","language":"en","profile_photo_url":"https://lh4.googleusercontent.com/-orrACrcDa5s/AAAAAAAAAAI/AAAAAAAAAtw/AMZuuckQgLyhhCacxF3rUCsz9Pl0DTJn-w/s128-c0x00000000-cc-rp-mo/photo.jpg","rating":5,"relative_time_description":"10 months ago","text":"I learned to fly at Sunrise back in 2006. Great flight school and aircraft rental company! I am forever grateful to the people here.","time":1585257608},{"author_name":"Hannah Neill","author_url":"https://www.google.com/maps/contrib/115467819598311161123/reviews","language":"en","profile_photo_url":"https://lh3.googleusercontent.com/a-/AOh14GiuXMkc2LY1YI3Bw1lzzGzPweZxUp1ntme4NbIpeQ=s128-c0x00000000-cc-rp-mo","rating":5,"relative_time_description":"a year ago","text":"I had a great experience with Sunrise. I came in for a short basic aerobatics course (4 lessons) with Bill, and found he excelled at teaching. He was calm and thorough, very easy to listen to while upside down. Linda Kay at the front desk has been very helpful and friendly with organizing my lessons. I got extensive ground training from Michael Church too, who kept me intrigued and interested the entire time through the lessons. If you're someone like me who loves to learn and wants to soak up as much information as possible, go here. I felt like any possible question I had about aerobatics could be answered. Michael has been a pilot since the 60's...and that experience is very, very evident. I learned a lot in two days!","time":1568055175},{"author_name":"Mark Abrahamson","author_url":"https://www.google.com/maps/contrib/102936331554849007621/reviews","language":"en","profile_photo_url":"https://lh3.googleusercontent.com/-XMQeFMhRCk0/AAAAAAAAAAI/AAAAAAAAAAA/AMZuucmp2w-UoUGDWjddlqckGR0eRI7zGQ/s128-c0x00000000-cc-rp-mo/photo.jpg","rating":5,"relative_time_description":"2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forever.","time":1448513240}],"types":["university","point_of_interest","establishment"],"url":"https://maps.google.com/?cid=15763386946482011188","utc_offset":-480,"vicinity":"19531 Campus Drive #7, Santa Ana","website":"http://www.sunriseaviation.com/"},"status":"OK"}</t>
  </si>
  <si>
    <t>&lt;span class="street-address"&gt;19531 Campus Dr #7&lt;/span&gt;, &lt;span class="locality"&gt;Santa Ana&lt;/span&gt;, &lt;span class="region"&gt;CA&lt;/span&gt; &lt;span class="postal-code"&gt;92707-5207&lt;/span&gt;, &lt;span class="country-name"&gt;USA&lt;/span&gt;</t>
  </si>
  <si>
    <t>(949) 852-8850</t>
  </si>
  <si>
    <t>+1 949-852-8850</t>
  </si>
  <si>
    <t>19531 Campus Drive #7, Santa Ana</t>
  </si>
  <si>
    <t>http://www.sunriseaviation.com/</t>
  </si>
  <si>
    <t>https://maps.googleapis.com/maps/api/place/findplacefromtext/json?input=%2B19494742900&amp;inputtype=phonenumber&amp;fields=business_status,formatted_address,geometry,icon,name,permanently_closed,place_id,plus_code,types&amp;key=AIzaSyAUoR1hu32epmid_r-h7_AiXQWhNu3zr3U</t>
  </si>
  <si>
    <t>{"business_status":"OPERATIONAL","formatted_address":"19301 Campus Dr STE 250, Santa Ana, CA 92707, USA","geometry":{"location":{"lat":33.6714948,"lng":-117.8667716},"viewport":{"northeast":{"lat":33.6727170302915,"lng":-117.8653415197085},"southwest":{"lat":33.6700190697085,"lng":-117.8680394802915}}},"icon":"https://maps.gstatic.com/mapfiles/place_api/icons/v1/png_71/generic_business-71.png","name":"Paragon Airways","place_id":"ChIJF38ywvne3IARyX6H24aiXeM","plus_code":{"compound_code":"M4CM+H7 Santa Ana, CA, USA","global_code":"8554M4CM+H7"},"types":["point_of_interest","establishment"]}</t>
  </si>
  <si>
    <t>Paragon Airways</t>
  </si>
  <si>
    <t>ChIJF38ywvne3IARyX6H24aiXeM</t>
  </si>
  <si>
    <t>19301 Campus Dr STE 250, Santa Ana, CA 92707, USA</t>
  </si>
  <si>
    <t>{"html_attributions":[],"result":{"address_components":[{"long_name":"STE 250","short_name":"STE 250","types":["subpremise"]},{"long_name":"19301","short_name":"19301","types":["street_number"]},{"long_name":"Campus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States","short_name":"US","types":["country","political"]},{"long_name":"92707","short_name":"92707","types":["postal_code"]},{"long_name":"5249","short_name":"5249","types":["postal_code_suffix"]}],"adr_address":"&lt;span class=\"street-address\"&gt;19301 Campus Dr STE 250&lt;/span&gt;, &lt;span class=\"locality\"&gt;Santa Ana&lt;/span&gt;, &lt;span class=\"region\"&gt;CA&lt;/span&gt; &lt;span class=\"postal-code\"&gt;92707-5249&lt;/span&gt;, &lt;span class=\"country-name\"&gt;USA&lt;/span&gt;","formatted_address":"19301 Campus Dr STE 250, Santa Ana, CA 92707, USA","formatted_phone_number":"(949) 474-2900","geometry":{"location":{"lat":33.6714948,"lng":-117.8667716},"viewport":{"northeast":{"lat":33.6727170302915,"lng":-117.8653415197085},"southwest":{"lat":33.6700190697085,"lng":-117.8680394802915}}},"icon":"https://maps.gstatic.com/mapfiles/place_api/icons/v1/png_71/generic_business-71.png","id":null,"international_phone_number":"+1 949-474-2900","name":"Paragon Airways","place_id":"ChIJF38ywvne3IARyX6H24aiXeM","rating":3.7,"reference":null,"reviews":[{"author_name":"Steve Cederquist","author_url":"https://www.google.com/maps/contrib/100977105456221345078/reviews","language":"en","profile_photo_url":"https://lh3.googleusercontent.com/a-/AOh14Giqd5Q-YK0RIKUme5F9S7nYOq8nKSnGahRXsLWdXYs=s128-c0x00000000-cc-rp-mo-ba4","rating":5,"relative_time_description":"2 years ago","text":"The most professional Private Aircraft company I've ever flown with.\n\nGreat job !!! 10 stars if I was able.","time":1520702454},{"author_name":"Victor Ward","author_url":"https://www.google.com/maps/contrib/106591648600610950859/reviews","language":"en","profile_photo_url":"https://lh3.googleusercontent.com/a-/AOh14Gg60ry4zucx0A8AB-TgefqDUJoA7sig8hOJ03BO=s128-c0x00000000-cc-rp-mo","rating":1,"relative_time_description":"a year ago","text":"This place was very rude and the lady lied to me about the paperwork. Then they told me I would have to wait on my money a few days to get a refund and they cancelled my flight. There excuse was our employee was misunderstood. Very poor customer service!","time":1567874850},{"author_name":"Laurie Rock","author_url":"https://www.google.com/maps/contrib/100722895179127869206/reviews","language":null,"profile_photo_url":"https://lh3.googleusercontent.com/a-/AOh14GiBMx0Slr7uSU2QTzoTHEw4tNNNoFDEma3XZie5jg=s128-c0x00000000-cc-rp-mo","rating":5,"relative_time_description":"a year ago","text":"","time":1578427328}],"types":["point_of_interest","establishment"],"url":"https://maps.google.com/?cid=16383429719536139977","utc_offset":-480,"vicinity":"19301 Campus Drive STE 250, Santa Ana","website":"http://www.paragonairways.com/"},"status":"OK"}</t>
  </si>
  <si>
    <t>&lt;span class="street-address"&gt;19301 Campus Dr STE 250&lt;/span&gt;, &lt;span class="locality"&gt;Santa Ana&lt;/span&gt;, &lt;span class="region"&gt;CA&lt;/span&gt; &lt;span class="postal-code"&gt;92707-5249&lt;/span&gt;, &lt;span class="country-name"&gt;USA&lt;/span&gt;</t>
  </si>
  <si>
    <t>(949) 474-2900</t>
  </si>
  <si>
    <t>+1 949-474-2900</t>
  </si>
  <si>
    <t>19301 Campus Drive STE 250, Santa Ana</t>
  </si>
  <si>
    <t>http://www.paragonairways.com/</t>
  </si>
  <si>
    <t>https://maps.googleapis.com/maps/api/place/findplacefromtext/json?input=%2B19492501359&amp;inputtype=phonenumber&amp;fields=business_status,formatted_address,geometry,icon,name,permanently_closed,place_id,plus_code,types&amp;key=AIzaSyAUoR1hu32epmid_r-h7_AiXQWhNu3zr3U</t>
  </si>
  <si>
    <t>{"business_status":"OPERATIONAL","formatted_address":"19301 Campus Dr #202, Santa Ana, CA 92707, USA","geometry":{"location":{"lat":33.6714948,"lng":-117.8667716},"viewport":{"northeast":{"lat":33.6727170302915,"lng":-117.8653415197085},"southwest":{"lat":33.6700190697085,"lng":-117.8680394802915}}},"icon":"https://maps.gstatic.com/mapfiles/place_api/icons/v1/png_71/generic_business-71.png","name":"Mira Vista Aviation","place_id":"ChIJ3TgV5_ne3IARgFF3-ssjEJc","plus_code":{"compound_code":"M4CM+H7 Santa Ana, CA, USA","global_code":"8554M4CM+H7"},"types":["point_of_interest","establishment"]}</t>
  </si>
  <si>
    <t>Mira Vista Aviation</t>
  </si>
  <si>
    <t>ChIJ3TgV5_ne3IARgFF3-ssjEJc</t>
  </si>
  <si>
    <t>19301 Campus Dr #202, Santa Ana, CA 92707, USA</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</si>
  <si>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33.6727170302915,"lng":-117.8653415197085},"southwest":{"lat":33.6700190697085,"lng":-117.8680394802915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Lindsey","author_url":"https://www.google.com/maps/contrib/114209130151154500940/reviews","language":"en","profile_photo_url":"https://lh3.googleusercontent.com/a-/AOh14Gi_fvE3GSAO4epnt_aKizTnbl29mW_OGyiGadftvg=s128-c0x00000000-cc-rp-mo","rating":5,"relative_time_description":"a year ago","text":"It’s the only company I fly with when I fly private.","time":1553637603}],"types":["point_of_interest","establishment"],"url":"https://maps.google.com/?cid=10885239658341945728","utc_offset":-480,"vicinity":"19301 Campus Drive #202, Santa Ana","website":"http://www.mvjet.com/"},"status":"OK"}</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</si>
  <si>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</si>
  <si>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</si>
  <si>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</si>
  <si>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http://www.mvjet.com/</t>
  </si>
  <si>
    <t>https://maps.googleapis.com/maps/api/place/findplacefromtext/json?input=%2B19498510966&amp;inputtype=phonenumber&amp;fields=business_status,formatted_address,geometry,icon,name,permanently_closed,place_id,plus_code,types&amp;key=AIzaSyAUoR1hu32epmid_r-h7_AiXQWhNu3zr3U</t>
  </si>
  <si>
    <t>{"business_status":"OPERATIONAL","formatted_address":"19301 Campus Dr, Santa Ana, CA 92707, USA","geometry":{"location":{"lat":33.6707521,"lng":-117.8660132},"viewport":{"northeast":{"lat":33.67213888029149,"lng":-117.8647033197085},"southwest":{"lat":33.66944091970849,"lng":-117.8674012802915}}},"icon":"https://maps.gstatic.com/mapfiles/place_api/icons/v1/png_71/generic_business-71.png","name":"Regency Air LLC","place_id":"ChIJF38ywvne3IAR1NQZ5mHXH14","plus_code":{"compound_code":"M4CM+8H Santa Ana, CA, USA","global_code":"8554M4CM+8H"},"types":["point_of_interest","establishment"]}</t>
  </si>
  <si>
    <t>Regency Air LLC</t>
  </si>
  <si>
    <t>ChIJF38ywvne3IAR1NQZ5mHXH14</t>
  </si>
  <si>
    <t>19301 Campus Dr, Santa Ana, CA 92707, USA</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</si>
  <si>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33.6707521,"lng":-117.8660132},"viewport":{"northeast":{"lat":33.67213888029149,"lng":-117.8647033197085},"southwest":{"lat":33.66944091970849,"lng":-117.8674012802915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LLC","place_id":"ChIJF38ywvne3IAR1NQZ5mHXH14","rating":null,"reference":null,"reviews":null,"types":["point_of_interest","establishment"],"url":"https://maps.google.com/?cid=6782376379315508436","utc_offset":-480,"vicinity":"19301 Campus Drive, Santa Ana","website":"https://regencyair.com/"},"status":"OK"}</t>
  </si>
  <si>
    <t>&lt;span class="street-address"&gt;19301 Campus Dr&lt;/span&gt;, &lt;span class="locality"&gt;Santa Ana&lt;/span&gt;, &lt;span class="region"&gt;CA&lt;/span&gt; &lt;span class="postal-code"&gt;92707-5235&lt;/span&gt;, &lt;span class="country-name"&gt;USA&lt;/span&gt;</t>
  </si>
  <si>
    <t>+1 949-851-0966</t>
  </si>
  <si>
    <t>19301 Campus Drive, Santa Ana</t>
  </si>
  <si>
    <t>https://regencyair.com/</t>
  </si>
  <si>
    <t>https://maps.googleapis.com/maps/api/place/findplacefromtext/json?input=%2B19498528340&amp;inputtype=phonenumber&amp;fields=business_status,formatted_address,geometry,icon,name,permanently_closed,place_id,plus_code,types&amp;key=AIzaSyAUoR1hu32epmid_r-h7_AiXQWhNu3zr3U</t>
  </si>
  <si>
    <t>{"business_status":"OPERATIONAL","formatted_address":"19711 Campus Dr #200, Santa Ana, CA 92707, USA","geometry":{"location":{"lat":33.6655526,"lng":-117.8726473},"viewport":{"northeast":{"lat":33.6668591302915,"lng":-117.8713392197085},"southwest":{"lat":33.6641611697085,"lng":-117.8740371802915}}},"icon":"https://maps.gstatic.com/mapfiles/place_api/icons/v1/png_71/generic_business-71.png","name":"West Coast Aviation Services","place_id":"ChIJGbFp-VXe3IARMwvV_LzfeBU","plus_code":{"compound_code":"M48G+6W Santa Ana, CA, USA","global_code":"8554M48G+6W"},"types":["point_of_interest","establishment"]}</t>
  </si>
  <si>
    <t>ChIJGbFp-VXe3IARMwvV_LzfeBU</t>
  </si>
  <si>
    <t>19711 Campus Dr #200, Santa Ana, CA 92707, USA</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</si>
  <si>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Durant","author_url":"https://www.google.com/maps/contrib/105091497252124928074/reviews","language":"en","profile_photo_url":"https://lh3.googleusercontent.com/a-/AOh14Gi2hFvGpijU8Zx7TbQE6AkA5E804uqsUdEL57Fi=s128-c0x00000000-cc-rp-mo","rating":5,"relative_time_description":"3 weeks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ago","text":"Great","time":1478488725},{"author_name":"Chuck Henry","author_url":"https://www.google.com/maps/contrib/105833502623602204216/reviews","language":null,"profile_photo_url":"https://lh3.googleusercontent.com/a-/AOh14GgL_vq59VOyeOb4-PTM98xb6JPELFm0WdqmF9OM=s128-c0x00000000-cc-rp-mo","rating":4,"relative_time_description":"4 years ago","text":"","time":1472095803},{"author_name":"Bryan Treser","author_url":"https://www.google.com/maps/contrib/102521466933322169075/reviews","language":null,"profile_photo_url":"https://lh4.googleusercontent.com/-ubMWjKoFSq4/AAAAAAAAAAI/AAAAAAAAAAA/AMZuuckqiEJQfrr3mmTutEUmbwWfGq8JTQ/s128-c0x00000000-cc-rp-mo-ba2/photo.jpg","rating":5,"relative_time_description":"a year ago","text":"","time":1554591962},{"author_name":"Patrick Standel","author_url":"https://www.google.com/maps/contrib/108225162798382234400/reviews","language":null,"profile_photo_url":"https://lh3.googleusercontent.com/a-/AOh14GjXIhcoAAAs9glyXw007mSEVo5OlPFb4CDyC0Wf7Q=s128-c0x00000000-cc-rp-mo","rating":5,"relative_time_description":"a year ago","text":"","time":1579033931}],"types":["point_of_interest","establishment"],"url":"https://maps.google.com/?cid=1547232474790431539","utc_offset":-480,"vicinity":"19711 Campus Drive #200, Santa Ana","website":"http://www.wcas.aero/"},"status":"OK"}</t>
  </si>
  <si>
    <t>&lt;span class="street-address"&gt;19711 Campus Dr #200&lt;/span&gt;, &lt;span class="locality"&gt;Santa Ana&lt;/span&gt;, &lt;span class="region"&gt;CA&lt;/span&gt; &lt;span class="postal-code"&gt;92707&lt;/span&gt;, &lt;span class="country-name"&gt;USA&lt;/span&gt;</t>
  </si>
  <si>
    <t>+1 949-852-8340</t>
  </si>
  <si>
    <t>19711 Campus Drive #200, Santa Ana</t>
  </si>
  <si>
    <t>http://www.wcas.aero/</t>
  </si>
  <si>
    <t>https://maps.googleapis.com/maps/api/place/findplacefromtext/json?input=MARTIN%20AVIATION%20L%20P%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</si>
  <si>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Rd, Santa Ana, CA 92707, United States","geometry":{"location":{"lat":33.6742286,"lng":-117.8728233},"viewport":{"northeast":{"lat":33.67557842989272,"lng":-117.8714734701073},"southwest":{"lat":33.67287877010727,"lng":-117.8741731298928}}},"icon":"https://maps.gstatic.com/mapfiles/place_api/icons/v1/png_71/generic_business-71.png","name":"Martin Aviation","place_id":"ChIJ2bOHhPze3IARqpe_AkG6kcw","plus_code":{"compound_code":"M4FG+MV Santa Ana, California","global_code":"8554M4FG+MV"},"types":["point_of_interest","store","establishment"]}</t>
  </si>
  <si>
    <t>Martin Aviation</t>
  </si>
  <si>
    <t>ChIJ2bOHhPze3IARqpe_AkG6kcw</t>
  </si>
  <si>
    <t>19300 Ike Jones Rd, Santa Ana, CA 92707, United States</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</si>
  <si>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33.6755775802915,"lng":-117.8714743197085},"southwest":{"lat":33.6728796197085,"lng":-117.8741722802915}}},"icon":"https://maps.gstatic.com/mapfiles/place_api/icons/v1/png_71/generic_business-71.png","id":null,"international_phone_number":"+1 714-210-2945","name":"Martin Aviation","place_id":"ChIJ2bOHhPze3IARqpe_AkG6kcw","rating":4.8,"reference":null,"reviews":[{"author_name":"G Moore","author_url":"https://www.google.com/maps/contrib/110601544393790581752/reviews","language":"en","profile_photo_url":"https://lh4.googleusercontent.com/-Aj4vwX314ZM/AAAAAAAAAAI/AAAAAAAAAAA/AMZuucmEjT3iJS9yAv4JbLKNaaSpGy8Kjw/s128-c0x00000000-cc-rp-mo/photo.jpg","rating":5,"relative_time_description":"a week ago","text":"Excellent museum of period aircraft, cars, motorcycles, and other displays.  Good signage, history, nice people.  Can get quite close to displays. Good views of active runways as well.","time":1612739116},{"author_name":"John Ferrari","author_url":"https://www.google.com/maps/contrib/104528263436352997791/reviews","language":"en","profile_photo_url":"https://lh5.googleusercontent.com/-fEe60m9C3nY/AAAAAAAAAAI/AAAAAAAAAAA/AMZuucmRnNFlLGZ3ws1EFbtOa5JhM3Fe5A/s128-c0x00000000-cc-rp-mo/photo.jpg","rating":5,"relative_time_description":"in the last week","text":"This is an incredible museum! Skip the docent gave us an incredible one on one tour. He is very knowledgeable and informative. Thank you Skip!","time":1613461858},{"author_name":"Hap Wood","author_url":"https://www.google.com/maps/contrib/115688186835760200149/reviews","language":"en","profile_photo_url":"https://lh6.googleusercontent.com/-tE9O-cSo9kE/AAAAAAAAAAI/AAAAAAAAAAA/AMZuucmpyEXdgbl1hkS5aozKhgJUfedCWw/s128-c0x00000000-cc-rp-mo/photo.jpg","rating":5,"relative_time_description":"a week ago","text":"Wonderful tour with David Speakman of the World War II aircraft and capital a n d motorcycles and the incredible vintage vehicles.  At the end opportunity for photo in front of aircraft.","time":1612715976},{"author_name":"Shawn Willis","author_url":"https://www.google.com/maps/contrib/104351443108705072870/reviews","language":"en","profile_photo_url":"https://lh3.googleusercontent.com/a-/AOh14Gj3EE7jEVWlwo_NIUtPLdanYblhPohkt_uW1mchFNQ=s128-c0x00000000-cc-rp-mo-ba3","rating":5,"relative_time_description":"3 months ago","text":"Great little museum. Theve got some really neat stuff. You can get around the whole place pretty quick, but the docents always have fun stories and the items change as well.","time":1605044868},{"author_name":"Daner Reider","author_url":"https://www.google.com/maps/contrib/111792364258352298927/reviews","language":"en","profile_photo_url":"https://lh4.googleusercontent.com/-whxjfoECiws/AAAAAAAAAAI/AAAAAAAAAAA/AMZuuclQ0DFlSde7d1Rk8KWNfTdUZJyD9Q/s128-c0x00000000-cc-rp-mo/photo.jpg","rating":5,"relative_time_description":"5 months ago","text":"Multiple visits to Lyon Air Museum.\nNever disappointed as it is a very patriotic environment with working airplanes from WW Ii as well as very informative exhibits.\nHave had my grandsons there and will definitely visit again.","time":1600545143}],"types":["point_of_interest","store","establishment"],"url":"https://maps.google.com/?cid=14740767843742095274","utc_offset":-480,"vicinity":"19300 Ike Jones Road, Santa Ana","website":"http://martin-aviation.com/"},"status":"OK"}</t>
  </si>
  <si>
    <t>&lt;span class="street-address"&gt;19300 Ike Jones Rd&lt;/span&gt;, &lt;span class="locality"&gt;Santa Ana&lt;/span&gt;, &lt;span class="region"&gt;CA&lt;/span&gt; &lt;span class="postal-code"&gt;92707&lt;/span&gt;, &lt;span class="country-name"&gt;USA&lt;/span&gt;</t>
  </si>
  <si>
    <t>(714) 210-2945</t>
  </si>
  <si>
    <t>+1 714-210-2945</t>
  </si>
  <si>
    <t>19300 Ike Jones Road, Santa Ana</t>
  </si>
  <si>
    <t>http://martin-aviation.com/</t>
  </si>
  <si>
    <t>https://maps.googleapis.com/maps/api/place/findplacefromtext/json?input=AMERICAN%20AIRCRAFT%20MAINTENANCE%20INC%2019711-B%20CAMPUS%20DRIVE%20%20SANTA%20ANA%20CA%2092707&amp;key=AIzaSyAUoR1hu32epmid_r-h7_AiXQWhNu3zr3U&amp;inputtype=textquery&amp;fields=business_status,formatted_address,geometry,icon,name,permanently_closed,place_id,plus_code,types</t>
  </si>
  <si>
    <t>{"business_status":"OPERATIONAL","formatted_address":"19711 Campus Dr B, Santa Ana, CA 92707, United States","geometry":{"location":{"lat":33.6660928,"lng":-117.8718956},"viewport":{"northeast":{"lat":33.66715172989272,"lng":-117.8709949701073},"southwest":{"lat":33.66445207010728,"lng":-117.8736946298927}}},"icon":"https://maps.gstatic.com/mapfiles/place_api/icons/v1/png_71/shopping-71.png","name":"American Aircraft Maintenance","place_id":"ChIJleRT-VXe3IARZBkYFIAkDJo","plus_code":{"compound_code":"M48H+C6 Santa Ana, California","global_code":"8554M48H+C6"},"types":["point_of_interest","store","establishment"]}</t>
  </si>
  <si>
    <t>American Aircraft Maintenance</t>
  </si>
  <si>
    <t>ChIJleRT-VXe3IARZBkYFIAkDJo</t>
  </si>
  <si>
    <t>19711 Campus Dr B, Santa Ana, CA 92707, United States</t>
  </si>
  <si>
    <t>{"html_attributions":[],"result":{"address_components":[{"long_name":"B","short_name":"B","types":["subpremise"]},{"long_name":"19711","short_name":"19711","types":["street_number"]},{"long_name":"Campus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B&lt;/span&gt;, &lt;span class=\"locality\"&gt;Santa Ana&lt;/span&gt;, &lt;span class=\"region\"&gt;CA&lt;/span&gt; &lt;span class=\"postal-code\"&gt;92707-5203&lt;/span&gt;, &lt;span class=\"country-name\"&gt;USA&lt;/span&gt;","formatted_address":"19711 Campus Dr B, Santa Ana, CA 92707, USA","formatted_phone_number":"(949) 852-8420","geometry":{"location":{"lat":33.6660928,"lng":-117.8718956},"viewport":{"northeast":{"lat":33.6671508802915,"lng":-117.8709958197085},"southwest":{"lat":33.6644529197085,"lng":-117.8736937802915}}},"icon":"https://maps.gstatic.com/mapfiles/place_api/icons/v1/png_71/shopping-71.png","id":null,"international_phone_number":"+1 949-852-8420","name":"American Aircraft Maintenance","place_id":"ChIJleRT-VXe3IARZBkYFIAkDJo","rating":3.9,"reference":null,"reviews":[{"author_name":"Daniel Crawford","author_url":"https://www.google.com/maps/contrib/114901068946943424666/reviews","language":"en","profile_photo_url":"https://lh3.googleusercontent.com/a-/AOh14GgWibGzkr8NOrIQd4SK4qgvHpqVhtmdIPYBh4cr1wI=s128-c0x00000000-cc-rp-mo","rating":5,"relative_time_description":"8 months ago","text":"Have had our aircraft serviced here multiple times with great results. Management goes above and beyond to help satisfy their customers. Also, take that one star review with a grain of salt, reviewer has three reviews and they are almost identical.","time":1591650367},{"author_name":"S Stone","author_url":"https://www.google.com/maps/contrib/114134422321841543364/reviews","language":"en","profile_photo_url":"https://lh3.googleusercontent.com/a-/AOh14GhpmoUHtKGRjTHSQ6B1-_fp0JHkfYzcpbw3ly1P=s128-c0x00000000-cc-rp-mo","rating":5,"relative_time_description":"7 months ago","text":"Way to go AAM, keep the good works and professional service! Can’t be more happier with my PA-28’s pre buy inspection. Life saver! Trustworthy company! Highly recommend!","time":1594383145},{"author_name":"Wayne Harris","author_url":"https://www.google.com/maps/contrib/104572788944624718384/reviews","language":"en","profile_photo_url":"https://lh3.googleusercontent.com/a-/AOh14GjIGuuz68MENOHcUKabWoABtvcqMXJYVXobyHfT=s128-c0x00000000-cc-rp-mo","rating":1,"relative_time_description":"3 months ago","text":"We supplied parts to American Aircraft Maintenance requesting payment in full upon delivery.  This was over two months ago.  We get the run around every time we call.  One balk at payment was  an NSF check.  If this company is not honorable enough to pay their debts...can you trust them with you aircraft?","time":1605055712},{"author_name":"Love Planes","author_url":"https://www.google.com/maps/contrib/105916675593298608716/reviews","language":"en","profile_photo_url":"https://lh3.googleusercontent.com/a-/AOh14Gh9CFZvyGwZsqccNHPLH-T7GJV7oAECv-MsWEkoug=s128-c0x00000000-cc-rp-mo","rating":5,"relative_time_description":"7 months ago","text":"I have been AAM’s customer since 2010, they always take good care of me and my little 172. Good folks and reliable, I am a huge fun AAM!","time":1594381565},{"author_name":"Mike Dealin","author_url":"https://www.google.com/maps/contrib/107329105879570503799/reviews","language":"en","profile_photo_url":"https://lh5.googleusercontent.com/-aZ1VfcJnp9U/AAAAAAAAAAI/AAAAAAAAAAA/AMZuucmAj4btI8EqCM7ZA6rvxr2B0jLAsQ/s128-c0x00000000-cc-rp-mo/photo.jpg","rating":1,"relative_time_description":"10 months ago","text":"This is the most incompetent group of business people and mechanics you will ever come across. The main person in charge Lina is a criminal. Lina will manipulate and fraudulently misrepresent repairs and costs. We trusted AAM to work on our Bonanza and what should have taken 2-3 weeks took them 5 months.  We are in the midst of a 6 figure lawsuit for damages.\n\nFrom our research, we are one of several clients who have filed claims or complaints against this group. Please do not waste your money, time, and energy and find another mechanic.\n\nSincerely,\n\nMichael D.","time":1586466313}],"types":["point_of_interest","store","establishment"],"url":"https://maps.google.com/?cid=11100287314072967524","utc_offset":-480,"vicinity":"19711 Campus Drive B, Santa Ana","website":"http://aviation4s.com/"},"status":"OK"}</t>
  </si>
  <si>
    <t>&lt;span class="street-address"&gt;19711 Campus Dr B&lt;/span&gt;, &lt;span class="locality"&gt;Santa Ana&lt;/span&gt;, &lt;span class="region"&gt;CA&lt;/span&gt; &lt;span class="postal-code"&gt;92707-5203&lt;/span&gt;, &lt;span class="country-name"&gt;USA&lt;/span&gt;</t>
  </si>
  <si>
    <t>(949) 852-8420</t>
  </si>
  <si>
    <t>+1 949-852-8420</t>
  </si>
  <si>
    <t>19711 Campus Drive B, Santa Ana</t>
  </si>
  <si>
    <t>http://aviation4s.com/</t>
  </si>
  <si>
    <t>https://maps.googleapis.com/maps/api/place/findplacefromtext/json?input=LEADING%20EDGE%20AVIONICS%20INC%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</si>
  <si>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Dr, Santa Ana, CA 92707, United States","geometry":{"location":{"lat":33.6744828,"lng":-117.8724982},"viewport":{"northeast":{"lat":33.67540347989272,"lng":-117.8716465701073},"southwest":{"lat":33.67270382010727,"lng":-117.8743462298927}}},"icon":"https://maps.gstatic.com/mapfiles/place_api/icons/v1/png_71/generic_business-71.png","name":"Leading Edge Avionics","place_id":"ChIJGbFp-VXe3IARIg2BYY8oryU","plus_code":{"compound_code":"M4FH+Q2 Santa Ana, California","global_code":"8554M4FH+Q2"},"types":["point_of_interest","establishment"]}</t>
  </si>
  <si>
    <t>Leading Edge Avionics</t>
  </si>
  <si>
    <t>ChIJGbFp-VXe3IARIg2BYY8oryU</t>
  </si>
  <si>
    <t>19300 Ike Jones Dr, Santa Ana, CA 92707, United States</t>
  </si>
  <si>
    <t>{"html_attributions":[],"result":{"address_components":[{"long_name":"19300","short_name":"19300","types":["street_number"]},{"long_name":"Ike Jones Drive","short_name":"Ike Jones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Dr&lt;/span&gt;, &lt;span class=\"locality\"&gt;Santa Ana&lt;/span&gt;, &lt;span class=\"region\"&gt;CA&lt;/span&gt; &lt;span class=\"postal-code\"&gt;92707&lt;/span&gt;, &lt;span class=\"country-name\"&gt;USA&lt;/span&gt;","formatted_address":"19300 Ike Jones Dr, Santa Ana, CA 92707, USA","formatted_phone_number":"(714) 955-6151","geometry":{"location":{"lat":33.6744828,"lng":-117.8724982},"viewport":{"northeast":{"lat":33.67540263029149,"lng":-117.8716474197085},"southwest":{"lat":33.67270466970849,"lng":-117.8743453802915}}},"icon":"https://maps.gstatic.com/mapfiles/place_api/icons/v1/png_71/generic_business-71.png","id":null,"international_phone_number":"+1 714-955-6151","name":"Leading Edge Avionics","place_id":"ChIJGbFp-VXe3IARIg2BYY8oryU","rating":3.2,"reference":null,"reviews":[{"author_name":"Mike Manclark","author_url":"https://www.google.com/maps/contrib/105107687896841742069/reviews","language":"en","profile_photo_url":"https://lh3.googleusercontent.com/a-/AOh14GgeqwXl9w6jTbEpARdKZAaOlyLlp3kPlRUV9Ah4G8k=s128-c0x00000000-cc-rp-mo-ba4","rating":5,"relative_time_description":"2 years ago","text":"They have done over 7 aircraft for me and have done a great job!! The staff is highly experienced and professional","time":1543622255},{"author_name":"D P","author_url":"https://www.google.com/maps/contrib/107668208424852071383/reviews","language":"en","profile_photo_url":"https://lh3.googleusercontent.com/a-/AOh14GiJCNP28IhuXXu3-P0q286soxLBnj64LBLznPEM=s128-c0x00000000-cc-rp-mo","rating":1,"relative_time_description":"2 years ago","text":"Although I was told by three other pilots not to use Leading Edge Avionics. Because the price you get is always inflated some how at the end. I told them I’ve worked with Scott Gregory before and had a good experience. Well they were right Scott Promises things he can’t even remember. I was trading in my 430 transponder and he was going to give me $4000 each I thought! I told him two other shops we’re going to give me $5000 each and the other one $6000 each for trade in. I had two transponders. Well Scott changed his trade in value to $5500. I thought that was fair and we continued on doing the work.  I bought a JPI 960, Garman 750, Garman 650, Garman audio panel GMA 35C remote, Garman G5, Garman GTX 345R and a JPI EDM 960 with fuel flow. We agreed that my mechanic would do ahead and hook up the probes and calibrate the fuel for the JPI. Well Scott filled out the paperwork wrong for JPI, That cost me 10 hours of my mechanics time to correct the problem. But leading edge will not stand behind their mistakes. To my surprise when I got my bill Scott took avantage of me and only give me $2750 per transponder. Every time I tried to bring this up to Scott he skirts around me and had Maggie call me from accounting. I was told that the owner Katherine said “We cannot do any more adjustments on invoices since we are way over on the job hour and it’ll just have to be the way it came out” I’m sure the job went way over because of the mistakes that were made by Scott and Leading Edge. One of the mistakes could’ve been deadly, when they tried to stack The right and left engine JPI warning gages on top of each other. I called the manufacture JPI and they said there is no way that they sould do that it is not safe. those of you that Fly twins know we want to identify the out engine immediately. By the way after three months my airplane is still not complete. If you really feel you’re still going to use these jokers after this asked for Zack he seems to know his stuff and Tim and Mike who are great avionic mechanics, they must shake their head daily dealing with Scott. I’m sure Scott would be fired if he was not 10% owner","time":1538259388},{"author_name":"David Klasing Esq CPA","author_url":"https://www.google.com/maps/contrib/106224261089439233663/reviews","language":"en","profile_photo_url":"https://lh3.googleusercontent.com/a-/AOh14GiwBR3GaEQLZ2nqbPOZwBODUQiZbjy-hu6TaLvSwg=s128-c0x00000000-cc-rp-mo","rating":5,"relative_time_description":"2 years ago","text":"I have been a loyal customer of first, Western Avionics and now, Leading Edge Avionics for about four years now.   They are extremely popular at John Wayne and almost always have a back log of current work. But… like any agency that is phenomenal at what they do…  Well worth the wait and do not disappoint.  I have had them perform all of my normal maintenance and have had them even make substantial improvements to my avionics.   Scott Gregory and his crew of loyal and talented and safety focused techs are always very interested in what my goals are for my avionics based on the missions I fly and the manner in which I want to fly them and safety is goal number one.    When I first went to see them I had steam gauges and a non WAAS Garmin 530.    I was going after my IFR rating and was absolutely paranoid about losing attitude information in IMC, CFIT, Mid Air Collisions, icing and a host of other gotcha’s.   I was intent upon making my airplane and myself as a pilot as safe as possible.    To that end Scott recommended an Upgrade of my 530 so it was WAAS certified.   With that he recommended a GDL 88, Flight Stream 210 and a few other modifications.   The end result is that I had the ability of syncing my IPAD through foreflight to the Garmin 530 with handy features like rubber banking around a storm cell,  real time weather products, Collision Alerts,  Terrain Alerts, TFR alerts, Synthetic Vision, ADS B in and out and auto uploading of my flight plan to the Garmin 530 which saves hours of tedious knob turning.\n\nIn my next round of upgrades I had this phenomenal outfit install a Garmin GFC 500 autopilot.   The system is absolutely incredible.   I now have a fully slaved Magnetometer driven HSI and a backup attitude indicator that functions as a fully redundant AHRS via two Garmin G5’s.  The installation took longer than expected because of unforeseen installation challenges endured by Leading Edge.   They kept their verbal promise of a cap on labor for the installation that contractually they did not have to honor.   The installation led to a few unforeseen squawks in my avionics and they were Johnny on the spot with making the necessary repairs in the debugging stage after the installation.\n\nMy plane on autopilot feels just as smooth as a 737.  The system is absolutely incredible and the auto leveling capability, ESP and overspeed and under speed protection makes single pilot IFR so much more doable.   Shooting fully coupled approaches could not be easier and frankly the autopilot flies the plane much more accurately than I have ever been able to on my own.\n\nOverall – I highly recommend this company.  They are experts at what they do, honest, reliable and stand behind their work product.  Their expertise in the industry is unsurpassed and if you have to wait for them…  They are well worth the wait.    Additionally they are not the cheapest folks in the game but I’m a firm believer in you get what you pay for.    Their manager, Tim Jones, kept me well informed during the install and they went above the call of duty to make sure I was totally satisfied.  I was welcome to drop by and take a look at their progress without advanced notice at will.  I was always made to feel welcome and they answered all of my questions without hesitation.\n\nP.S. Just this morning I was met at my plane by a tech named Mike from leading edge at 6:30 in the morning that states he had been there since 4:30 AM making sure my plane was safe for this morning’s IFR trip out to Bakersfield and back…  Absolutely above and beyond.   He was there testing that the few squawk’s I had regarding my autopilot install were fixed to my satisfaction.  He wanted to test that my second radio could be read 5/5 by the tower and that it had tested just fine on his hand held.  He stated “this is not special treatment – we are this contentious with all our customers…  Amazing\n\nDave Klasing Esq. M.S.-Tax CPA","time":1530301023},{"author_name":"Mark McDonald","author_url":"https://www.google.com/maps/contrib/107169362511544518615/reviews","language":"en","profile_photo_url":"https://lh3.googleusercontent.com/a-/AOh14Ggf8pq_fG7s3VQTZfYy9dsyMk9AT8zgXavCwLZ9-Zk=s128-c0x00000000-cc-rp-mo","rating":1,"relative_time_description":"3 years ago","text":"I hired this company to install 2 used MX300 Nav/Coms, a glideslope indicator and a glideslope receiver in a 1976 Cessna 172. Their quote for the complete install job was $5000.  Some of the equipment i provided needed repair before it could be installed, something that added about $1000 to the job.  No problem.  However, my final invoice was a staggering $8823.21.  The $5000 estimate for labor to install the equipment jumped to $7628.21 with absolutely no explanation for the jump in labor of $2628.21 (21 unaccounted for labor hours).  The total install time was an amazing 59 hours!  I never gave approval for all of the extra, and still unexplained labor hours.  I simply received the final invoice and it was promptly charged to my card.   By law, automotive repair facilities can not deviate from an estimate without customer's prior approval.  I am confident the rules are the same for avionics shops.\nLeading Edge never notified my of a need for 21 extra hours of labor at $125/hr. before performing it.  So, if you get a quote for work, expect your final bill to be more then 50% higher than the estimate, and with no advance notice.  Be very careful.","time":1509812159},{"author_name":"Jason Schmitz","author_url":"https://www.google.com/maps/contrib/103516071614816656819/reviews","language":"en","profile_photo_url":"https://lh3.googleusercontent.com/a-/AOh14GimZdxKhpeq30pr5Ls4aqXDsWouK04sgNC3SXAb=s128-c0x00000000-cc-rp-mo-ba5","rating":4,"relative_time_description":"4 years ago","text":"Good location.","time":1462800989}],"types":["point_of_interest","establishment"],"url":"https://maps.google.com/?cid=2715433696608980258","utc_offset":-480,"vicinity":"19300 Ike Jones Drive, Santa Ana","website":"http://www.leavionics.com/"},"status":"OK"}</t>
  </si>
  <si>
    <t>&lt;span class="street-address"&gt;19300 Ike Jones Dr&lt;/span&gt;, &lt;span class="locality"&gt;Santa Ana&lt;/span&gt;, &lt;span class="region"&gt;CA&lt;/span&gt; &lt;span class="postal-code"&gt;92707&lt;/span&gt;, &lt;span class="country-name"&gt;USA&lt;/span&gt;</t>
  </si>
  <si>
    <t>(714) 955-6151</t>
  </si>
  <si>
    <t>+1 714-955-6151</t>
  </si>
  <si>
    <t>19300 Ike Jones Drive, Santa Ana</t>
  </si>
  <si>
    <t>http://www.leavionics.com/</t>
  </si>
  <si>
    <t>https://maps.googleapis.com/maps/api/place/findplacefromtext/json?input=KIM%20DAVIDSON%20AVIATION%20INC%202701%20AIRPORT%20AVE.%20%20SANTA%20MONICA%20CA%2090405&amp;key=AIzaSyAUoR1hu32epmid_r-h7_AiXQWhNu3zr3U&amp;inputtype=textquery&amp;fields=business_status,formatted_address,geometry,icon,name,permanently_closed,place_id,plus_code,types</t>
  </si>
  <si>
    <t>{"business_status":"OPERATIONAL","formatted_address":"2701 Airport Ave, Santa Monica, CA 90405, United States","geometry":{"location":{"lat":34.0126431,"lng":-118.4522867},"viewport":{"northeast":{"lat":34.01392162989272,"lng":-118.4508689201073},"southwest":{"lat":34.01122197010728,"lng":-118.4535685798927}}},"icon":"https://maps.gstatic.com/mapfiles/place_api/icons/v1/png_71/generic_business-71.png","name":"Kim Davidson Aviation Inc","place_id":"ChIJZW1UbeO6woARUh3Ly28YaPw","plus_code":{"compound_code":"2G7X+33 Santa Monica, California","global_code":"85632G7X+33"},"types":["point_of_interest","establishment"]}</t>
  </si>
  <si>
    <t>Kim Davidson Aviation Inc</t>
  </si>
  <si>
    <t>ChIJZW1UbeO6woARUh3Ly28YaPw</t>
  </si>
  <si>
    <t>2701 Airport Ave, Santa Monica, CA 90405, United States</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</si>
  <si>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4.googleusercontent.com/-nKyMhDpfV8E/AAAAAAAAAAI/AAAAAAAAAAA/AMZuucmQ_SN7Kgn8eNanBnUJzbmBeFCitQ/s128-c0x00000000-cc-rp-mo/photo.jpg","rating":5,"relative_time_description":"2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a year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5.googleusercontent.com/-2iOragHacvY/AAAAAAAAAAI/AAAAAAAAAAA/AMZuuckxszQ2mPoZSQpS-trzglhc6vNINA/s128-c0x00000000-cc-rp-mo/photo.jpg","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6 months ago","text":"","time":1595806153}],"types":["point_of_interest","establishment"],"url":"https://maps.google.com/?cid=18187813963575270738","utc_offset":-480,"vicinity":"2701 Airport Avenue, Santa Monica","website":"http://www.kdasmo.com/"},"status":"OK"}</t>
  </si>
  <si>
    <t>&lt;span class="street-address"&gt;2701 Airport Ave&lt;/span&gt;, &lt;span class="locality"&gt;Santa Monica&lt;/span&gt;, &lt;span class="region"&gt;CA&lt;/span&gt; &lt;span class="postal-code"&gt;90405-6105&lt;/span&gt;, &lt;span class="country-name"&gt;USA&lt;/span&gt;</t>
  </si>
  <si>
    <t>(310) 391-6293</t>
  </si>
  <si>
    <t>+1 310-391-6293</t>
  </si>
  <si>
    <t>2701 Airport Avenue, Santa Monica</t>
  </si>
  <si>
    <t>http://www.kdasmo.com/</t>
  </si>
  <si>
    <t>https://maps.googleapis.com/maps/api/place/findplacefromtext/json?input=%2B18187878500 &amp;inputtype=phonenumber&amp;fields=business_status,formatted_address,geometry,icon,name,permanently_closed,place_id,plus_code,types&amp;key=AIzaSyAUoR1hu32epmid_r-h7_AiXQWhNu3zr3U</t>
  </si>
  <si>
    <t>{"business_status":"OPERATIONAL","formatted_address":"7240 Hayvenhurst Pl #247, Van Nuys, CA 91406, USA","geometry":{"location":{"lat":34.2040976,"lng":-118.4921482},"viewport":{"northeast":{"lat":34.2054461302915,"lng":-118.4909348197085},"southwest":{"lat":34.2027481697085,"lng":-118.4936327802915}}},"icon":"https://maps.gstatic.com/mapfiles/place_api/icons/v1/png_71/school-71.png","name":"Mach 1 Aviation","place_id":"ChIJdzAi__uZwoARfgDqdi1xJ9U","plus_code":{"compound_code":"6G35+J4 Van Nuys, Los Angeles, CA, USA","global_code":"85636G35+J4"},"types":["university","point_of_interest","establishment"]}</t>
  </si>
  <si>
    <t>Mach 1 Aviation</t>
  </si>
  <si>
    <t>ChIJdzAi__uZwoARfgDqdi1xJ9U</t>
  </si>
  <si>
    <t>7240 Hayvenhurst Pl #247, Van Nuys, CA 91406, USA</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</si>
  <si>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Aviation","place_id":"ChIJdzAi__uZwoARfgDqdi1xJ9U","rating":4.7,"reference":null,"reviews":[{"author_name":"dario miceli","author_url":"https://www.google.com/maps/contrib/100397630348529624493/reviews","language":"en","profile_photo_url":"https://lh4.googleusercontent.com/-4aUsKRNVRTo/AAAAAAAAAAI/AAAAAAAAAAA/AMZuucmAP9g46U3lo8CJSCirlLrfvXYUEQ/s128-c0x00000000-cc-rp-mo/photo.jpg","rating":5,"relative_time_description":"3 weeks ago","text":"Mach 1 Aviation is an amazing flight school. I flew with Kyle in the summer of 2020 and can't say enough good things. The instruction was professional, the planes were meticulously maintained and the front desk staff was kind and helpful. Highly recommended!","time":1611185767},{"author_name":"Charles Raffini","author_url":"https://www.google.com/maps/contrib/108612018659141943160/reviews","language":"en","profile_photo_url":"https://lh6.googleusercontent.com/-_huijrVLD88/AAAAAAAAAAI/AAAAAAAAAAA/AMZuucknYdWuYSqnc82HVnvChWW28WxdXg/s128-c0x00000000-cc-rp-mo/photo.jpg","rating":5,"relative_time_description":"7 months ago","text":"Have been lucky enough to get ratings at some of the best flight schools in the country (Riddle, Flight Safety) and Mach 1 meets, if not exceeds, the quality of instruction at these places. Their instructors (particular shout out to Alex) are remarkable and they have me on track and feeling good about my upcoming Commercial exams. Best fleet that I know of in the area - C152 up to to SR22, all very well maintained. Would recommend Mach 1 to anyone seeking to begin or continue their flight training.","time":1594698640},{"author_name":"Alejandro Victorero","author_url":"https://www.google.com/maps/contrib/108248262702406038293/reviews","language":"en","profile_photo_url":"https://lh3.googleusercontent.com/a-/AOh14Gjn5HPjFnoRl0fVEPqeApPV9JXZN5THmg2X0MDv_g=s128-c0x00000000-cc-rp-mo","rating":5,"relative_time_description":"2 months ago","text":"Mach 1 is everything you hope an elite flight school would be. Excellent service and treatment. Rigorously maintained aircraft which includes several Cirrus SR 20 / 22. Spotless installations. Truly great instructors. My personal experience has been much better than expected. My instructor, Anita, is extremely good, profesional and knowledgeable. You truly feel that they care about you learning things the right way and making you a safe and proficient pilot. Located at KVNY, you learn in a fast paced airport environment that prepares you to fly anywhere in the world. SoCal weather and sunsets make it the best location, period.","time":1607928225},{"author_name":"Andrew Gerberi","author_url":"https://www.google.com/maps/contrib/113259530702128611637/reviews","language":"en","profile_photo_url":"https://lh3.googleusercontent.com/a-/AOh14Gj6hTXG_YJQM_iMSABWgMAXj-bKXEVeOkfGtnU2EbU=s128-c0x00000000-cc-rp-mo","rating":5,"relative_time_description":"6 months ago","text":"Alex and the team at Mach 1 Aviation set a high standard for what a flight school and flight instruction should be. Well maintained aircraft, thorough instruction, and a great location make Mach 1 a perfect fit up at their home base in VNY. I look forward to continuing my pursuit of aviation with Mach 1 and highly recommend them for anyone either just getting started or further along in their pilot experience. Big shout out for their awesome Cirrus fleet!","time":1595773813},{"author_name":"Jason Kay","author_url":"https://www.google.com/maps/contrib/102343362030922413015/reviews","language":"en","profile_photo_url":"https://lh3.googleusercontent.com/a-/AOh14Gjw4yJisax5tc_6PBxS1L-BtvIgSgmfXhnFANr-OA=s128-c0x00000000-cc-rp-mo","rating":5,"relative_time_description":"6 years ago","text":"I have been flying with Mach 1 since their inception. The staff is always friendly, the instructors are top-notch and I love their aircraft! The online scheduling of aircraft and instructors is great too... Very user friendly. When taking passengers on flights, they always compliment on how professional and impressive the facility is as we walk to the plane.","time":1398962828}],"types":["university","point_of_interest","establishment"],"url":"https://maps.google.com/?cid=15359369494252879998","utc_offset":-480,"vicinity":"7240 Hayvenhurst Place #247, Van Nuys","website":"http://www.flymach1.com/"},"status":"OK"}</t>
  </si>
  <si>
    <t>&lt;span class="street-address"&gt;7240 Hayvenhurst Pl #247&lt;/span&gt;, &lt;span class="locality"&gt;Van Nuys&lt;/span&gt;, &lt;span class="region"&gt;CA&lt;/span&gt; &lt;span class="postal-code"&gt;91406&lt;/span&gt;, &lt;span class="country-name"&gt;USA&lt;/span&gt;</t>
  </si>
  <si>
    <t>(818) 787-8500</t>
  </si>
  <si>
    <t>+1 818-787-8500</t>
  </si>
  <si>
    <t>7240 Hayvenhurst Place #247, Van Nuys</t>
  </si>
  <si>
    <t>http://www.flymach1.com/</t>
  </si>
  <si>
    <t>https://maps.googleapis.com/maps/api/place/findplacefromtext/json?input=%2B18189897900&amp;inputtype=phonenumber&amp;fields=business_status,formatted_address,geometry,icon,name,permanently_closed,place_id,plus_code,types&amp;key=AIzaSyAUoR1hu32epmid_r-h7_AiXQWhNu3zr3U</t>
  </si>
  <si>
    <t>{"business_status":"OPERATIONAL","formatted_address":"7120 Hayvenhurst Ave # 309, Van Nuys, CA 91406, USA","geometry":{"location":{"lat":34.20003779999999,"lng":-118.492084},"viewport":{"northeast":{"lat":34.20138618029149,"lng":-118.4905911197085},"southwest":{"lat":34.19868821970849,"lng":-118.4932890802915}}},"icon":"https://maps.gstatic.com/mapfiles/place_api/icons/v1/png_71/generic_business-71.png","name":"Chrysler Aviation Inc","place_id":"ChIJMfkSVOOZwoARp1DmPAu66M4","plus_code":{"compound_code":"6G25+25 Van Nuys, Los Angeles, CA, USA","global_code":"85636G25+25"},"types":["point_of_interest","establishment"]}</t>
  </si>
  <si>
    <t>Chrysler Aviation Inc</t>
  </si>
  <si>
    <t>ChIJMfkSVOOZwoARp1DmPAu66M4</t>
  </si>
  <si>
    <t>7120 Hayvenhurst Ave # 309, Van Nuys, CA 91406, USA</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</si>
  <si>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34.20138618029149,"lng":-118.4905911197085},"southwest":{"lat":34.19868821970849,"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Inc","place_id":"ChIJMfkSVOOZwoARp1DmPAu66M4","rating":null,"reference":null,"reviews":null,"types":["point_of_interest","establishment"],"url":"https://maps.google.com/?cid=14909371123839160487","utc_offset":-480,"vicinity":"7120 Hayvenhurst Avenue # 309, Van Nuys","website":"http://www.chrysleraviation.com/"},"status":"OK"}</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</si>
  <si>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</si>
  <si>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</si>
  <si>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</si>
  <si>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http://www.chrysleraviation.com/</t>
  </si>
  <si>
    <t>https://maps.googleapis.com/maps/api/place/findplacefromtext/json?input=%2B18189892900&amp;inputtype=phonenumber&amp;fields=business_status,formatted_address,geometry,icon,name,permanently_closed,place_id,plus_code,types&amp;key=AIzaSyAUoR1hu32epmid_r-h7_AiXQWhNu3zr3U</t>
  </si>
  <si>
    <t>{"business_status":"OPERATIONAL","formatted_address":"7435 Valjean Ave, Van Nuys, CA 91406, USA","geometry":{"location":{"lat":34.20599790000001,"lng":-118.4864597},"viewport":{"northeast":{"lat":34.20716048029151,"lng":-118.4849657697085},"southwest":{"lat":34.20446251970851,"lng":-118.4876637302915}}},"icon":"https://maps.gstatic.com/mapfiles/place_api/icons/v1/png_71/generic_business-71.png","name":"Clay Lacy Aviation - Van Nuys","place_id":"ChIJswhjGVaXwoARM9n6GHqPvqE","plus_code":{"compound_code":"6G47+9C Van Nuys, Los Angeles, CA, USA","global_code":"85636G47+9C"},"types":["point_of_interest","store","establishment"]}</t>
  </si>
  <si>
    <t>Clay Lacy Aviation - Van Nuys</t>
  </si>
  <si>
    <t>ChIJswhjGVaXwoARM9n6GHqPvqE</t>
  </si>
  <si>
    <t>7435 Valjean Ave, Van Nuys, CA 91406, USA</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</si>
  <si>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 - Van Nuys","place_id":"ChIJswhjGVaXwoARM9n6GHqPvqE","rating":3.9,"reference":null,"reviews":[{"author_name":"a b","author_url":"https://www.google.com/maps/contrib/114458764210786719720/reviews","language":"en","profile_photo_url":"https://lh3.googleusercontent.com/a-/AOh14GgcxMsOn_UQn5K-fFrFqPwvl0OLPcilAgLj0Arj=s128-c0x00000000-cc-rp-mo","rating":1,"relative_time_description":"a month ago","text":"Horribly experience flying with them. Was treated poorly and unprofessionally. I recommend anywhere else.","time":1609841261},{"author_name":"Daniel Claros","author_url":"https://www.google.com/maps/contrib/116141953943304314167/reviews","language":"en","profile_photo_url":"https://lh4.googleusercontent.com/-zq9M_ydqMjs/AAAAAAAAAAI/AAAAAAAAAAA/AMZuuckMgeG7_qzKIg0xsX5bZs2ZNIwjqw/s128-c0x00000000-cc-rp-mo/photo.jpg","rating":1,"relative_time_description":"a week ago","text":"EMPLOYEES ARE A BUNCH OF UNEDUCATED NO MANNERS DIRTY LOOKING CHEAP LOWLIFES","time":1612863030},{"author_name":"Don Kracl","author_url":"https://www.google.com/maps/contrib/117924890907486116726/reviews","language":"en","profile_photo_url":"https://lh3.googleusercontent.com/a-/AOh14Gg_Jyes2O_0N0MbrPCtn9UJiQpjkB4M5Lq5nHJoSw=s128-c0x00000000-cc-rp-mo-ba4","rating":5,"relative_time_description":"a month ago","text":"Very busy! But they provide excellent customer service to get you in and out to the best of their ability","time":1608468535},{"author_name":"David Fairfax","author_url":"https://www.google.com/maps/contrib/114494520333444042062/reviews","language":"en","profile_photo_url":"https://lh3.googleusercontent.com/-Cx_dmCOt2uI/AAAAAAAAAAI/AAAAAAAAAAA/AMZuucnGvuRIZdc0QNCOHnXrva0dj4FExQ/s128-c0x00000000-cc-rp-mo-ba4/photo.jpg","rating":5,"relative_time_description":"2 months ago","text":"Ashley was so helpful! Staff is always Great.","time":1607985299},{"author_name":"Jessica Satterfield","author_url":"https://www.google.com/maps/contrib/117800920357177403521/reviews","language":"en","profile_photo_url":"https://lh3.googleusercontent.com/a-/AOh14GjXlp466eLSJlw2VE0I1_NPSWiA05RxOC1BqXBGrg=s128-c0x00000000-cc-rp-mo","rating":5,"relative_time_description":"6 months ago","text":"Would recommend! Staff was so sweet and the flights were smooth. I was a bit nervous bc of all the bad reviews. But the more I read them, the more I realized they were not written by people who actually used Clay Lacy Aviation. From what I can tell there was an incident that happened with some employees and the general public. Oh and someone owes someone $500 lol. But it was not reflective of the service I received. Great experience!","time":1596598797}],"types":["point_of_interest","store","establishment"],"url":"https://maps.google.com/?cid=11654910640249297203","utc_offset":-480,"vicinity":"7435 Valjean Avenue, Van Nuys","website":"http://www.claylacy.com/"},"status":"OK"}</t>
  </si>
  <si>
    <t>&lt;span class="street-address"&gt;7435 Valjean Ave&lt;/span&gt;, &lt;span class="locality"&gt;Van Nuys&lt;/span&gt;, &lt;span class="region"&gt;CA&lt;/span&gt; &lt;span class="postal-code"&gt;91406&lt;/span&gt;, &lt;span class="country-name"&gt;USA&lt;/span&gt;</t>
  </si>
  <si>
    <t>+1 818-989-2900</t>
  </si>
  <si>
    <t>7435 Valjean Avenue, Van Nuys</t>
  </si>
  <si>
    <t>http://www.claylacy.com/</t>
  </si>
  <si>
    <t>https://maps.googleapis.com/maps/api/place/findplacefromtext/json?input=%2B18189880029&amp;inputtype=phonenumber&amp;fields=business_status,formatted_address,geometry,icon,name,permanently_closed,place_id,plus_code,types&amp;key=AIzaSyAUoR1hu32epmid_r-h7_AiXQWhNu3zr3U</t>
  </si>
  <si>
    <t>{"business_status":"OPERATIONAL","formatted_address":"Aviation Plaza, Sherman Way suite 210, Van Nuys, CA 91406, USA","geometry":{"location":{"lat":34.20149000000001,"lng":-118.491779},"viewport":{"northeast":{"lat":34.2027110302915,"lng":-118.4904281697085},"southwest":{"lat":34.2000130697085,"lng":-118.4931261302915}}},"icon":"https://maps.gstatic.com/mapfiles/place_api/icons/v1/png_71/generic_business-71.png","name":"Dreamline Aviation, LLC","place_id":"ChIJpe_JnvyZwoARMe7-7uLOvXw","plus_code":{"compound_code":"6G25+H7 Van Nuys, Los Angeles, CA, USA","global_code":"85636G25+H7"},"types":["point_of_interest","establishment"]}</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</si>
  <si>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</si>
  <si>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</si>
  <si>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LLC","place_id":"ChIJpe_JnvyZwoARMe7-7uLOvXw","rating":5.0,"reference":null,"reviews":[{"author_name":"Jody Cohn","author_url":"https://www.google.com/maps/contrib/108615057149857007929/reviews","language":null,"profile_photo_url":"https://lh3.googleusercontent.com/a-/AOh14Gj1LqgJHR2fsJqMO_IljqY0Z6C62YfLzugZHWTasw=s128-c0x00000000-cc-rp-mo-ba3","rating":5,"relative_time_description":"a year ago","text":"","time":1554235505},{"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ago","text":"","time":1564283627}],"types":["point_of_interest","establishment"],"url":"https://maps.google.com/?cid=8988567905368993329","utc_offset":-480,"vicinity":"Aviation Plaza, Sherman Way suite 210, Van Nuys","website":"http://www.dreamlineaviation.com/"},"status":"OK"}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</si>
  <si>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</si>
  <si>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+1 818-988-0029</t>
  </si>
  <si>
    <t>Aviation Plaza, Sherman Way suite 210, Van Nuys</t>
  </si>
  <si>
    <t>https://maps.googleapis.com/maps/api/place/findplacefromtext/json?input=Golden%20State%20Jet%2C%20LLC%207240%20Hayvenhurst%20Place%20Suite%20146%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</si>
  <si>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34.2060306,"lng":-118.4927402},"viewport":{"northeast":{"lat":34.20734612989273,"lng":-118.4912345701073},"southwest":{"lat":34.20464647010728,"lng":-118.4939342298927}}},"icon":"https://maps.gstatic.com/mapfiles/place_api/icons/v1/png_71/generic_business-71.png","name":"Golden State Jet","place_id":"ChIJWShrCfyZwoAReOkUIZu6iGU","plus_code":{"compound_code":"6G44+CW Van Nuys, Los Angeles, CA","global_code":"85636G44+CW"},"types":["point_of_interest","establishment"]}</t>
  </si>
  <si>
    <t>Golden State Jet</t>
  </si>
  <si>
    <t>ChIJWShrCfyZwoAReOkUIZu6iGU</t>
  </si>
  <si>
    <t>7415 Hayvenhurst Pl, Van Nuys, CA 91406, United States</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</si>
  <si>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-2888","geometry":{"location":{"lat":34.2060306,"lng":-118.4927402},"viewport":{"northeast":{"lat":34.20734528029151,"lng":-118.4912354197085},"southwest":{"lat":34.20464731970851,"lng":-118.4939333802915}}},"icon":"https://maps.gstatic.com/mapfiles/place_api/icons/v1/png_71/generic_business-71.png","id":null,"international_phone_number":"+1 818-988-2888","name":"Golden State Jet","place_id":"ChIJWShrCfyZwoAReOkUIZu6iGU","rating":5.0,"reference":null,"reviews":[{"author_name":"travis marg","author_url":"https://www.google.com/maps/contrib/104657237418447115575/reviews","language":"en","profile_photo_url":"https://lh6.googleusercontent.com/-KpUwtCe6fJw/AAAAAAAAAAI/AAAAAAAAAAA/AMZuucnAeQ0jvt-5V-gbv7-uVfAbN44wcA/s128-c0x00000000-cc-rp-mo/photo.jpg","rating":5,"relative_time_description":"4 years ago","text":"Grate flight pilots are supper nice","time":1460770797}],"types":["point_of_interest","establishment"],"url":"https://maps.google.com/?cid=7316302770101086584","utc_offset":-480,"vicinity":"7415 Hayvenhurst Place, Van Nuys","website":"http://www.goldenstatejet.com/"},"status":"OK"}</t>
  </si>
  <si>
    <t>&lt;span class="street-address"&gt;7415 Hayvenhurst Pl&lt;/span&gt;, &lt;span class="locality"&gt;Van Nuys&lt;/span&gt;, &lt;span class="region"&gt;CA&lt;/span&gt; &lt;span class="postal-code"&gt;91406&lt;/span&gt;, &lt;span class="country-name"&gt;USA&lt;/span&gt;</t>
  </si>
  <si>
    <t>(818) 988-2888</t>
  </si>
  <si>
    <t>+1 818-988-2888</t>
  </si>
  <si>
    <t>7415 Hayvenhurst Place, Van Nuys</t>
  </si>
  <si>
    <t>http://www.goldenstatejet.com/</t>
  </si>
  <si>
    <t>https://maps.googleapis.com/maps/api/place/findplacefromtext/json?input=%2B18189020229&amp;inputtype=phonenumber&amp;fields=business_status,formatted_address,geometry,icon,name,permanently_closed,place_id,plus_code,types&amp;key=AIzaSyAUoR1hu32epmid_r-h7_AiXQWhNu3zr3U</t>
  </si>
  <si>
    <t>{"business_status":"OPERATIONAL","formatted_address":"16303 Waterman Dr, Van Nuys, CA 91406, USA","geometry":{"location":{"lat":34.2153129,"lng":-118.487628},"viewport":{"northeast":{"lat":34.2165266302915,"lng":-118.4863182697085},"southwest":{"lat":34.21382866970851,"lng":-118.4890162302915}}},"icon":"https://maps.gstatic.com/mapfiles/place_api/icons/v1/png_71/generic_business-71.png","name":"Briles Wing &amp; Helicopter Inc","place_id":"ChIJB0JeHQGawoARTdjhsmysak8","plus_code":{"compound_code":"6G86+4W Van Nuys, Los Angeles, CA, USA","global_code":"85636G86+4W"},"types":["point_of_interest","establishment"]}</t>
  </si>
  <si>
    <t>Briles Wing &amp; Helicopter Inc</t>
  </si>
  <si>
    <t>ChIJB0JeHQGawoARTdjhsmysak8</t>
  </si>
  <si>
    <t>16303 Waterman Dr, Van Nuys, CA 91406, USA</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</si>
  <si>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States","short_name":"US","types":["country","political"]},{"long_name":"91406","short_name":"91406","types":["postal_code"]},{"long_name":"1222","short_name":"1222","types":["postal_code_suffix"]}],"adr_address":"&lt;span class=\"street-address\"&gt;16303 Waterman Dr&lt;/span&gt;, &lt;span class=\"locality\"&gt;Van Nuys&lt;/span&gt;, &lt;span class=\"region\"&gt;CA&lt;/span&gt; &lt;span class=\"postal-code\"&gt;91406-1222&lt;/span&gt;, &lt;span class=\"country-name\"&gt;USA&lt;/span&gt;","formatted_address":"16303 Waterman Dr, Van Nuys, CA 91406, USA","formatted_phone_number":"(818) 902-0229","geometry":{"location":{"lat":34.2153129,"lng":-118.487628},"viewport":{"northeast":{"lat":34.2165266302915,"lng":-118.4863182697085},"southwest":{"lat":34.21382866970851,"lng":-118.4890162302915}}},"icon":"https://maps.gstatic.com/mapfiles/place_api/icons/v1/png_71/generic_business-71.png","id":null,"international_phone_number":"+1 818-902-0229","name":"Briles Wing &amp; Helicopter Inc","place_id":"ChIJB0JeHQGawoARTdjhsmysak8","rating":null,"reference":null,"reviews":null,"types":["point_of_interest","establishment"],"url":"https://maps.google.com/?cid=5722575859385227341","utc_offset":-480,"vicinity":"16303 Waterman Drive, Van Nuys","website":null},"status":"OK"}</t>
  </si>
  <si>
    <t>&lt;span class="street-address"&gt;16303 Waterman Dr&lt;/span&gt;, &lt;span class="locality"&gt;Van Nuys&lt;/span&gt;, &lt;span class="region"&gt;CA&lt;/span&gt; &lt;span class="postal-code"&gt;91406-1222&lt;/span&gt;, &lt;span class="country-name"&gt;USA&lt;/span&gt;</t>
  </si>
  <si>
    <t>(818) 902-0229</t>
  </si>
  <si>
    <t>+1 818-902-0229</t>
  </si>
  <si>
    <t>16303 Waterman Drive, Van Nuys</t>
  </si>
  <si>
    <t>https://maps.googleapis.com/maps/api/place/findplacefromtext/json?input=Jet%20Aviation%20Flight%20Services%2C%20Inc.%207415%20Hayvenhurst%20Place%20%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</si>
  <si>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34.2060062,"lng":-118.4925567},"viewport":{"northeast":{"lat":34.20733392989272,"lng":-118.4911428201073},"southwest":{"lat":34.20463427010728,"lng":-118.4938424798927}}},"icon":"https://maps.gstatic.com/mapfiles/place_api/icons/v1/png_71/generic_business-71.png","name":"Castle &amp; Cooke Aviation","place_id":"ChIJjWbz0viZwoAR_tLtuhPkLxI","plus_code":{"compound_code":"6G44+CX Van Nuys, Los Angeles, CA","global_code":"85636G44+CX"},"types":["point_of_interest","establishment"]}</t>
  </si>
  <si>
    <t>ChIJjWbz0viZwoAR_tLtuhPkLxI</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</si>
  <si>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-8385","geometry":{"location":{"lat":34.2060062,"lng":-118.4925567},"viewport":{"northeast":{"lat":34.20733308029151,"lng":-118.4911436697085},"southwest":{"lat":34.20463511970851,"lng":-118.4938416302915}}},"icon":"https://maps.gstatic.com/mapfiles/place_api/icons/v1/png_71/generic_business-71.png","id":null,"international_phone_number":"+1 818-988-8385","name":"Castle &amp; Cooke Aviation","place_id":"ChIJjWbz0viZwoAR_tLtuhPkLxI","rating":4.6,"reference":null,"reviews":[{"author_name":"Fred G","author_url":"https://www.google.com/maps/contrib/102475957155427874666/reviews","language":"en","profile_photo_url":"https://lh3.googleusercontent.com/a-/AOh14Gh798QRFKHPZKGnHzmlZ1gcmI18bdCy2jNpSvoFUw=s128-c0x00000000-cc-rp-mo","rating":5,"relative_time_description":"3 weeks ago","text":"Love the people respectful and good to work with.","time":1611419333},{"author_name":"Jeff Green","author_url":"https://www.google.com/maps/contrib/113539147386117500686/reviews","language":"en","profile_photo_url":"https://lh6.googleusercontent.com/-6OOzKwekn4E/AAAAAAAAAAI/AAAAAAAAAAA/AMZuucmRfM8I0q4E2LvM__03X8E839g-CA/s128-c0x00000000-cc-rp-mo-ba5/photo.jpg","rating":1,"relative_time_description":"2 months ago","text":"Very poor quality service and low quality facilities.","time":1607186885},{"author_name":"Patrick Welsh","author_url":"https://www.google.com/maps/contrib/103845081041241755938/reviews","language":"en","profile_photo_url":"https://lh5.googleusercontent.com/-IdErUcQ1-go/AAAAAAAAAAI/AAAAAAAAAAA/AMZuucnYG4LPnFWJJ-P9bxbcmeRBHcw6FQ/s128-c0x00000000-cc-rp-mo-ba2/photo.jpg","rating":5,"relative_time_description":"a year ago","text":"The only way to go when you're flying private jet","time":1575654836},{"author_name":"Philip Minter","author_url":"https://www.google.com/maps/contrib/102991267054597417391/reviews","language":"en","profile_photo_url":"https://lh3.googleusercontent.com/a-/AOh14GjJeRl6vegv-i_3a6JgnP3NQcyB8I-uj8qDPGA2Fbk=s128-c0x00000000-cc-rp-mo-ba3","rating":4,"relative_time_description":"a year ago","text":"Great crew and when they build the new hangers they will have a top notch setup. Easy to fly in and out if you do it enough the crew tends to remember you.","time":1554490526},{"author_name":"Jerrod Kornish","author_url":"https://www.google.com/maps/contrib/116987573862252466609/reviews","language":"en","profile_photo_url":"https://lh4.googleusercontent.com/-BPjlkx_MDg8/AAAAAAAAAAI/AAAAAAAAAAA/AMZuuckfUgU3ZlCJmyGOSeWW1QFxlTWaPg/s128-c0x00000000-cc-rp-mo/photo.jpg","rating":5,"relative_time_description":"2 years ago","text":"Nice environment,  people are friendly, very well organized.","time":1537763862}],"types":["point_of_interest","establishment"],"url":"https://maps.google.com/?cid=1310516789979763454","utc_offset":-480,"vicinity":"7415 Hayvenhurst Place, Van Nuys","website":"https://www.castlecookeaviation.com/"},"status":"OK"}</t>
  </si>
  <si>
    <t>&lt;span class="street-address"&gt;7415 Hayvenhurst Pl&lt;/span&gt;, &lt;span class="locality"&gt;Van Nuys&lt;/span&gt;, &lt;span class="region"&gt;CA&lt;/span&gt; &lt;span class="postal-code"&gt;91406-2822&lt;/span&gt;, &lt;span class="country-name"&gt;USA&lt;/span&gt;</t>
  </si>
  <si>
    <t>+1 818-988-8385</t>
  </si>
  <si>
    <t>https://www.castlecookeaviation.com/</t>
  </si>
  <si>
    <t>https://maps.googleapis.com/maps/api/place/findplacefromtext/json?input=%2B18184420096&amp;inputtype=phonenumber&amp;fields=business_status,formatted_address,geometry,icon,name,permanently_closed,place_id,plus_code,types&amp;key=AIzaSyAUoR1hu32epmid_r-h7_AiXQWhNu3zr3U</t>
  </si>
  <si>
    <t>{"business_status":"OPERATIONAL","formatted_address":"14861 N Scottsdale Rd #109, Scottsdale, AZ 85254, USA","geometry":{"location":{"lat":33.62128829999999,"lng":-111.9241632},"viewport":{"northeast":{"lat":33.6227160802915,"lng":-111.9229119197085},"southwest":{"lat":33.6200181197085,"lng":-111.9256098802915}}},"icon":"https://maps.gstatic.com/mapfiles/place_api/icons/v1/png_71/generic_business-71.png","name":"Jet Edge","place_id":"ChIJjzCldEF0K4cRJbEuArRwLqI","plus_code":{"compound_code":"J3CG+G8 Scottsdale, AZ, USA","global_code":"855CJ3CG+G8"},"types":["point_of_interest","establishment"]}</t>
  </si>
  <si>
    <t>Jet Edge</t>
  </si>
  <si>
    <t>ChIJjzCldEF0K4cRJbEuArRwLqI</t>
  </si>
  <si>
    <t>14861 N Scottsdale Rd #109, Scottsdale, AZ 85254, USA</t>
  </si>
  <si>
    <t>{"html_attributions":[],"result":{"address_components":[{"long_name":"109","short_name":"109","types":["subpremise"]},{"long_name":"14861","short_name":"14861","types":["street_number"]},{"long_name":"North Scottsdale Road","short_name":"N Scottsdale Rd","types":["route"]},{"long_name":"Thunderbird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class=\"street-address\"&gt;14861 N Scottsdale Rd #109&lt;/span&gt;, &lt;span class=\"locality\"&gt;Scottsdale&lt;/span&gt;, &lt;span class=\"region\"&gt;AZ&lt;/span&gt; &lt;span class=\"postal-code\"&gt;85254&lt;/span&gt;, &lt;span class=\"country-name\"&gt;USA&lt;/span&gt;","formatted_address":"14861 N Scottsdale Rd #109, Scottsdale, AZ 85254, USA","formatted_phone_number":"(818) 442-0096","geometry":{"location":{"lat":33.62128829999999,"lng":-111.9241632},"viewport":{"northeast":{"lat":33.6227160802915,"lng":-111.9229119197085},"southwest":{"lat":33.6200181197085,"lng":-111.9256098802915}}},"icon":"https://maps.gstatic.com/mapfiles/place_api/icons/v1/png_71/generic_business-71.png","id":null,"international_phone_number":"+1 818-442-0096","name":"Jet Edge","place_id":"ChIJjzCldEF0K4cRJbEuArRwLqI","rating":null,"reference":null,"reviews":null,"types":["point_of_interest","establishment"],"url":"https://maps.google.com/?cid=11686402001506054437","utc_offset":-420,"vicinity":"14861 North Scottsdale Road #109, Scottsdale","website":"https://www.flyjetedge.com/"},"status":"OK"}</t>
  </si>
  <si>
    <t>&lt;span class="street-address"&gt;14861 N Scottsdale Rd #109&lt;/span&gt;, &lt;span class="locality"&gt;Scottsdale&lt;/span&gt;, &lt;span class="region"&gt;AZ&lt;/span&gt; &lt;span class="postal-code"&gt;85254&lt;/span&gt;, &lt;span class="country-name"&gt;USA&lt;/span&gt;</t>
  </si>
  <si>
    <t>(818) 442-0096</t>
  </si>
  <si>
    <t>+1 818-442-0096</t>
  </si>
  <si>
    <t>14861 North Scottsdale Road #109, Scottsdale</t>
  </si>
  <si>
    <t>https://www.flyjetedge.com/</t>
  </si>
  <si>
    <t>https://maps.googleapis.com/maps/api/place/findplacefromtext/json?input=%2B18187872205&amp;inputtype=phonenumber&amp;fields=business_status,formatted_address,geometry,icon,name,permanently_closed,place_id,plus_code,types&amp;key=AIzaSyAUoR1hu32epmid_r-h7_AiXQWhNu3zr3U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</si>
  <si>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M B Airways Inc","place_id":"ChIJ-YBXUvmZwoAR8Kl-WSkbAhM","plus_code":{"compound_code":"6G44+4W Van Nuys, Los Angeles, CA, USA","global_code":"85636G44+4W"},"types":["point_of_interest","establishment"]}</t>
  </si>
  <si>
    <t>M B Airways Inc</t>
  </si>
  <si>
    <t>ChIJ-YBXUvmZwoAR8Kl-WSkbAhM</t>
  </si>
  <si>
    <t>7415 Hayvenhurst Pl, Van Nuys, CA 91406, USA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</si>
  <si>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787-2205","geometry":{"location":{"lat":34.2052859,"lng":-118.4927249},"viewport":{"northeast":{"lat":34.2069731302915,"lng":-118.4912277697085},"southwest":{"lat":34.2042751697085,"lng":-118.4939257302915}}},"icon":"https://maps.gstatic.com/mapfiles/place_api/icons/v1/png_71/generic_business-71.png","id":null,"international_phone_number":"+1 818-787-2205","name":"M B Airways Inc","place_id":"ChIJ-YBXUvmZwoAR8Kl-WSkbAhM","rating":null,"reference":null,"reviews":null,"types":["point_of_interest","establishment"],"url":"https://maps.google.com/?cid=1369687101083134448","utc_offset":-480,"vicinity":"7415 Hayvenhurst Place, Van Nuys","website":"https://www.mbairways.com/"},"status":"OK"}</t>
  </si>
  <si>
    <t>(818) 787-2205</t>
  </si>
  <si>
    <t>+1 818-787-2205</t>
  </si>
  <si>
    <t>https://www.mbairways.com/</t>
  </si>
  <si>
    <t>https://maps.googleapis.com/maps/api/place/findplacefromtext/json?input=%2B18187426666&amp;inputtype=phonenumber&amp;fields=business_status,formatted_address,geometry,icon,name,permanently_closed,place_id,plus_code,types&amp;key=AIzaSyAUoR1hu32epmid_r-h7_AiXQWhNu3zr3U</t>
  </si>
  <si>
    <t>{"business_status":"OPERATIONAL","formatted_address":"Waterman Dr, Van Nuys, CA 91406, USA","geometry":{"location":{"lat":34.21481139999999,"lng":-118.4861216},"viewport":{"northeast":{"lat":34.2161909802915,"lng":-118.4847636697085},"southwest":{"lat":34.2134930197085,"lng":-118.4874616302915}}},"icon":"https://maps.gstatic.com/mapfiles/place_api/icons/v1/png_71/generic_business-71.png","name":"Pegasus Passenger Lobby","place_id":"ChIJk8pz0rSRwoARIyxjakf8u2E","plus_code":{"compound_code":"6G77+WH Van Nuys, Los Angeles, CA, USA","global_code":"85636G77+WH"},"types":["point_of_interest","establishment"]}</t>
  </si>
  <si>
    <t>Pegasus Passenger Lobby</t>
  </si>
  <si>
    <t>ChIJk8pz0rSRwoARIyxjakf8u2E</t>
  </si>
  <si>
    <t>Waterman Dr, Van Nuys, CA 91406, USA</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</si>
  <si>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742-6666","geometry":{"location":{"lat":34.21481139999999,"lng":-118.4861216},"viewport":{"northeast":{"lat":34.2161909802915,"lng":-118.4847636697085},"southwest":{"lat":34.2134930197085,"lng":-118.4874616302915}}},"icon":"https://maps.gstatic.com/mapfiles/place_api/icons/v1/png_71/generic_business-71.png","id":null,"international_phone_number":"+1 818-742-6666","name":"Pegasus Passenger Lobby","place_id":"ChIJk8pz0rSRwoARIyxjakf8u2E","rating":null,"reference":null,"reviews":null,"types":["point_of_interest","establishment"],"url":"https://maps.google.com/?cid=7042499825981664291","utc_offset":-480,"vicinity":"Waterman Drive, Van Nuys","website":"https://pegjet.com/"},"status":"OK"}</t>
  </si>
  <si>
    <t>&lt;span class="street-address"&gt;Waterman Dr&lt;/span&gt;, &lt;span class="locality"&gt;Van Nuys&lt;/span&gt;, &lt;span class="region"&gt;CA&lt;/span&gt; &lt;span class="postal-code"&gt;91406&lt;/span&gt;, &lt;span class="country-name"&gt;USA&lt;/span&gt;</t>
  </si>
  <si>
    <t>(818) 742-6666</t>
  </si>
  <si>
    <t>+1 818-742-6666</t>
  </si>
  <si>
    <t>Waterman Drive, Van Nuys</t>
  </si>
  <si>
    <t>https://pegjet.com/</t>
  </si>
  <si>
    <t>https://maps.googleapis.com/maps/api/place/findplacefromtext/json?input=Planet%20Nine%20Private%20Air%2C%20LLC%207415%20Hayvenhurst%20Place%20Suite%20255%20Van%20Nuys%20CA%2091406&amp;key=AIzaSyAUoR1hu32epmid_r-h7_AiXQWhNu3zr3U&amp;inputtype=textquery&amp;fields=business_status,formatted_address,geometry,icon,name,permanently_closed,place_id,plus_code,types</t>
  </si>
  <si>
    <t>{"business_status":"OPERATIONAL","formatted_address":"7415 Hayvenhurst Pl, Lake Balboa, CA 91406, United States","geometry":{"location":{"lat":34.2060306,"lng":-118.4927402},"viewport":{"northeast":{"lat":34.20734612989273,"lng":-118.4912345701073},"southwest":{"lat":34.20464647010728,"lng":-118.4939342298927}}},"icon":"https://maps.gstatic.com/mapfiles/place_api/icons/v1/png_71/generic_business-71.png","name":"Planet Nine Private Air, LLC","place_id":"ChIJUWUaSfmZwoARnXoctiFJwWY","plus_code":null,"types":["point_of_interest","establishment"]}</t>
  </si>
  <si>
    <t>ChIJUWUaSfmZwoARnXoctiFJwWY</t>
  </si>
  <si>
    <t>7415 Hayvenhurst Pl, Lake Balboa, CA 91406, United States</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</si>
  <si>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LLC","place_id":"ChIJUWUaSfmZwoARnXoctiFJwWY","rating":null,"reference":null,"reviews":null,"types":["point_of_interest","establishment"],"url":"https://maps.google.com/?cid=7404279671511874205","utc_offset":-480,"vicinity":"7415 Hayvenhurst Place, Lake Balboa","website":"https://www.flyplanet9.com/contact"},"status":"OK"}</t>
  </si>
  <si>
    <t>&lt;span class="street-address"&gt;7415 Hayvenhurst Pl&lt;/span&gt;, &lt;span class="locality"&gt;Lake Balboa&lt;/span&gt;, &lt;span class="region"&gt;CA&lt;/span&gt; &lt;span class="postal-code"&gt;91406&lt;/span&gt;, &lt;span class="country-name"&gt;USA&lt;/span&gt;</t>
  </si>
  <si>
    <t>(855) 629-9997</t>
  </si>
  <si>
    <t>+1 855-629-9997</t>
  </si>
  <si>
    <t>7415 Hayvenhurst Place, Lake Balboa</t>
  </si>
  <si>
    <t>https://www.flyplanet9.com/contact</t>
  </si>
  <si>
    <t>https://maps.googleapis.com/maps/api/place/findplacefromtext/json?input=%2B18189882931&amp;inputtype=phonenumber&amp;fields=business_status,formatted_address,geometry,icon,name,permanently_closed,place_id,plus_code,types&amp;key=AIzaSyAUoR1hu32epmid_r-h7_AiXQWhNu3zr3U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</si>
  <si>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Style Aviation Services","place_id":"ChIJjWbz0viZwoARohjR2yvsLEY","plus_code":{"compound_code":"6G44+4W Van Nuys, Los Angeles, CA, USA","global_code":"85636G44+4W"},"types":["point_of_interest","establishment"]}</t>
  </si>
  <si>
    <t>Style Aviation Services</t>
  </si>
  <si>
    <t>ChIJjWbz0viZwoARohjR2yvsLEY</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</si>
  <si>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-2931","geometry":{"location":{"lat":34.2052859,"lng":-118.4927249},"viewport":{"northeast":{"lat":34.2069731302915,"lng":-118.4912277697085},"southwest":{"lat":34.2042751697085,"lng":-118.4939257302915}}},"icon":"https://maps.gstatic.com/mapfiles/place_api/icons/v1/png_71/generic_business-71.png","id":null,"international_phone_number":"+1 818-988-2931","name":"Style Aviation Services","place_id":"ChIJjWbz0viZwoARohjR2yvsLEY","rating":null,"reference":null,"reviews":null,"types":["point_of_interest","establishment"],"url":"https://maps.google.com/?cid=5056676154745886882","utc_offset":-480,"vicinity":"7415 Hayvenhurst Place, Van Nuys","website":"http://www.styleair.com/"},"status":"OK"}</t>
  </si>
  <si>
    <t>+1 818-988-2931</t>
  </si>
  <si>
    <t>http://www.styleair.com/</t>
  </si>
  <si>
    <t>https://maps.googleapis.com/maps/api/place/findplacefromtext/json?input=%2B18189046900&amp;inputtype=phonenumber&amp;fields=business_status,formatted_address,geometry,icon,name,permanently_closed,place_id,plus_code,types&amp;key=AIzaSyAUoR1hu32epmid_r-h7_AiXQWhNu3zr3U</t>
  </si>
  <si>
    <t>{"business_status":"OPERATIONAL","formatted_address":"2828 Donald Douglas Loop N, Santa Monica, CA 90405, USA","geometry":{"location":{"lat":34.0166347,"lng":-118.4530628},"viewport":{"northeast":{"lat":34.01808793029149,"lng":-118.4518061197085},"southwest":{"lat":34.0153899697085,"lng":-118.4545040802915}}},"icon":"https://maps.gstatic.com/mapfiles/place_api/icons/v1/png_71/generic_business-71.png","name":"Trans-Exec Air Services Inc","place_id":"ChIJB2gwDR27woARIhRbuVv2Hxo","plus_code":{"compound_code":"2G8W+MQ Santa Monica, CA, USA","global_code":"85632G8W+MQ"},"types":["point_of_interest","establishment"]}</t>
  </si>
  <si>
    <t>Trans-Exec Air Services Inc</t>
  </si>
  <si>
    <t>ChIJB2gwDR27woARIhRbuVv2Hxo</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</si>
  <si>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</si>
  <si>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States","short_name":"US","types":["country","political"]},{"long_name":"90405","short_name":"90405","types":["postal_code"]},{"long_name":"2956","short_name":"2956","types":["postal_code_suffix"]}],"adr_address":"&lt;span class=\"street-address\"&gt;2828 Donald Douglas Loop N&lt;/span&gt;, &lt;span class=\"locality\"&gt;Santa Monica&lt;/span&gt;, &lt;span class=\"region\"&gt;CA&lt;/span&gt; &lt;span class=\"postal-code\"&gt;90405-2956&lt;/span&gt;, &lt;span class=\"country-name\"&gt;USA&lt;/span&gt;","formatted_address":"2828 Donald Douglas Loop N, Santa Monica, CA 90405, USA","formatted_phone_number":"(310) 399-9435","geometry":{"location":{"lat":34.0166347,"lng":-118.4530628},"viewport":{"northeast":{"lat":34.01808793029149,"lng":-118.4518061197085},"southwest":{"lat":34.0153899697085,"lng":-118.4545040802915}}},"icon":"https://maps.gstatic.com/mapfiles/place_api/icons/v1/png_71/generic_business-71.png","id":null,"international_phone_number":"+1 310-399-9435","name":"Trans-Exec Air Services Inc","place_id":"ChIJB2gwDR27woARIhRbuVv2Hxo","rating":null,"reference":null,"reviews":null,"types":["point_of_interest","establishment"],"url":"https://maps.google.com/?cid=1882494043076367394","utc_offset":-480,"vicinity":"2828 Donald Douglas Loop North, Santa Monica","website":"http://www.transexec.com/"},"status":"OK"}</t>
  </si>
  <si>
    <t>&lt;span class="street-address"&gt;2828 Donald Douglas Loop N&lt;/span&gt;, &lt;span class="locality"&gt;Santa Monica&lt;/span&gt;, &lt;span class="region"&gt;CA&lt;/span&gt; &lt;span class="postal-code"&gt;90405-2956&lt;/span&gt;, &lt;span class="country-name"&gt;USA&lt;/span&gt;</t>
  </si>
  <si>
    <t>(310) 399-9435</t>
  </si>
  <si>
    <t>+1 310-399-9435</t>
  </si>
  <si>
    <t>2828 Donald Douglas Loop North, Santa Monica</t>
  </si>
  <si>
    <t>http://www.transexec.com/</t>
  </si>
  <si>
    <t>https://maps.googleapis.com/maps/api/place/findplacefromtext/json?input=%2B18772475387&amp;inputtype=phonenumber&amp;fields=business_status,formatted_address,geometry,icon,name,permanently_closed,place_id,plus_code,types&amp;key=AIzaSyAUoR1hu32epmid_r-h7_AiXQWhNu3zr3U</t>
  </si>
  <si>
    <t>{"business_status":"OPERATIONAL","formatted_address":"7426 Hayvenhurst Ave, Van Nuys, CA 91406, USA","geometry":{"location":{"lat":34.2055081,"lng":-118.4942037},"viewport":{"northeast":{"lat":34.2068569302915,"lng":-118.4929554697085},"southwest":{"lat":34.2041589697085,"lng":-118.4956534302915}}},"icon":"https://maps.gstatic.com/mapfiles/place_api/icons/v1/png_71/generic_business-71.png","name":"24/7 Jet","place_id":"ChIJ676PbvmZwoARAVKCVdj_HHA","plus_code":{"compound_code":"6G44+68 Van Nuys, Los Angeles, CA, USA","global_code":"85636G44+68"},"types":["point_of_interest","establishment"]}</t>
  </si>
  <si>
    <t>24/7 Jet</t>
  </si>
  <si>
    <t>ChIJ676PbvmZwoARAVKCVdj_HHA</t>
  </si>
  <si>
    <t>7426 Hayvenhurst Ave, Van Nuys, CA 91406, USA</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</si>
  <si>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class=\"street-address\"&gt;7426 Hayvenhurst Ave&lt;/span&gt;, &lt;span class=\"locality\"&gt;Van Nuys&lt;/span&gt;, &lt;span class=\"region\"&gt;CA&lt;/span&gt; &lt;span class=\"postal-code\"&gt;91406&lt;/span&gt;, &lt;span class=\"country-name\"&gt;USA&lt;/span&gt;","formatted_address":"7426 Hayvenhurst Ave, Van Nuys, CA 91406, USA","formatted_phone_number":"(877) 247-5387","geometry":{"location":{"lat":34.2055081,"lng":-118.4942037},"viewport":{"northeast":{"lat":34.2068569302915,"lng":-118.4929554697085},"southwest":{"lat":34.2041589697085,"lng":-118.4956534302915}}},"icon":"https://maps.gstatic.com/mapfiles/place_api/icons/v1/png_71/generic_business-71.png","id":null,"international_phone_number":"+1 877-247-5387","name":"24/7 Jet","place_id":"ChIJ676PbvmZwoARAVKCVdj_HHA","rating":5.0,"reference":null,"reviews":[{"author_name":"S P","author_url":"https://www.google.com/maps/contrib/114133935442097359148/reviews","language":"en","profile_photo_url":"https://lh3.googleusercontent.com/a-/AOh14GiiJ6NcCXRv0ICOTvbHt4oJPBsOZk3R92a8XPYPcw=s128-c0x00000000-cc-rp-mo-ba2","rating":5,"relative_time_description":"a month ago","text":"My family has been flying with 24/7 jets for the last 5 year’s. Mahad is my go to guy for any trips domestic or international. Thank you guys","time":1609165620},{"author_name":"Hamza Dar","author_url":"https://www.google.com/maps/contrib/118406148852421821783/reviews","language":null,"profile_photo_url":"https://lh3.googleusercontent.com/a-/AOh14Ggei5N8b7ucasSDheXakULCf3wybMv6oGih3anT=s128-c0x00000000-cc-rp-mo","rating":5,"relative_time_description":"a year ago","text":"","time":1578815798}],"types":["point_of_interest","establishment"],"url":"https://maps.google.com/?cid=8078613136208450049","utc_offset":-480,"vicinity":"7426 Hayvenhurst Avenue, Van Nuys","website":"http://247jet.com/"},"status":"OK"}</t>
  </si>
  <si>
    <t>&lt;span class="street-address"&gt;7426 Hayvenhurst Ave&lt;/span&gt;, &lt;span class="locality"&gt;Van Nuys&lt;/span&gt;, &lt;span class="region"&gt;CA&lt;/span&gt; &lt;span class="postal-code"&gt;91406&lt;/span&gt;, &lt;span class="country-name"&gt;USA&lt;/span&gt;</t>
  </si>
  <si>
    <t>+1 877-247-5387</t>
  </si>
  <si>
    <t>7426 Hayvenhurst Avenue, Van Nuys</t>
  </si>
  <si>
    <t>http://247jet.com/</t>
  </si>
  <si>
    <t>https://maps.googleapis.com/maps/api/place/findplacefromtext/json?input=%2B18189888385&amp;inputtype=phonenumber&amp;fields=business_status,formatted_address,geometry,icon,name,permanently_closed,place_id,plus_code,types&amp;key=AIzaSyAUoR1hu32epmid_r-h7_AiXQWhNu3zr3U</t>
  </si>
  <si>
    <t>{"business_status":"OPERATIONAL","formatted_address":"16461 Sherman Way, Van Nuys, CA 91406, USA","geometry":{"location":{"lat":34.2085282,"lng":-118.4921351},"viewport":{"northeast":{"lat":34.2098943302915,"lng":-118.4909309197085},"southwest":{"lat":34.2071963697085,"lng":-118.4936288802915}}},"icon":"https://maps.gstatic.com/mapfiles/place_api/icons/v1/png_71/generic_business-71.png","name":"Castle &amp; Cooke North Ramp","place_id":"ChIJSXoWM_-ZwoARLwX6m4OWyro","plus_code":{"compound_code":"6G55+C4 Van Nuys, Los Angeles, CA, USA","global_code":"85636G55+C4"},"types":["point_of_interest","establishment"]}</t>
  </si>
  <si>
    <t>Castle &amp; Cooke North Ramp</t>
  </si>
  <si>
    <t>ChIJSXoWM_-ZwoARLwX6m4OWyro</t>
  </si>
  <si>
    <t>16461 Sherman Way, Van Nuys, CA 91406, USA</t>
  </si>
  <si>
    <t>{"html_attributions":[],"result":{"address_components":[{"long_name":"16461","short_name":"16461","types":["street_number"]},{"long_name":"Sherman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Way&lt;/span&gt;, &lt;span class=\"locality\"&gt;Van Nuys&lt;/span&gt;, &lt;span class=\"region\"&gt;CA&lt;/span&gt; &lt;span class=\"postal-code\"&gt;91406&lt;/span&gt;, &lt;span class=\"country-name\"&gt;USA&lt;/span&gt;","formatted_address":"16461 Sherman Way, Van Nuys, CA 91406, USA","formatted_phone_number":"(818) 988-8385","geometry":{"location":{"lat":34.2085282,"lng":-118.4921351},"viewport":{"northeast":{"lat":34.2098943302915,"lng":-118.4909309197085},"southwest":{"lat":34.2071963697085,"lng":-118.4936288802915}}},"icon":"https://maps.gstatic.com/mapfiles/place_api/icons/v1/png_71/generic_business-71.png","id":null,"international_phone_number":"+1 818-988-8385","name":"Castle &amp; Cooke North Ramp","place_id":"ChIJSXoWM_-ZwoARLwX6m4OWyro","rating":5.0,"reference":null,"reviews":[{"author_name":"Matthew Edler","author_url":"https://www.google.com/maps/contrib/105677552150087635534/reviews","language":null,"profile_photo_url":"https://lh6.googleusercontent.com/-HUzmv100W2o/AAAAAAAAAAI/AAAAAAAAAAA/AMZuuck0FECkAwD4oKMMzQn-h8U8NT2HUA/s128-c0x00000000-cc-rp-mo/photo.jpg","rating":5,"relative_time_description":"11 months ago","text":"","time":1584509180}],"types":["point_of_interest","establishment"],"url":"https://maps.google.com/?cid=13459735928351884591","utc_offset":-480,"vicinity":"16461 Sherman Way, Van Nuys","website":"https://www.castlecookeaviation.com/van-nuys-ca/"},"status":"OK"}</t>
  </si>
  <si>
    <t>&lt;span class="street-address"&gt;16461 Sherman Way&lt;/span&gt;, &lt;span class="locality"&gt;Van Nuys&lt;/span&gt;, &lt;span class="region"&gt;CA&lt;/span&gt; &lt;span class="postal-code"&gt;91406&lt;/span&gt;, &lt;span class="country-name"&gt;USA&lt;/span&gt;</t>
  </si>
  <si>
    <t>16461 Sherman Way, Van Nuys</t>
  </si>
  <si>
    <t>https://www.castlecookeaviation.com/van-nuys-ca/</t>
  </si>
  <si>
    <t>https://maps.googleapis.com/maps/api/place/findplacefromtext/json?input=%2B18187852577&amp;inputtype=phonenumber&amp;fields=business_status,formatted_address,geometry,icon,name,permanently_closed,place_id,plus_code,types&amp;key=AIzaSyAUoR1hu32epmid_r-h7_AiXQWhNu3zr3U</t>
  </si>
  <si>
    <t>furniture_store,home_goods_store,point_of_interest,store,establishment</t>
  </si>
  <si>
    <t>{"business_status":"OPERATIONAL","formatted_address":"16122 Saticoy St, Van Nuys, CA 91406, USA","geometry":{"location":{"lat":34.20819180000001,"lng":-118.4844778},"viewport":{"northeast":{"lat":34.2095490802915,"lng":-118.4831038197085},"southwest":{"lat":34.2068511197085,"lng":-118.4858017802915}}},"icon":"https://maps.gstatic.com/mapfiles/place_api/icons/v1/png_71/shopping-71.png","name":"Extraord-N-Air","place_id":"ChIJQSeTpPiZwoARuY2w7Z5s4e4","plus_code":{"compound_code":"6G58+76 Van Nuys, Los Angeles, CA, USA","global_code":"85636G58+76"},"types":["furniture_store","home_goods_store","point_of_interest","store","establishment"]}</t>
  </si>
  <si>
    <t>Extraord-N-Air</t>
  </si>
  <si>
    <t>ChIJQSeTpPiZwoARuY2w7Z5s4e4</t>
  </si>
  <si>
    <t>16122 Saticoy St, Van Nuys, CA 91406, USA</t>
  </si>
  <si>
    <t>{"html_attributions":[],"result":{"address_components":[{"long_name":"16122","short_name":"16122","types":["street_number"]},{"long_name":"Saticoy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class=\"street-address\"&gt;16122 Saticoy St&lt;/span&gt;, &lt;span class=\"locality\"&gt;Van Nuys&lt;/span&gt;, &lt;span class=\"region\"&gt;CA&lt;/span&gt; &lt;span class=\"postal-code\"&gt;91406-2914&lt;/span&gt;, &lt;span class=\"country-name\"&gt;USA&lt;/span&gt;","formatted_address":"16122 Saticoy St, Van Nuys, CA 91406, USA","formatted_phone_number":"(818) 785-2577","geometry":{"location":{"lat":34.20819180000001,"lng":-118.4844778},"viewport":{"northeast":{"lat":34.2095490802915,"lng":-118.4831038197085},"southwest":{"lat":34.2068511197085,"lng":-118.4858017802915}}},"icon":"https://maps.gstatic.com/mapfiles/place_api/icons/v1/png_71/shopping-71.png","id":null,"international_phone_number":"+1 818-785-2577","name":"Extraord-N-Air","place_id":"ChIJQSeTpPiZwoARuY2w7Z5s4e4","rating":5.0,"reference":null,"reviews":[{"author_name":"Juan Torres","author_url":"https://www.google.com/maps/contrib/102001628945625840223/reviews","language":"en","profile_photo_url":"https://lh5.googleusercontent.com/-vFNtAN6d8GU/AAAAAAAAAAI/AAAAAAAAAAA/AMZuuclFvJI7FIuvZRoZV6NsR-nURWIqew/s128-c0x00000000-cc-rp-mo/photo.jpg","rating":5,"relative_time_description":"2 years ago","text":"Juts quality and service on time","time":1547851817},{"author_name":"Leon Cerna","author_url":"https://www.google.com/maps/contrib/116493129828672306147/reviews","language":null,"profile_photo_url":"https://lh5.googleusercontent.com/-wf1qKvEzzVc/AAAAAAAAAAI/AAAAAAAAAAA/AMZuucl9zG7BR6gNZo3PGFMj4zufMGOxZg/s128-c0x00000000-cc-rp-mo-ba2/photo.jpg","rating":5,"relative_time_description":"2 years ago","text":"","time":1528585896}],"types":["furniture_store","home_goods_store","point_of_interest","store","establishment"],"url":"https://maps.google.com/?cid=17213158680635149753","utc_offset":-480,"vicinity":"16122 Saticoy Street, Van Nuys","website":"https://www.extraordnair.com/"},"status":"OK"}</t>
  </si>
  <si>
    <t>&lt;span class="street-address"&gt;16122 Saticoy St&lt;/span&gt;, &lt;span class="locality"&gt;Van Nuys&lt;/span&gt;, &lt;span class="region"&gt;CA&lt;/span&gt; &lt;span class="postal-code"&gt;91406-2914&lt;/span&gt;, &lt;span class="country-name"&gt;USA&lt;/span&gt;</t>
  </si>
  <si>
    <t>+1 818-785-2577</t>
  </si>
  <si>
    <t>16122 Saticoy Street, Van Nuys</t>
  </si>
  <si>
    <t>https://www.extraordnair.com/</t>
  </si>
  <si>
    <t>https://maps.googleapis.com/maps/api/place/findplacefromtext/json?input=%2B18189336509&amp;inputtype=phonenumber&amp;fields=business_status,formatted_address,geometry,icon,name,permanently_closed,place_id,plus_code,types&amp;key=AIzaSyAUoR1hu32epmid_r-h7_AiXQWhNu3zr3U</t>
  </si>
  <si>
    <t>{"business_status":"OPERATIONAL","formatted_address":"16700 Roscoe Blvd Hangar C, Van Nuys, CA 91406, USA","geometry":{"location":{"lat":34.2193483,"lng":-118.4961384},"viewport":{"northeast":{"lat":34.22083068029149,"lng":-118.4946459697085},"southwest":{"lat":34.2181327197085,"lng":-118.4973439302915}}},"icon":"https://maps.gstatic.com/mapfiles/place_api/icons/v1/png_71/generic_business-71.png","name":"Jetworx","place_id":"ChIJkZ1InVWXwoARUSeMd6K4q9Q","plus_code":{"compound_code":"6G93+PG Van Nuys, Los Angeles, CA, USA","global_code":"85636G93+PG"},"types":["point_of_interest","establishment"]}</t>
  </si>
  <si>
    <t>Jetworx</t>
  </si>
  <si>
    <t>ChIJkZ1InVWXwoARUSeMd6K4q9Q</t>
  </si>
  <si>
    <t>16700 Roscoe Blvd Hangar C,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</si>
  <si>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States","short_name":"US","types":["country","political"]},{"long_name":"91406","short_name":"91406","types":["postal_code"]}],"adr_address":"16700 Roscoe Blvd Hangar C, &lt;span class=\"locality\"&gt;Van Nuys&lt;/span&gt;, &lt;span class=\"region\"&gt;CA&lt;/span&gt; &lt;span class=\"postal-code\"&gt;91406&lt;/span&gt;, &lt;span class=\"country-name\"&gt;USA&lt;/span&gt;","formatted_address":"16700 Roscoe Blvd Hangar C, Van Nuys, CA 91406, USA","formatted_phone_number":"(818) 933-6509","geometry":{"location":{"lat":34.2193483,"lng":-118.4961384},"viewport":{"northeast":{"lat":34.22083068029149,"lng":-118.4946459697085},"southwest":{"lat":34.2181327197085,"lng":-118.4973439302915}}},"icon":"https://maps.gstatic.com/mapfiles/place_api/icons/v1/png_71/generic_business-71.png","id":null,"international_phone_number":"+1 818-933-6509","name":"Jetworx","place_id":"ChIJkZ1InVWXwoARUSeMd6K4q9Q","rating":5.0,"reference":null,"reviews":[{"author_name":"Siemen Peter","author_url":"https://www.google.com/maps/contrib/103073596975408056413/reviews","language":null,"profile_photo_url":"https://lh3.googleusercontent.com/a-/AOh14GgaPv_uKpD2vZxzk54A7f6U_wBxKYNDuSthN3tS7g=s128-c0x00000000-cc-rp-mo-ba2","rating":5,"relative_time_description":"3 years ago","text":"","time":1513173188}],"types":["point_of_interest","establishment"],"url":"https://maps.google.com/?cid=15324545164988131153","utc_offset":-480,"vicinity":"16700 Roscoe Blvd Hangar C, Van Nuys","website":"http://www.jetworx.com/"},"status":"OK"}</t>
  </si>
  <si>
    <t>16700 Roscoe Blvd Hangar C, &lt;span class="locality"&gt;Van Nuys&lt;/span&gt;, &lt;span class="region"&gt;CA&lt;/span&gt; &lt;span class="postal-code"&gt;91406&lt;/span&gt;, &lt;span class="country-name"&gt;USA&lt;/span&gt;</t>
  </si>
  <si>
    <t>+1 818-933-6509</t>
  </si>
  <si>
    <t>16700 Roscoe Blvd Hangar C, Van Nuys</t>
  </si>
  <si>
    <t>http://www.jetworx.com/</t>
  </si>
  <si>
    <t>https://maps.googleapis.com/maps/api/place/findplacefromtext/json?input=%2B18183761606&amp;inputtype=phonenumber&amp;fields=business_status,formatted_address,geometry,icon,name,permanently_closed,place_id,plus_code,types&amp;key=AIzaSyAUoR1hu32epmid_r-h7_AiXQWhNu3zr3U</t>
  </si>
  <si>
    <t>{"business_status":"OPERATIONAL","formatted_address":"16101 Saticoy St, Van Nuys, CA 91406, USA","geometry":{"location":{"lat":34.2096312,"lng":-118.4858351},"viewport":{"northeast":{"lat":34.21072313029151,"lng":-118.4844829697085},"southwest":{"lat":34.20802516970851,"lng":-118.4871809302915}}},"icon":"https://maps.gstatic.com/mapfiles/place_api/icons/v1/png_71/generic_business-71.png","name":"Mike Boal Designs","place_id":"ChIJBRtnylWXwoAR6GVeAiL2zbY","plus_code":{"compound_code":"6G57+VM Van Nuys, Los Angeles, CA, USA","global_code":"85636G57+VM"},"types":["point_of_interest","establishment"]}</t>
  </si>
  <si>
    <t>ChIJBRtnylWXwoAR6GVeAiL2zbY</t>
  </si>
  <si>
    <t>16101 Saticoy St, Van Nuys, CA 91406, USA</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</si>
  <si>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376-1606","geometry":{"location":{"lat":34.2096312,"lng":-118.4858351},"viewport":{"northeast":{"lat":34.21072313029151,"lng":-118.4844829697085},"southwest":{"lat":34.20802516970851,"lng":-118.4871809302915}}},"icon":"https://maps.gstatic.com/mapfiles/place_api/icons/v1/png_71/generic_business-71.png","id":null,"international_phone_number":"+1 818-376-1606","name":"Mike Boal Designs","place_id":"ChIJBRtnylWXwoAR6GVeAiL2zbY","rating":null,"reference":null,"reviews":null,"types":["point_of_interest","establishment"],"url":"https://maps.google.com/?cid=13172455111057630696","utc_offset":-480,"vicinity":"16101 Saticoy Street, Van Nuys","website":"https://mikeboaldesigns.com/"},"status":"OK"}</t>
  </si>
  <si>
    <t>&lt;span class="street-address"&gt;16101 Saticoy St&lt;/span&gt;, &lt;span class="locality"&gt;Van Nuys&lt;/span&gt;, &lt;span class="region"&gt;CA&lt;/span&gt; &lt;span class="postal-code"&gt;91406-2915&lt;/span&gt;, &lt;span class="country-name"&gt;USA&lt;/span&gt;</t>
  </si>
  <si>
    <t>+1 818-376-1606</t>
  </si>
  <si>
    <t>16101 Saticoy Street, Van Nuys</t>
  </si>
  <si>
    <t>https://mikeboaldesigns.com/</t>
  </si>
  <si>
    <t>https://maps.googleapis.com/maps/api/place/findplacefromtext/json?input=%2B18184426500&amp;inputtype=phonenumber&amp;fields=business_status,formatted_address,geometry,icon,name,permanently_closed,place_id,plus_code,types&amp;key=AIzaSyAUoR1hu32epmid_r-h7_AiXQWhNu3zr3U</t>
  </si>
  <si>
    <t>tourist_attraction,point_of_interest,establishment</t>
  </si>
  <si>
    <t>{"business_status":"OPERATIONAL","formatted_address":"Waterman Dr, Van Nuys, CA 91406, USA","geometry":{"location":{"lat":34.2151031,"lng":-118.4884099},"viewport":{"northeast":{"lat":34.2164297802915,"lng":-118.4870603697085},"southwest":{"lat":34.2137318197085,"lng":-118.4897583302915}}},"icon":"https://maps.gstatic.com/mapfiles/place_api/icons/v1/png_71/generic_business-71.png","name":"Van Nuys Airport Observation Area","place_id":"ChIJ1Uf2wgCawoARh0-sbLLuukY","plus_code":{"compound_code":"6G86+2J Van Nuys, Los Angeles, CA, USA","global_code":"85636G86+2J"},"types":["tourist_attraction","point_of_interest","establishment"]}</t>
  </si>
  <si>
    <t>Van Nuys Airport Observation Area</t>
  </si>
  <si>
    <t>ChIJ1Uf2wgCawoARh0-sbLLuukY</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</si>
  <si>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442-6500","geometry":{"location":{"lat":34.2151031,"lng":-118.4884099},"viewport":{"northeast":{"lat":34.2164297802915,"lng":-118.4870603697085},"southwest":{"lat":34.2137318197085,"lng":-118.4897583302915}}},"icon":"https://maps.gstatic.com/mapfiles/place_api/icons/v1/png_71/generic_business-71.png","id":null,"international_phone_number":"+1 818-442-6500","name":"Van Nuys Airport Observation Area","place_id":"ChIJ1Uf2wgCawoARh0-sbLLuukY","rating":4.7,"reference":null,"reviews":[{"author_name":"Farhat Hye","author_url":"https://www.google.com/maps/contrib/113486548588076458990/reviews","language":"en","profile_photo_url":"https://lh3.googleusercontent.com/a-/AOh14GjWouthDOcNsXULLpI_CmS44XsTHVnYm6Dy1p7vlQ=s128-c0x00000000-cc-rp-mo","rating":4,"relative_time_description":"a month ago","text":"My son loves to see airplane so we take him there. But sometimes there are a lot of people. You have to be careful because the children runs around and the car comes and goes so just to be sure keep an eye on your children.","time":1609706479},{"author_name":"Vladimir P","author_url":"https://www.google.com/maps/contrib/101465948041951503858/reviews","language":"en","profile_photo_url":"https://lh3.googleusercontent.com/a-/AOh14GjcoNuWRgcT0Phmc1_R3rDWA1K_gKtLM8IvyLk-5dw=s128-c0x00000000-cc-rp-mo-ba2","rating":5,"relative_time_description":"2 months ago","text":"We like this place! Is awesome, have good time with my kids.","time":1606709696},{"author_name":"Donald Jacob","author_url":"https://www.google.com/maps/contrib/104864622026809932886/reviews","language":"en","profile_photo_url":"https://lh3.googleusercontent.com/a-/AOh14GiEQ9kAZjaEQTemINazlB9TbM8c2X2iSNuSiOM3Uw=s128-c0x00000000-cc-rp-mo-ba2","rating":5,"relative_time_description":"a month ago","text":"Great place to go, relax and see some incrediable aircraft. Don't forget your air band radio for an enhanced experience.","time":1610839645},{"author_name":"Dhaval Jariwala","author_url":"https://www.google.com/maps/contrib/101067213044733947313/reviews","language":"en","profile_photo_url":"https://lh3.googleusercontent.com/a-/AOh14GhmtpcAhLyFBXRT7KftNOX2ZAGEaFOX2stWwI0HCA=s128-c0x00000000-cc-rp-mo","rating":5,"relative_time_description":"4 months ago","text":"My girls really enjoy the Helicopter taking off and landing. And love seeing different plane.","time":1602461858},{"author_name":"mike oneal","author_url":"https://www.google.com/maps/contrib/111202679215940811238/reviews","language":"en","profile_photo_url":"https://lh6.googleusercontent.com/-tuQJKJnuBs8/AAAAAAAAAAI/AAAAAAAAAAA/AMZuucl1j7UKBeumceIbUqEeRGesCUGy-A/s128-c0x00000000-cc-rp-mo/photo.jpg","rating":5,"relative_time_description":"a month ago","text":"Seeing the toddler's gaze at the aircraft taxing, landing, and taking off is inspirational. Fun times!","time":1609157300}],"types":["tourist_attraction","point_of_interest","establishment"],"url":"https://maps.google.com/?cid=5096648378417958791","utc_offset":-480,"vicinity":"Waterman Drive, Van Nuys","website":"https://www.iflyvny.com/en/news-and-facts/airport-features"},"status":"OK"}</t>
  </si>
  <si>
    <t>+1 818-442-6500</t>
  </si>
  <si>
    <t>https://www.iflyvny.com/en/news-and-facts/airport-features</t>
  </si>
  <si>
    <t>https://maps.googleapis.com/maps/api/place/findplacefromtext/json?input=THORNTON%20AIRCRAFT%20COMPANY%20LLC%207520%20HAYVENHURST%20AVENUE%20%20VAN%20NUYS%20CA%2091406&amp;key=AIzaSyAUoR1hu32epmid_r-h7_AiXQWhNu3zr3U&amp;inputtype=textquery&amp;fields=business_status,formatted_address,geometry,icon,name,permanently_closed,place_id,plus_code,types</t>
  </si>
  <si>
    <t>{"business_status":"OPERATIONAL","formatted_address":"7520 Hayvenhurst Ave, Van Nuys, CA 91406, United States","geometry":{"location":{"lat":34.2069692,"lng":-118.4937886},"viewport":{"northeast":{"lat":34.20826822989271,"lng":-118.4924394201073},"southwest":{"lat":34.20556857010727,"lng":-118.4951390798928}}},"icon":"https://maps.gstatic.com/mapfiles/place_api/icons/v1/png_71/generic_business-71.png","name":"Thornton Aircraft Co","place_id":"ChIJl5mi4viZwoAROneM4HUIxdo","plus_code":{"compound_code":"6G44+QF Van Nuys, Los Angeles, CA","global_code":"85636G44+QF"},"types":["point_of_interest","store","establishment"]}</t>
  </si>
  <si>
    <t>Thornton Aircraft Co</t>
  </si>
  <si>
    <t>ChIJl5mi4viZwoAROneM4HUIxdo</t>
  </si>
  <si>
    <t>7520 Hayvenhurst Ave, Van Nuys, CA 91406, United States</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</si>
  <si>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Aircraft Co","place_id":"ChIJl5mi4viZwoAROneM4HUIxdo","rating":5.0,"reference":null,"reviews":[{"author_name":"андрей Моз","author_url":"https://www.google.com/maps/contrib/110993639755379924193/reviews","language":null,"profile_photo_url":"https://lh4.googleusercontent.com/-LOaO-x5Ehbw/AAAAAAAAAAI/AAAAAAAAAAA/AMZuuck3ikow0FVzV9L0s6rrGZYrQI5LdQ/s128-c0x00000000-cc-rp-mo/photo.jpg","rating":5,"relative_time_description":"4 years ago","text":"","time":1461862837},{"author_name":"Mark Bloomer","author_url":"https://www.google.com/maps/contrib/112244178678080110712/reviews","language":null,"profile_photo_url":"https://lh3.googleusercontent.com/a-/AOh14Ghi8nq3ALExBmbJHLfVFYc607N0C_rpUnckvoiM=s128-c0x00000000-cc-rp-mo","rating":5,"relative_time_description":"2 months ago","text":"","time":1606073603},{"author_name":"Terry B.","author_url":"https://www.google.com/maps/contrib/108252125327264690907/reviews","language":null,"profile_photo_url":"https://lh6.googleusercontent.com/-8yTCI_UyfQQ/AAAAAAAAAAI/AAAAAAAAAAA/AMZuucl6-LIvwKRnTkqzgBLiufxsK6LqoA/s128-c0x00000000-cc-rp-mo/photo.jpg","rating":5,"relative_time_description":"3 months ago","text":"","time":1603823024}],"types":["point_of_interest","store","establishment"],"url":"https://maps.google.com/?cid=15764015373051787066","utc_offset":-480,"vicinity":"7520 Hayvenhurst Avenue, Van Nuys","website":"http://www.thorntonaircraft.com/"},"status":"OK"}</t>
  </si>
  <si>
    <t>&lt;span class="street-address"&gt;7520 Hayvenhurst Ave&lt;/span&gt;, &lt;span class="locality"&gt;Van Nuys&lt;/span&gt;, &lt;span class="region"&gt;CA&lt;/span&gt; &lt;span class="postal-code"&gt;91406-2844&lt;/span&gt;, &lt;span class="country-name"&gt;USA&lt;/span&gt;</t>
  </si>
  <si>
    <t>(818) 787-0205</t>
  </si>
  <si>
    <t>+1 818-787-0205</t>
  </si>
  <si>
    <t>7520 Hayvenhurst Avenue, Van Nuys</t>
  </si>
  <si>
    <t>http://www.thorntonaircraft.com/</t>
  </si>
  <si>
    <t>https://maps.googleapis.com/maps/api/place/findplacefromtext/json?input=MATHER%20AVIATION%20VAN%20NUYS%20LLC%207240%20HAVENHURST%20PLACE%20%20VAN%20NUYS%20CA%2091406&amp;key=AIzaSyAUoR1hu32epmid_r-h7_AiXQWhNu3zr3U&amp;inputtype=textquery&amp;fields=business_status,formatted_address,geometry,icon,name,permanently_closed,place_id,plus_code,types</t>
  </si>
  <si>
    <t>{"business_status":"OPERATIONAL","formatted_address":"7240 Hayvenhurst Pl, Van Nuys, CA 91406, United States","geometry":{"location":{"lat":34.2036662,"lng":-118.4922816},"viewport":{"northeast":{"lat":34.20501577989272,"lng":-118.4909996201073},"southwest":{"lat":34.20231612010728,"lng":-118.4936992798928}}},"icon":"https://maps.gstatic.com/mapfiles/place_api/icons/v1/png_71/generic_business-71.png","name":"Mather Aviation","place_id":"ChIJwwAGiPuZwoARj60dJoMRBOA","plus_code":{"compound_code":"6G35+F3 Van Nuys, Los Angeles, CA","global_code":"85636G35+F3"},"types":["point_of_interest","store","establishment"]}</t>
  </si>
  <si>
    <t>Mather Aviation</t>
  </si>
  <si>
    <t>ChIJwwAGiPuZwoARj60dJoMRBOA</t>
  </si>
  <si>
    <t>7240 Hayvenhurst Pl, Van Nuys, CA 91406, United States</t>
  </si>
  <si>
    <t>{"html_attributions":[],"result":{"address_components":[{"long_name":"7240","short_name":"7240","types":["street_number"]},{"long_name":"Hayvenhurst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Pl&lt;/span&gt;, &lt;span class=\"locality\"&gt;Van Nuys&lt;/span&gt;, &lt;span class=\"region\"&gt;CA&lt;/span&gt; &lt;span class=\"postal-code\"&gt;91406&lt;/span&gt;, &lt;span class=\"country-name\"&gt;USA&lt;/span&gt;","formatted_address":"7240 Hayvenhurst Pl, Van Nuys, CA 91406, USA","formatted_phone_number":"(818) 782-7473","geometry":{"location":{"lat":34.2036662,"lng":-118.4922816},"viewport":{"northeast":{"lat":34.2050149302915,"lng":-118.4910004697085},"southwest":{"lat":34.2023169697085,"lng":-118.4936984302915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Aviation","place_id":"ChIJwwAGiPuZwoARj60dJoMRBOA","rating":null,"reference":null,"reviews":null,"types":["point_of_interest","store","establishment"],"url":"https://maps.google.com/?cid=16142046219380567439","utc_offset":-480,"vicinity":"7240 Hayvenhurst Place, Van Nuys","website":"http://www.matheraviation.com/"},"status":"OK"}</t>
  </si>
  <si>
    <t>&lt;span class="street-address"&gt;7240 Hayvenhurst Pl&lt;/span&gt;, &lt;span class="locality"&gt;Van Nuys&lt;/span&gt;, &lt;span class="region"&gt;CA&lt;/span&gt; &lt;span class="postal-code"&gt;91406&lt;/span&gt;, &lt;span class="country-name"&gt;USA&lt;/span&gt;</t>
  </si>
  <si>
    <t>(818) 782-7473</t>
  </si>
  <si>
    <t>+1 818-782-7473</t>
  </si>
  <si>
    <t>7240 Hayvenhurst Place, Van Nuys</t>
  </si>
  <si>
    <t>http://www.matheraviation.com/</t>
  </si>
  <si>
    <t>https://maps.googleapis.com/maps/api/place/findplacefromtext/json?input=MP%20AERO%2C%20LLC%207701%20WOODLEY%20AVENUE%20%20VAN%20NUYS%20CA%2091406&amp;key=AIzaSyAUoR1hu32epmid_r-h7_AiXQWhNu3zr3U&amp;inputtype=textquery&amp;fields=business_status,formatted_address,geometry,icon,name,permanently_closed,place_id,plus_code,types</t>
  </si>
  <si>
    <t>{"business_status":"OPERATIONAL","formatted_address":"7701 Woodley Ave, Van Nuys, CA 91406, United States","geometry":{"location":{"lat":34.2104936,"lng":-118.4851898},"viewport":{"northeast":{"lat":34.21184497989272,"lng":-118.4837325201073},"southwest":{"lat":34.20914532010728,"lng":-118.4864321798927}}},"icon":"https://maps.gstatic.com/mapfiles/place_api/icons/v1/png_71/generic_business-71.png","name":"MP Aero, LLC","place_id":"ChIJwfsvJFWXwoARiM9hP1nfpgQ","plus_code":{"compound_code":"6G67+5W Van Nuys, Los Angeles, CA","global_code":"85636G67+5W"},"types":["point_of_interest","establishment"]}</t>
  </si>
  <si>
    <t>MP Aero, LLC</t>
  </si>
  <si>
    <t>ChIJwfsvJFWXwoARiM9hP1nfpgQ</t>
  </si>
  <si>
    <t>7701 Woodley Ave, Van Nuys, CA 91406, United States</t>
  </si>
  <si>
    <t>{"html_attributions":[],"result":{"address_components":[{"long_name":"7701","short_name":"7701","types":["street_number"]},{"long_name":"Woodley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class=\"street-address\"&gt;7701 Woodley Ave&lt;/span&gt;, &lt;span class=\"locality\"&gt;Van Nuys&lt;/span&gt;, &lt;span class=\"region\"&gt;CA&lt;/span&gt; &lt;span class=\"postal-code\"&gt;91406&lt;/span&gt;, &lt;span class=\"country-name\"&gt;USA&lt;/span&gt;","formatted_address":"7701 Woodley Ave, Van Nuys, CA 91406, USA","formatted_phone_number":"(818) 901-9828","geometry":{"location":{"lat":34.2104936,"lng":-118.4851898},"viewport":{"northeast":{"lat":34.2118441302915,"lng":-118.4837333697085},"southwest":{"lat":34.2091461697085,"lng":-118.4864313302915}}},"icon":"https://maps.gstatic.com/mapfiles/place_api/icons/v1/png_71/generic_business-71.png","id":null,"international_phone_number":"+1 818-901-9828","name":"MP Aero, LLC","place_id":"ChIJwfsvJFWXwoARiM9hP1nfpgQ","rating":1.0,"reference":null,"reviews":[{"author_name":"Himanshu Kathuria","author_url":"https://www.google.com/maps/contrib/106806729383292212225/reviews","language":"en","profile_photo_url":"https://lh3.googleusercontent.com/a-/AOh14GjBPi6A8o1IR7CWmXLsRBrr5vGg1Ij506fCVYLFbA=s128-c0x00000000-cc-rp-mo","rating":1,"relative_time_description":"7 years ago","text":"They let go of an employee after week 1 and lied to him about the job situation and sat on his paycheck all because they realized that gave him a slightly higher salary. The employee turned down other offers to be with MP aero and was let go after 1 week.","time":1387838231}],"types":["point_of_interest","establishment"],"url":"https://maps.google.com/?cid=335200796694138760","utc_offset":-480,"vicinity":"7701 Woodley Avenue, Van Nuys","website":null},"status":"OK"}</t>
  </si>
  <si>
    <t>&lt;span class="street-address"&gt;7701 Woodley Ave&lt;/span&gt;, &lt;span class="locality"&gt;Van Nuys&lt;/span&gt;, &lt;span class="region"&gt;CA&lt;/span&gt; &lt;span class="postal-code"&gt;91406&lt;/span&gt;, &lt;span class="country-name"&gt;USA&lt;/span&gt;</t>
  </si>
  <si>
    <t>(818) 901-9828</t>
  </si>
  <si>
    <t>+1 818-901-9828</t>
  </si>
  <si>
    <t>7701 Woodley Avenue, Van Nuys</t>
  </si>
  <si>
    <t>https://maps.googleapis.com/maps/api/place/findplacefromtext/json?input=EXTRAORD-N-AIR%2C%20INC.%2016122%20Saticoy%20Street%20%20Van%20Nuys%20CA%2091406&amp;key=AIzaSyAUoR1hu32epmid_r-h7_AiXQWhNu3zr3U&amp;inputtype=textquery&amp;fields=business_status,formatted_address,geometry,icon,name,permanently_closed,place_id,plus_code,types</t>
  </si>
  <si>
    <t>{"business_status":"OPERATIONAL","formatted_address":"16122 Saticoy St, Van Nuys, CA 91406, United States","geometry":{"location":{"lat":34.2081918,"lng":-118.4844778},"viewport":{"northeast":{"lat":34.20954992989273,"lng":-118.4831029701073},"southwest":{"lat":34.20685027010729,"lng":-118.4858026298927}}},"icon":"https://maps.gstatic.com/mapfiles/place_api/icons/v1/png_71/shopping-71.png","name":"Extraord-N-Air","place_id":"ChIJQSeTpPiZwoARuY2w7Z5s4e4","plus_code":{"compound_code":"6G58+76 Van Nuys, Los Angeles, CA","global_code":"85636G58+76"},"types":["furniture_store","home_goods_store","point_of_interest","store","establishment"]}</t>
  </si>
  <si>
    <t>16122 Saticoy St, Van Nuys, CA 91406, United States</t>
  </si>
  <si>
    <t>https://maps.googleapis.com/maps/api/place/findplacefromtext/json?input=A%20PLUS%20AVIONICS%20CORP%207240%20HAYVENHURST%20AVENUE%20%20VAN%20NUYS%20CA%2091406&amp;key=AIzaSyAUoR1hu32epmid_r-h7_AiXQWhNu3zr3U&amp;inputtype=textquery&amp;fields=business_status,formatted_address,geometry,icon,name,permanently_closed,place_id,plus_code,types</t>
  </si>
  <si>
    <t>https://maps.googleapis.com/maps/api/place/findplacefromtext/json?input=RTS%20AIRCRAFT%20SERVICES%20LLC%207155%20Valjean%20Avenue%20Hangar%204%20Van%20Nuys%20CA%2091406&amp;key=AIzaSyAUoR1hu32epmid_r-h7_AiXQWhNu3zr3U&amp;inputtype=textquery&amp;fields=business_status,formatted_address,geometry,icon,name,permanently_closed,place_id,plus_code,types</t>
  </si>
  <si>
    <t>{"business_status":"OPERATIONAL","formatted_address":"7155 Valjean Avenue, Hangar 4, Van Nuys, CA 91406, United States","geometry":{"location":{"lat":34.2005997,"lng":-118.4873475},"viewport":{"northeast":{"lat":34.20200322989272,"lng":-118.4859915201073},"southwest":{"lat":34.19930357010728,"lng":-118.4886911798927}}},"icon":"https://maps.gstatic.com/mapfiles/place_api/icons/v1/png_71/generic_business-71.png","name":"RTS Aircraft Services","place_id":"ChIJF0eQuuKZwoARruyBfp0iKJw","plus_code":{"compound_code":"6G27+63 Van Nuys, Los Angeles, CA","global_code":"85636G27+63"},"types":["point_of_interest","store","establishment"]}</t>
  </si>
  <si>
    <t>RTS Aircraft Services</t>
  </si>
  <si>
    <t>ChIJF0eQuuKZwoARruyBfp0iKJw</t>
  </si>
  <si>
    <t>7155 Valjean Avenue, Hangar 4, Van Nuys, CA 91406, United States</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</si>
  <si>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Services","place_id":"ChIJF0eQuuKZwoARruyBfp0iKJw","rating":null,"reference":null,"reviews":null,"types":["point_of_interest","store","establishment"],"url":"https://maps.google.com/?cid=11252281728812838062","utc_offset":-480,"vicinity":"7155 Valjean Avenue, Hangar 4, Van Nuys","website":"http://www.rts.aero/"},"status":"OK"}</t>
  </si>
  <si>
    <t>7155 Valjean Avenue, Hangar 4, &lt;span class="locality"&gt;Van Nuys&lt;/span&gt;, &lt;span class="region"&gt;CA&lt;/span&gt; &lt;span class="postal-code"&gt;91406&lt;/span&gt;, &lt;span class="country-name"&gt;USA&lt;/span&gt;</t>
  </si>
  <si>
    <t>(818) 855-2228</t>
  </si>
  <si>
    <t>+1 818-855-2228</t>
  </si>
  <si>
    <t>7155 Valjean Avenue, Hangar 4, Van Nuys</t>
  </si>
  <si>
    <t>http://www.rts.aero/</t>
  </si>
  <si>
    <t>https://maps.googleapis.com/maps/api/place/findplacefromtext/json?input=HELINET%20AVIATION%20SERVICES%20LLC%2016303%20WATERMAN%20DR.%20%20VAN%20NUYS%20CA%2091406&amp;key=AIzaSyAUoR1hu32epmid_r-h7_AiXQWhNu3zr3U&amp;inputtype=textquery&amp;fields=business_status,formatted_address,geometry,icon,name,permanently_closed,place_id,plus_code,types</t>
  </si>
  <si>
    <t>travel_agency,point_of_interest,establishment</t>
  </si>
  <si>
    <t>{"business_status":"OPERATIONAL","formatted_address":"16303 Waterman Dr, Van Nuys, CA 91406, United States","geometry":{"location":{"lat":34.215257,"lng":-118.487668},"viewport":{"northeast":{"lat":34.21650177989272,"lng":-118.4863486701073},"southwest":{"lat":34.21380212010727,"lng":-118.4890483298927}}},"icon":"https://maps.gstatic.com/mapfiles/place_api/icons/v1/png_71/generic_business-71.png","name":"Helinet","place_id":"ChIJffpugw-awoARB91VQBPLBGo","plus_code":{"compound_code":"6G86+4W Van Nuys, Los Angeles, CA","global_code":"85636G86+4W"},"types":["travel_agency","point_of_interest","establishment"]}</t>
  </si>
  <si>
    <t>Helinet</t>
  </si>
  <si>
    <t>ChIJffpugw-awoARB91VQBPLBGo</t>
  </si>
  <si>
    <t>16303 Waterman Dr, Van Nuys, CA 91406, United States</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</si>
  <si>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class=\"street-address\"&gt;16303 Waterman Dr&lt;/span&gt;, &lt;span class=\"locality\"&gt;Van Nuys&lt;/span&gt;, &lt;span class=\"region\"&gt;CA&lt;/span&gt; &lt;span class=\"postal-code\"&gt;91406&lt;/span&gt;, &lt;span class=\"country-name\"&gt;USA&lt;/span&gt;","formatted_address":"16303 Waterman Dr, Van Nuys, CA 91406, USA","formatted_phone_number":"(818) 902-0229","geometry":{"location":{"lat":34.215257,"lng":-118.487668},"viewport":{"northeast":{"lat":34.2165009302915,"lng":-118.4863495197085},"southwest":{"lat":34.2138029697085,"lng":-118.4890474802915}}},"icon":"https://maps.gstatic.com/mapfiles/place_api/icons/v1/png_71/generic_business-71.png","id":null,"international_phone_number":"+1 818-902-0229","name":"Helinet","place_id":"ChIJffpugw-awoARB91VQBPLBGo","rating":4.1,"reference":null,"reviews":[{"author_name":"Sam Bien","author_url":"https://www.google.com/maps/contrib/114932441746529753752/reviews","language":"en","profile_photo_url":"https://lh6.googleusercontent.com/-rnbXWvPUxq4/AAAAAAAAAAI/AAAAAAAAAAA/AMZuuclZKcQ5bHs81XYp86WSjAvZ1nkhrA/s128-c0x00000000-cc-rp-mo/photo.jpg","rating":1,"relative_time_description":"a week ago","text":"They do not follow the voluntary 7 am curfew and hover over residential areas. Very upsetting.","time":1612534803},{"author_name":"N Brown","author_url":"https://www.google.com/maps/contrib/117780332006248904192/reviews","language":"en","profile_photo_url":"https://lh3.googleusercontent.com/a-/AOh14GhSTAtDVa3SMZjRBrGqVDSsG0Mzmu6I-UHtDDy5=s128-c0x00000000-cc-rp-mo","rating":5,"relative_time_description":"a year ago","text":"For those with concerns as to how or why a helicopter can or may fly lower than fixed wing traffic in your area, please understand it is recognized and sanctioned in most cases by the FAA.\n\nIn summary, Part 91.119 of the FAR contains 4 general paragraphs concerning the flight altitudes of aircraft. Specific to helicopters will be paragraph 4, which in short states helicopters do not have to abide by altitude restrictions unless specifically prescribed for them.\n\nHelicopters are often chosen for their unique ability to do what planes cannot....which is to precisely maneuver and/or hover in a given area for a multitude of reasons. Hence the need for helicopters to operate separately from general FAA fixed wing regulations.","time":1564357285},{"author_name":"Airstream Jets","author_url":"https://www.google.com/maps/contrib/102879533825812002590/reviews","language":"en","profile_photo_url":"https://lh3.googleusercontent.com/a-/AOh14GhS0qTutbK3eGe7JqV1Mcy-JuvViZF2YgehK0kebA=s128-c0x00000000-cc-rp-mo-ba2","rating":5,"relative_time_description":"2 years ago","text":"Helinet is a trusted partner of ASJ and a highly experiened helicopter charter company in Southern California. Brady and his team at Helinet are second to none. Very professional, responsive and they have the finest fleet of choppers you will find anywhere.","time":1523996705},{"author_name":"P R","author_url":"https://www.google.com/maps/contrib/104121981803420701237/reviews","language":"en","profile_photo_url":"https://lh3.googleusercontent.com/-gP26hCQ4BBk/AAAAAAAAAAI/AAAAAAAAAAA/AMZuuckM7qLXQj8j-xZDgb2USE73N8lITg/s128-c0x00000000-cc-rp-mo/photo.jpg","rating":1,"relative_time_description":"2 years ago","text":"Unfortunately, this company has difficulty with following flight regulations and standards. Myself and several associates will be filing an operations report with the FAA. We are disappointed as this used to be a great company.","time":1545256008},{"author_name":"Average Joe","author_url":"https://www.google.com/maps/contrib/102758871154664338097/reviews","language":"en","profile_photo_url":"https://lh6.googleusercontent.com/-7kLDiLPRF8g/AAAAAAAAAAI/AAAAAAAAAAA/AMZuucnmPiyK6c6qAp6bd15SehE9Z-IRng/s128-c0x00000000-cc-rp-mo/photo.jpg","rating":1,"relative_time_description":"a year ago","text":"These guys fly very low over the tops of Sherman Oaks and Studio City residential neighborhoods. They claim they're following prescribed flight paths but when you contact VNY, you are told the helicopter pilots can fly at a higher altitude but they choose not to. Plus they completely ignore the voluntary curfew on flying before 7AM because...they get paid money to violate the curfew so they just don't care.\n\nHelinet Aviation is an inconsiderate neighbor and should be boycotted.","time":1558541086}],"types":["travel_agency","point_of_interest","establishment"],"url":"https://maps.google.com/?cid=7639454151471389959","utc_offset":-480,"vicinity":"16303 Waterman Drive, Van Nuys","website":"http://helinet.com/"},"status":"OK"}</t>
  </si>
  <si>
    <t>&lt;span class="street-address"&gt;16303 Waterman Dr&lt;/span&gt;, &lt;span class="locality"&gt;Van Nuys&lt;/span&gt;, &lt;span class="region"&gt;CA&lt;/span&gt; &lt;span class="postal-code"&gt;91406&lt;/span&gt;, &lt;span class="country-name"&gt;USA&lt;/span&gt;</t>
  </si>
  <si>
    <t>http://helinet.com/</t>
  </si>
  <si>
    <t>https://maps.googleapis.com/maps/api/place/findplacefromtext/json?input=L%20G%20ELECTRICAL%20INC%2016124%20LEADWELL%20STREET%20%20VAN%20NUYS%20CA%2091406&amp;key=AIzaSyAUoR1hu32epmid_r-h7_AiXQWhNu3zr3U&amp;inputtype=textquery&amp;fields=business_status,formatted_address,geometry,icon,name,permanently_closed,place_id,plus_code,types</t>
  </si>
  <si>
    <t>electrician,point_of_interest,establishment</t>
  </si>
  <si>
    <t>{"business_status":"OPERATIONAL","formatted_address":"16124 Leadwell St, Van Nuys, CA 91406, United States","geometry":{"location":{"lat":34.2036864,"lng":-118.4845597},"viewport":{"northeast":{"lat":34.20505682989272,"lng":-118.4832251701073},"southwest":{"lat":34.20235717010728,"lng":-118.4859248298927}}},"icon":"https://maps.gstatic.com/mapfiles/place_api/icons/v1/png_71/generic_business-71.png","name":"L.G. Electrical Inc.","place_id":"ChIJ8xVMt1eXwoARMyUIlhJYS-0","plus_code":{"compound_code":"6G38+F5 Van Nuys, Los Angeles, CA","global_code":"85636G38+F5"},"types":["electrician","point_of_interest","establishment"]}</t>
  </si>
  <si>
    <t>L.G. Electrical Inc.</t>
  </si>
  <si>
    <t>ChIJ8xVMt1eXwoARMyUIlhJYS-0</t>
  </si>
  <si>
    <t>16124 Leadwell St, Van Nuys, CA 91406, United States</t>
  </si>
  <si>
    <t>{"html_attributions":[],"result":{"address_components":[{"long_name":"16124","short_name":"16124","types":["street_number"]},{"long_name":"Leadwell Street","short_name":"Leadwell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States","short_name":"US","types":["country","political"]},{"long_name":"91406","short_name":"91406","types":["postal_code"]},{"long_name":"3424","short_name":"3424","types":["postal_code_suffix"]}],"adr_address":"&lt;span class=\"street-address\"&gt;16124 Leadwell St&lt;/span&gt;, &lt;span class=\"locality\"&gt;Van Nuys&lt;/span&gt;, &lt;span class=\"region\"&gt;CA&lt;/span&gt; &lt;span class=\"postal-code\"&gt;91406-3424&lt;/span&gt;, &lt;span class=\"country-name\"&gt;USA&lt;/span&gt;","formatted_address":"16124 Leadwell St, Van Nuys, CA 91406, USA","formatted_phone_number":"(818) 989-3766","geometry":{"location":{"lat":34.20368639999999,"lng":-118.4845597},"viewport":{"northeast":{"lat":34.20505598029149,"lng":-118.4832260197085},"southwest":{"lat":34.20235801970849,"lng":-118.4859239802915}}},"icon":"https://maps.gstatic.com/mapfiles/place_api/icons/v1/png_71/generic_business-71.png","id":null,"international_phone_number":"+1 818-989-3766","name":"L.G. Electrical Inc.","place_id":"ChIJ8xVMt1eXwoARMyUIlhJYS-0","rating":null,"reference":null,"reviews":null,"types":["electrician","point_of_interest","establishment"],"url":"https://maps.google.com/?cid=17098857247091991859","utc_offset":-480,"vicinity":"16124 Leadwell Street, Van Nuys","website":"http://www.lgelectricalinc.com/"},"status":"OK"}</t>
  </si>
  <si>
    <t>&lt;span class="street-address"&gt;16124 Leadwell St&lt;/span&gt;, &lt;span class="locality"&gt;Van Nuys&lt;/span&gt;, &lt;span class="region"&gt;CA&lt;/span&gt; &lt;span class="postal-code"&gt;91406-3424&lt;/span&gt;, &lt;span class="country-name"&gt;USA&lt;/span&gt;</t>
  </si>
  <si>
    <t>(818) 989-3766</t>
  </si>
  <si>
    <t>+1 818-989-3766</t>
  </si>
  <si>
    <t>16124 Leadwell Street, Van Nuys</t>
  </si>
  <si>
    <t>http://www.lgelectricalinc.com/</t>
  </si>
  <si>
    <t>https://maps.googleapis.com/maps/api/place/findplacefromtext/json?input=AERO%20NASCH%20AVIATION%20INC%206849%20HAYVENHURST%20AVE%20%20VAN%20NUYS%20CA%2091406&amp;key=AIzaSyAUoR1hu32epmid_r-h7_AiXQWhNu3zr3U&amp;inputtype=textquery&amp;fields=business_status,formatted_address,geometry,icon,name,permanently_closed,place_id,plus_code,types</t>
  </si>
  <si>
    <t>{"business_status":"OPERATIONAL","formatted_address":"6849 Hayvenhurst Ave, Van Nuys, CA 91406, United States","geometry":{"location":{"lat":34.1952925,"lng":-118.4926321},"viewport":{"northeast":{"lat":34.19655852989272,"lng":-118.4912819201073},"southwest":{"lat":34.19385887010728,"lng":-118.4939815798927}}},"icon":"https://maps.gstatic.com/mapfiles/place_api/icons/v1/png_71/shopping-71.png","name":"Aero-Nasch Aviation","place_id":"ChIJoWu3GuSZwoAR2s4aVf7QNRM","plus_code":{"compound_code":"5GW4+4W Van Nuys, Los Angeles, CA","global_code":"85635GW4+4W"},"types":["furniture_store","home_goods_store","point_of_interest","store","establishment"]}</t>
  </si>
  <si>
    <t>Aero-Nasch Aviation</t>
  </si>
  <si>
    <t>ChIJoWu3GuSZwoAR2s4aVf7QNRM</t>
  </si>
  <si>
    <t>6849 Hayvenhurst Ave, Van Nuys, CA 91406, United States</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</si>
  <si>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knapp","author_url":"https://www.google.com/maps/contrib/105731547914683645395/reviews","language":"en","profile_photo_url":"https://lh3.googleusercontent.com/a-/AOh14GjVKWOhyoH6b9-NvI8n3-gvk-gLTcwbhTF0DJB7BA=s128-c0x00000000-cc-rp-mo","rating":5,"relative_time_description":"a year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a year ago","text":"Best aircraft interior shop around!","time":1553872682},{"author_name":"Richard Klein","author_url":"https://www.google.com/maps/contrib/115597867106769414793/reviews","language":null,"profile_photo_url":"https://lh3.googleusercontent.com/-p_vpdUsejWE/AAAAAAAAAAI/AAAAAAAAAAA/AMZuucknfKuEkjGUBW_rn_n7j_icEP4fcg/s128-c0x00000000-cc-rp-mo-ba4/photo.jpg","rating":5,"relative_time_description":"2 years ago","text":"","time":1538621504},{"author_name":"Trevor Ester","author_url":"https://www.google.com/maps/contrib/115345508088503589579/reviews","language":null,"profile_photo_url":"https://lh4.googleusercontent.com/-fw-VGoPRl6c/AAAAAAAAAAI/AAAAAAAAAAA/AMZuucnQSXSEWrL6MHzVvtdtlPXt0c8S4A/s128-c0x00000000-cc-rp-mo/photo.jpg","rating":5,"relative_time_description":"2 years ago","text":"","time":1525629893}],"types":["furniture_store","home_goods_store","point_of_interest","store","establishment"],"url":"https://maps.google.com/?cid=1384242251254386394","utc_offset":-480,"vicinity":"6849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</si>
  <si>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</si>
  <si>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(818) 786-5480</t>
  </si>
  <si>
    <t>+1 818-786-5480</t>
  </si>
  <si>
    <t>6849 Hayvenhurst Avenue, Van Nuys</t>
  </si>
  <si>
    <t>http://www.aeronasch.com/</t>
  </si>
  <si>
    <t>https://maps.googleapis.com/maps/api/place/findplacefromtext/json?input=SOCAL%20JETS%20INC%207035%20SOPHIA%20AVENUE%20%20VAN%20NUYS%20CA%2091406&amp;key=AIzaSyAUoR1hu32epmid_r-h7_AiXQWhNu3zr3U&amp;inputtype=textquery&amp;fields=business_status,formatted_address,geometry,icon,name,permanently_closed,place_id,plus_code,types</t>
  </si>
  <si>
    <t>{"business_status":"OPERATIONAL","formatted_address":"7035 Sophia Ave, Van Nuys, CA 91406, United States","geometry":{"location":{"lat":34.198185,"lng":-118.4871381},"viewport":{"northeast":{"lat":34.19953527989272,"lng":-118.4857113701073},"southwest":{"lat":34.19683562010728,"lng":-118.4884110298927}}},"icon":"https://maps.gstatic.com/mapfiles/place_api/icons/v1/png_71/generic_business-71.png","name":"SoCal Jets","place_id":"ChIJldx5cOKZwoARaselJ2wgA3s","plus_code":{"compound_code":"5GX7+74 Van Nuys, Los Angeles, CA","global_code":"85635GX7+74"},"types":["point_of_interest","establishment"]}</t>
  </si>
  <si>
    <t>SoCal Jets</t>
  </si>
  <si>
    <t>ChIJldx5cOKZwoARaselJ2wgA3s</t>
  </si>
  <si>
    <t>7035 Sophia Ave, Van Nuys, CA 91406, United States</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</si>
  <si>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States","short_name":"US","types":["country","political"]},{"long_name":"91406","short_name":"91406","types":["postal_code"]},{"long_name":"3909","short_name":"3909","types":["postal_code_suffix"]}],"adr_address":"&lt;span class=\"street-address\"&gt;7035 Sophia Ave&lt;/span&gt;, &lt;span class=\"locality\"&gt;Van Nuys&lt;/span&gt;, &lt;span class=\"region\"&gt;CA&lt;/span&gt; &lt;span class=\"postal-code\"&gt;91406-3909&lt;/span&gt;, &lt;span class=\"country-name\"&gt;USA&lt;/span&gt;","formatted_address":"7035 Sophia Ave, Van Nuys, CA 91406, USA","formatted_phone_number":"(818) 782-6658","geometry":{"location":{"lat":34.198185,"lng":-118.4871381},"viewport":{"northeast":{"lat":34.19953443029151,"lng":-118.4857122197085},"southwest":{"lat":34.19683646970851,"lng":-118.4884101802915}}},"icon":"https://maps.gstatic.com/mapfiles/place_api/icons/v1/png_71/generic_business-71.png","id":null,"international_phone_number":"+1 818-782-6658","name":"SoCal Jets","place_id":"ChIJldx5cOKZwoARaselJ2wgA3s","rating":5.0,"reference":null,"reviews":[{"author_name":"philly Fail","author_url":"https://www.google.com/maps/contrib/105855785798718104549/reviews","language":null,"profile_photo_url":"https://lh3.googleusercontent.com/a-/AOh14GgKDitQojP34F_n1Ie8kN2nEbwGs5U8OjBlQFgMew=s128-c0x00000000-cc-rp-mo-ba3","rating":5,"relative_time_description":"a year ago","text":"","time":1560541104},{"author_name":"Danny Isaacs","author_url":"https://www.google.com/maps/contrib/101257902121423231093/reviews","language":null,"profile_photo_url":"https://lh4.googleusercontent.com/-mxA5d-qF6CU/AAAAAAAAAAI/AAAAAAAAAAA/AMZuuclqfS3Vy8SrUf9Hs3-Juiz5hG4HoQ/s128-c0x00000000-cc-rp-mo/photo.jpg","rating":5,"relative_time_description":"3 years ago","text":"","time":1490072017}],"types":["point_of_interest","establishment"],"url":"https://maps.google.com/?cid=8863964140489000810","utc_offset":-480,"vicinity":"7035 Sophia Avenue, Van Nuys","website":"http://www.socaljets.aero/"},"status":"OK"}</t>
  </si>
  <si>
    <t>&lt;span class="street-address"&gt;7035 Sophia Ave&lt;/span&gt;, &lt;span class="locality"&gt;Van Nuys&lt;/span&gt;, &lt;span class="region"&gt;CA&lt;/span&gt; &lt;span class="postal-code"&gt;91406-3909&lt;/span&gt;, &lt;span class="country-name"&gt;USA&lt;/span&gt;</t>
  </si>
  <si>
    <t>(818) 782-6658</t>
  </si>
  <si>
    <t>+1 818-782-6658</t>
  </si>
  <si>
    <t>7035 Sophia Avenue, Van Nuys</t>
  </si>
  <si>
    <t>http://www.socaljets.aero/</t>
  </si>
  <si>
    <t>https://maps.googleapis.com/maps/api/place/findplacefromtext/json?input=WESTERN%20JET%20AVIATION%20INC%2016101%20SATICOY%20STREET%20901%20HANGAR%2C%20VAN%20NUYS%20AIRPORT%20VAN%20NUYS%20CA%2091406&amp;key=AIzaSyAUoR1hu32epmid_r-h7_AiXQWhNu3zr3U&amp;inputtype=textquery&amp;fields=business_status,formatted_address,geometry,icon,name,permanently_closed,place_id,plus_code,types</t>
  </si>
  <si>
    <t>{"business_status":"OPERATIONAL","formatted_address":"16101 Saticoy St, Van Nuys, CA 91406, United States","geometry":{"location":{"lat":34.2095917,"lng":-118.4859476},"viewport":{"northeast":{"lat":34.21070377989273,"lng":-118.4845948701073},"southwest":{"lat":34.20800412010728,"lng":-118.4872945298928}}},"icon":"https://maps.gstatic.com/mapfiles/place_api/icons/v1/png_71/generic_business-71.png","name":"Western Jet Aviation","place_id":"ChIJeydpylWXwoARJjD-N-gxV7I","plus_code":{"compound_code":"6G57+RJ Van Nuys, Los Angeles, CA","global_code":"85636G57+RJ"},"types":["point_of_interest","establishment"]}</t>
  </si>
  <si>
    <t>Western Jet Aviation</t>
  </si>
  <si>
    <t>ChIJeydpylWXwoARJjD-N-gxV7I</t>
  </si>
  <si>
    <t>16101 Saticoy St, Van Nuys, CA 91406, United States</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</si>
  <si>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Aviation","place_id":"ChIJeydpylWXwoARJjD-N-gxV7I","rating":4.3,"reference":null,"reviews":[{"author_name":"Justin Ihm","author_url":"https://www.google.com/maps/contrib/109512016819361589443/reviews","language":"en","profile_photo_url":"https://lh3.googleusercontent.com/a-/AOh14Ghf_R-1YrErkf6bJLj0TGNxv-gB3llm_p4d4Q4sXiE=s128-c0x00000000-cc-rp-mo-ba4","rating":5,"relative_time_description":"7 months ago","text":"Great place to store your plane, amazing and very helpful staff. Extremely professional and always ready to help. Thanks for a great experience every time!","time":1594092492},{"author_name":"Tom Cirieco","author_url":"https://www.google.com/maps/contrib/115597457851429340585/reviews","language":"en","profile_photo_url":"https://lh3.googleusercontent.com/a-/AOh14Gj8M3RDW_cLt8V8WsBMFIJKR4XKIngDibAd-P-0yA=s128-c0x00000000-cc-rp-mo-ba3","rating":1,"relative_time_description":"5 months ago","text":"Very badd place to work ! nothing but bullies work there On your   Jet engines  And avionics","time":1600231938},{"author_name":"Scott Holm","author_url":"https://www.google.com/maps/contrib/118374496419604013871/reviews","language":"en","profile_photo_url":"https://lh6.googleusercontent.com/-jlQKPuKJ33Q/AAAAAAAAAAI/AAAAAAAAAAA/AMZuucl9pj1GCVim2TPVR8oukUgtrZ1jow/s128-c0x00000000-cc-rp-mo-ba4/photo.jpg","rating":5,"relative_time_description":"9 months ago","text":"Jim Hansen the owner is one of the best Gulfstream guys in the industry.  Van Nuys is lucky to have Jim and Western jet.","time":1587648044},{"author_name":"levon vartanian","author_url":"https://www.google.com/maps/contrib/105944045539835896967/reviews","language":"en","profile_photo_url":"https://lh3.googleusercontent.com/a-/AOh14Gj7YS2d-0gW5jya9ZuLMFFhxvUIW-vlaXiOW-HZ=s128-c0x00000000-cc-rp-mo","rating":5,"relative_time_description":"in the last week","text":"Best in the west","time":1613153912},{"author_name":"Ben Cruz","author_url":"https://www.google.com/maps/contrib/117367945838624526218/reviews","language":"en","profile_photo_url":"https://lh3.googleusercontent.com/a-/AOh14GhBDcEuNIlKLl_tXhx-vxh4V4VIdP7N19FKQPeD=s128-c0x00000000-cc-rp-mo","rating":3,"relative_time_description":"a year ago","text":"A great facility, solid organization, and quality teamwork led by a dedicated pool of experienced mechanics, leads, techs, support staff, and a couple of green mechanics (fresh) out of A &amp; P School.","time":1561015453}],"types":["point_of_interest","establishment"],"url":"https://maps.google.com/?cid=12850794935166578726","utc_offset":-480,"vicinity":"16101 Saticoy Street, Van Nuys","website":"https://westernjetaviation.com/"},"status":"OK"}</t>
  </si>
  <si>
    <t>(818) 785-2250</t>
  </si>
  <si>
    <t>+1 818-785-2250</t>
  </si>
  <si>
    <t>https://westernjetaviation.com/</t>
  </si>
  <si>
    <t>https://maps.googleapis.com/maps/api/place/findplacefromtext/json?input=REPAIRTECH%20INTERNATIONAL%20INC%2016134%20SATICOY%20STREET%20%20VAN%20NUYS%20CA%2091406&amp;key=AIzaSyAUoR1hu32epmid_r-h7_AiXQWhNu3zr3U&amp;inputtype=textquery&amp;fields=business_status,formatted_address,geometry,icon,name,permanently_closed,place_id,plus_code,types</t>
  </si>
  <si>
    <t>car_repair,point_of_interest,establishment</t>
  </si>
  <si>
    <t>{"business_status":"OPERATIONAL","formatted_address":"16134 Saticoy St, Van Nuys, CA 91406, United States","geometry":{"location":{"lat":34.2080736,"lng":-118.4849106},"viewport":{"northeast":{"lat":34.20945522989272,"lng":-118.4834729701073},"southwest":{"lat":34.20675557010728,"lng":-118.4861726298927}}},"icon":"https://maps.gstatic.com/mapfiles/place_api/icons/v1/png_71/generic_business-71.png","name":"Repair Tech International Inc","place_id":"ChIJLyeVv1WXwoARpMO9aSWWBF4","plus_code":{"compound_code":"6G58+62 Van Nuys, Los Angeles, CA","global_code":"85636G58+62"},"types":["car_repair","point_of_interest","establishment"]}</t>
  </si>
  <si>
    <t>Repair Tech International Inc</t>
  </si>
  <si>
    <t>ChIJLyeVv1WXwoARpMO9aSWWBF4</t>
  </si>
  <si>
    <t>16134 Saticoy St, Van Nuys, CA 91406, United States</t>
  </si>
  <si>
    <t>{"html_attributions":[],"result":{"address_components":[{"long_name":"16134","short_name":"16134","types":["street_number"]},{"long_name":"Saticoy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class=\"street-address\"&gt;16134 Saticoy St&lt;/span&gt;, &lt;span class=\"locality\"&gt;Van Nuys&lt;/span&gt;, &lt;span class=\"region\"&gt;CA&lt;/span&gt; &lt;span class=\"postal-code\"&gt;91406-2914&lt;/span&gt;, &lt;span class=\"country-name\"&gt;USA&lt;/span&gt;","formatted_address":"16134 Saticoy St, Van Nuys, CA 91406, USA","formatted_phone_number":"(818) 989-2681","geometry":{"location":{"lat":34.2080736,"lng":-118.4849106},"viewport":{"northeast":{"lat":34.2094543802915,"lng":-118.4834738197085},"southwest":{"lat":34.2067564197085,"lng":-118.4861717802915}}},"icon":"https://maps.gstatic.com/mapfiles/place_api/icons/v1/png_71/generic_business-71.png","id":null,"international_phone_number":"+1 818-989-2681","name":"Repair Tech International Inc","place_id":"ChIJLyeVv1WXwoARpMO9aSWWBF4","rating":3.7,"reference":null,"reviews":[{"author_name":"Penny Burns","author_url":"https://www.google.com/maps/contrib/100792466637966189821/reviews","language":"en","profile_photo_url":"https://lh3.googleusercontent.com/a-/AOh14Gg_W-qIREaOzceUN2tmbwtp0JSmPSYoU6t6osRpnw=s128-c0x00000000-cc-rp-mo-ba2","rating":5,"relative_time_description":"6 months ago","text":"Great people to work with","time":1595510280},{"author_name":"mayra martinez","author_url":"https://www.google.com/maps/contrib/104138776905471648766/reviews","language":"en-US","profile_photo_url":"https://lh3.googleusercontent.com/a-/AOh14GiX7l_A23Sq6p7a27e7LPLH15WYlvItbr9Ee-7VeQ=s128-c0x00000000-cc-rp-mo","rating":1,"relative_time_description":"a month ago","text":"Rats","time":1610440174},{"author_name":"Msu Sahin","author_url":"https://www.google.com/maps/contrib/115641988982096517424/reviews","language":null,"profile_photo_url":"https://lh3.googleusercontent.com/a-/AOh14Gio2b-gf2D2Hz-MEEra0l0XfS79jr8m_lux1Unu72E=s128-c0x00000000-cc-rp-mo","rating":1,"relative_time_description":"4 years ago","text":"","time":1467126742},{"author_name":"Hervey Avila","author_url":"https://www.google.com/maps/contrib/112000082232682199601/reviews","language":null,"profile_photo_url":"https://lh6.googleusercontent.com/-iKHOkSx4RPM/AAAAAAAAAAI/AAAAAAAAAAA/AMZuuclhNYd6zmilN-G7_4qKuhbI8mkZCw/s128-c0x00000000-cc-rp-mo/photo.jpg","rating":5,"relative_time_description":"12 months ago","text":"","time":1582261054},{"author_name":"Timothy Pop","author_url":"https://www.google.com/maps/contrib/100055076364051338321/reviews","language":null,"profile_photo_url":"https://lh5.googleusercontent.com/-7RvQas6wRz8/AAAAAAAAAAI/AAAAAAAAAAA/AMZuuclg1znqrNHT9oJu_MHeltqOVeUoGw/s128-c0x00000000-cc-rp-mo/photo.jpg","rating":5,"relative_time_description":"3 years ago","text":"","time":1499091493}],"types":["car_repair","point_of_interest","establishment"],"url":"https://maps.google.com/?cid=6774704826904069028","utc_offset":-480,"vicinity":"16134 Saticoy Street, Van Nuys","website":"http://www.repairtechinternational.com/"},"status":"OK"}</t>
  </si>
  <si>
    <t>&lt;span class="street-address"&gt;16134 Saticoy St&lt;/span&gt;, &lt;span class="locality"&gt;Van Nuys&lt;/span&gt;, &lt;span class="region"&gt;CA&lt;/span&gt; &lt;span class="postal-code"&gt;91406-2914&lt;/span&gt;, &lt;span class="country-name"&gt;USA&lt;/span&gt;</t>
  </si>
  <si>
    <t>(818) 989-2681</t>
  </si>
  <si>
    <t>+1 818-989-2681</t>
  </si>
  <si>
    <t>16134 Saticoy Street, Van Nuys</t>
  </si>
  <si>
    <t>http://www.repairtechinternational.com/</t>
  </si>
  <si>
    <t>https://maps.googleapis.com/maps/api/place/findplacefromtext/json?input=DUNCAN%20AVIATION%20INC%207943%20WOODLEY%20AVE.%20%20VAN%20NUYS%20CA%2091406&amp;key=AIzaSyAUoR1hu32epmid_r-h7_AiXQWhNu3zr3U&amp;inputtype=textquery&amp;fields=business_status,formatted_address,geometry,icon,name,permanently_closed,place_id,plus_code,types</t>
  </si>
  <si>
    <t>{"business_status":"OPERATIONAL","formatted_address":"7943 Woodley Ave, Van Nuys, CA 91406, United States","geometry":{"location":{"lat":34.2158011,"lng":-118.4842428},"viewport":{"northeast":{"lat":34.21714977989272,"lng":-118.4827680701073},"southwest":{"lat":34.21445012010728,"lng":-118.4854677298927}}},"icon":"https://maps.gstatic.com/mapfiles/place_api/icons/v1/png_71/generic_business-71.png","name":"Duncan Aviation","place_id":"ChIJmbSHVaqQwoARpQE5hY59umg","plus_code":{"compound_code":"6G88+88 Van Nuys, Los Angeles, CA","global_code":"85636G88+88"},"types":["point_of_interest","establishment"]}</t>
  </si>
  <si>
    <t>Duncan Aviation</t>
  </si>
  <si>
    <t>ChIJmbSHVaqQwoARpQE5hY59umg</t>
  </si>
  <si>
    <t>7943 Woodley Ave, Van Nuys, CA 91406, United States</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</si>
  <si>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5.googleusercontent.com/-aQdatBwNUHA/AAAAAAAAAAI/AAAAAAAAAAA/AMZuuclTbi_NxtatYoEd_YDpnVOIuskKQg/s128-c0x00000000-cc-rp-mo/photo.jpg","rating":5,"relative_time_description":"3 years ago","text":"","time":1496726084}],"types":["point_of_interest","establishment"],"url":"https://maps.google.com/?cid=7546482176686621093","utc_offset":-480,"vicinity":"7943 Woodley Avenue, Van Nuys","website":"https://www.duncanaviation.aero/locations/vny"},"status":"OK"}</t>
  </si>
  <si>
    <t>&lt;span class="street-address"&gt;7943 Woodley Ave&lt;/span&gt;, &lt;span class="locality"&gt;Van Nuys&lt;/span&gt;, &lt;span class="region"&gt;CA&lt;/span&gt; &lt;span class="postal-code"&gt;91406-1232&lt;/span&gt;, &lt;span class="country-name"&gt;USA&lt;/span&gt;</t>
  </si>
  <si>
    <t>(818) 902-9961</t>
  </si>
  <si>
    <t>+1 818-902-9961</t>
  </si>
  <si>
    <t>7943 Woodley Avenue, Van Nuys</t>
  </si>
  <si>
    <t>https://www.duncanaviation.aero/locations/vny</t>
  </si>
  <si>
    <t>AMERICAN AIRCRAFT INTERIORS</t>
  </si>
  <si>
    <t>Leading Edge Avionics Inc</t>
  </si>
  <si>
    <t>Valid. See link https://www.google.com/maps/place/Anthelion+Helicopters/@33.8156322,-118.1586366,15z/data=!4m5!3m4!1s0x0:0x888c695020fd57f0!8m2!3d33.8156322!4d-118.1586366</t>
  </si>
  <si>
    <t>GULFSTREAM AEROSPACE CORPORATION - KLGB</t>
  </si>
  <si>
    <t>https://www.google.com/maps/place/Pacific+Coast+Jet/@37.7304184,-122.2112067,15z/data=!4m5!3m4!1s0x0:0x73528dea02d56635!8m2!3d37.7304184!4d-122.2112067</t>
  </si>
  <si>
    <t>valid</t>
  </si>
  <si>
    <t>https://pacificcoastjet.com/</t>
  </si>
  <si>
    <t>JSX is correct</t>
  </si>
  <si>
    <t>dba</t>
  </si>
  <si>
    <t>our data is valid</t>
  </si>
  <si>
    <t>https://www.google.com/maps/place/Avbase+San+Jose+LLC/@37.35386,-121.9254991,15z/data=!4m5!3m4!1s0x0:0xbe02d916f6ee5ba9!8m2!3d37.35386!4d-121.9254991</t>
  </si>
  <si>
    <t xml:space="preserve">19711 Campus Dr </t>
  </si>
  <si>
    <t>Suite 200</t>
  </si>
  <si>
    <t>https://martin-aviation.com/</t>
  </si>
  <si>
    <t>#247</t>
  </si>
  <si>
    <t>8045 Woodley Ave</t>
  </si>
  <si>
    <t>(818) 997-0242</t>
  </si>
  <si>
    <t>EDN Aviation</t>
  </si>
  <si>
    <t>Aviall</t>
  </si>
  <si>
    <t>6720 Valjean Ave</t>
  </si>
  <si>
    <t>(818) 988-8826</t>
  </si>
  <si>
    <t>CATEGORY</t>
  </si>
  <si>
    <t>Aerosup Inc</t>
  </si>
  <si>
    <t>16525 Sherman Way</t>
  </si>
  <si>
    <t>(310) 424-2740</t>
  </si>
  <si>
    <t>16644 Roscoe Blvd</t>
  </si>
  <si>
    <t>FBO</t>
  </si>
  <si>
    <t>AFLIM</t>
  </si>
  <si>
    <t>PART</t>
  </si>
  <si>
    <t>PROV</t>
  </si>
  <si>
    <t>P145</t>
  </si>
  <si>
    <t>ACSLIM</t>
  </si>
  <si>
    <t>Aviall (A Boeing Company)</t>
  </si>
  <si>
    <t>16760 Schoenborn St</t>
  </si>
  <si>
    <t>North Hills</t>
  </si>
  <si>
    <t>(818) 785-9561</t>
  </si>
  <si>
    <t>Dynamo Aviation</t>
  </si>
  <si>
    <t>LIMSSV</t>
  </si>
  <si>
    <t>Baymark Aviation</t>
  </si>
  <si>
    <t>16425 Hart St Suite 101</t>
  </si>
  <si>
    <t>(818) 461-2180</t>
  </si>
  <si>
    <t>FLT61</t>
  </si>
  <si>
    <t>APIA</t>
  </si>
  <si>
    <t>Signature Flight Support - VNY East</t>
  </si>
  <si>
    <t>7155 Valjean Ave</t>
  </si>
  <si>
    <t>(818) 722-5103</t>
  </si>
  <si>
    <t>(818) 989-2300</t>
  </si>
  <si>
    <t>10750 Sherman Way</t>
  </si>
  <si>
    <t>(818) 841-2966</t>
  </si>
  <si>
    <t>Atlantic Aviation BUR</t>
  </si>
  <si>
    <t>Surf Air Burbank</t>
  </si>
  <si>
    <t>(424) 744-0721</t>
  </si>
  <si>
    <t>P135</t>
  </si>
  <si>
    <t>P135S</t>
  </si>
  <si>
    <t>4561 Empire Ave</t>
  </si>
  <si>
    <t>P380</t>
  </si>
  <si>
    <t>GAT Airline Ground Support</t>
  </si>
  <si>
    <t>2627 N Hollywood Way</t>
  </si>
  <si>
    <t>(818) 847-9691</t>
  </si>
  <si>
    <t>GRDSP</t>
  </si>
  <si>
    <t>Flight Standards District Office - BUR</t>
  </si>
  <si>
    <t>4201 Empire Ave</t>
  </si>
  <si>
    <t>(818) 841-0728</t>
  </si>
  <si>
    <t>FSDO</t>
  </si>
  <si>
    <t>INSCL1</t>
  </si>
  <si>
    <t>INSCL2</t>
  </si>
  <si>
    <t>INSCL3</t>
  </si>
  <si>
    <t>INSCL4</t>
  </si>
  <si>
    <t>RADLIM</t>
  </si>
  <si>
    <t>Orbit Aviation - Aircraft Maintenance and Services</t>
  </si>
  <si>
    <t>3265 Airflite Way</t>
  </si>
  <si>
    <t>(562) 544-6316</t>
  </si>
  <si>
    <t>Ross Aviation - Long Beach (LGB)</t>
  </si>
  <si>
    <t>(562) 490-6200</t>
  </si>
  <si>
    <t>Signature Flight Support LGB</t>
  </si>
  <si>
    <t>3333 E Spring St Suite 205</t>
  </si>
  <si>
    <t>(562) 997-0700</t>
  </si>
  <si>
    <t>Pacific Air Center</t>
  </si>
  <si>
    <t>2845 E Spring St</t>
  </si>
  <si>
    <t>(562) 513-5222</t>
  </si>
  <si>
    <t>CBRK</t>
  </si>
  <si>
    <t>Carlsbad Jet Center</t>
  </si>
  <si>
    <t>2016 Palomar Airport Rd</t>
  </si>
  <si>
    <t>(760) 891-2800</t>
  </si>
  <si>
    <t>Atlantic Aviation CRQ</t>
  </si>
  <si>
    <t>(760) 930-0123</t>
  </si>
  <si>
    <t>ST 207</t>
  </si>
  <si>
    <t>Encore Aviation LLC</t>
  </si>
  <si>
    <t>(760) 237-2100</t>
  </si>
  <si>
    <t>MGC</t>
  </si>
  <si>
    <t>Tech Flight Air Charter</t>
  </si>
  <si>
    <t>2210 Palomar Airport Road</t>
  </si>
  <si>
    <t>(951) 285-2269</t>
  </si>
  <si>
    <t>Cutter Aircraft Sales</t>
  </si>
  <si>
    <t>2036 Palomar Airport Rd</t>
  </si>
  <si>
    <t>(760) 579-0820</t>
  </si>
  <si>
    <t>Western Flight</t>
  </si>
  <si>
    <t>2210 Palomar Airport Rd</t>
  </si>
  <si>
    <t>(760) 438-6800</t>
  </si>
  <si>
    <t>Atlantic Aviation</t>
  </si>
  <si>
    <t xml:space="preserve">2100 Palomar Airport Rd </t>
  </si>
  <si>
    <t>Surf Air Carlsbad</t>
  </si>
  <si>
    <t>8433 Earhart Rd</t>
  </si>
  <si>
    <t>(510) 633-1266</t>
  </si>
  <si>
    <t>Alameda Aero Club</t>
  </si>
  <si>
    <t>980 Harbor Bay Pkwy</t>
  </si>
  <si>
    <t>(510) 638-4149</t>
  </si>
  <si>
    <t>CLUB</t>
  </si>
  <si>
    <t>Absolute Aero Maintenance</t>
  </si>
  <si>
    <t>21889 Skywest Dr</t>
  </si>
  <si>
    <t>Hayward</t>
  </si>
  <si>
    <t>(510) 782-6591</t>
  </si>
  <si>
    <t>21599 Skywest Dr</t>
  </si>
  <si>
    <t>Suburban Air Corporation</t>
  </si>
  <si>
    <t>(510) 780-0428</t>
  </si>
  <si>
    <t>Oakland Flyers LLC</t>
  </si>
  <si>
    <t>(510) 568-3317</t>
  </si>
  <si>
    <t>RENT</t>
  </si>
  <si>
    <t>Good Jet</t>
  </si>
  <si>
    <t>9351 Earhart Rd</t>
  </si>
  <si>
    <t>8135 Earhart Rd</t>
  </si>
  <si>
    <t>(800) 466-3538</t>
  </si>
  <si>
    <t>Atlantic Aviation SJC</t>
  </si>
  <si>
    <t>1250 Aviation Ave</t>
  </si>
  <si>
    <t>(408) 297-7552</t>
  </si>
  <si>
    <t>Signature Flight Support - SJC</t>
  </si>
  <si>
    <t>Signature Flight Support - OAK</t>
  </si>
  <si>
    <t>Santa Clara</t>
  </si>
  <si>
    <t>323 Martin Ave</t>
  </si>
  <si>
    <t>(669) 800-1992</t>
  </si>
  <si>
    <t>#125</t>
  </si>
  <si>
    <t>Surf Air SJC</t>
  </si>
  <si>
    <t>#208</t>
  </si>
  <si>
    <t>(424) 280-2606</t>
  </si>
  <si>
    <t>Meridian Air Charter</t>
  </si>
  <si>
    <t>(800) 882-2333</t>
  </si>
  <si>
    <t>Giotto's Aircraft Interiors</t>
  </si>
  <si>
    <t>(800) 315-1095</t>
  </si>
  <si>
    <t>P145INT</t>
  </si>
  <si>
    <t>ACI Jet</t>
  </si>
  <si>
    <t>#100</t>
  </si>
  <si>
    <t>19301 Campus Dr</t>
  </si>
  <si>
    <t>(949) 201-2550</t>
  </si>
  <si>
    <t>Jays Aircraft Maintenance</t>
  </si>
  <si>
    <t>Costa Mesa</t>
  </si>
  <si>
    <t>2980 Airway Ave</t>
  </si>
  <si>
    <t>(714) 433-2275</t>
  </si>
  <si>
    <t>361 Paularino Ave</t>
  </si>
  <si>
    <t>(714) 888-8000</t>
  </si>
  <si>
    <t>Clay Lacy Aviation - SNA</t>
  </si>
  <si>
    <t>Atlantic Aviation - SMO</t>
  </si>
  <si>
    <t>Santa Monica</t>
  </si>
  <si>
    <t>2828 Donald Douglas Loop N</t>
  </si>
  <si>
    <t>(310) 396-6770</t>
  </si>
  <si>
    <t>Skyward Aviation</t>
  </si>
  <si>
    <t>3147 Donald Douglas Loop N</t>
  </si>
  <si>
    <t>(310) 313-3450</t>
  </si>
  <si>
    <t>3165 Donald Douglas Loop N</t>
  </si>
  <si>
    <t>(310) 800-8050</t>
  </si>
  <si>
    <t>Santa Monica Flyers</t>
  </si>
  <si>
    <t>Proteus Air Services</t>
  </si>
  <si>
    <t>2501 Airport Ave</t>
  </si>
  <si>
    <t>(310) 398-6929</t>
  </si>
  <si>
    <t>Plane Parts</t>
  </si>
  <si>
    <t>Marina Del Rey</t>
  </si>
  <si>
    <t>#500</t>
  </si>
  <si>
    <t>4640 Admiralty Way</t>
  </si>
  <si>
    <t>(310) 318-1902</t>
  </si>
  <si>
    <t>3220 Donald Douglas Loop N</t>
  </si>
  <si>
    <t>(888) 424-7242</t>
  </si>
  <si>
    <t>Afforbale Air Charter</t>
  </si>
  <si>
    <t>Dronesurf</t>
  </si>
  <si>
    <t>Los Angeles</t>
  </si>
  <si>
    <t>3864 Beethoven St</t>
  </si>
  <si>
    <t>Hangar 1</t>
  </si>
  <si>
    <t>(310) 873-7786</t>
  </si>
  <si>
    <t>FILM</t>
  </si>
  <si>
    <t>16750 ROSCOE BLVD</t>
  </si>
  <si>
    <t>National Helicopter Service</t>
  </si>
  <si>
    <t>http://www.americanaircraftinteriors.com/</t>
  </si>
  <si>
    <t>https://www.flyalerion.com/</t>
  </si>
  <si>
    <t>http://www.jettechltd.com/</t>
  </si>
  <si>
    <t>Bus Category 1</t>
  </si>
  <si>
    <t>Bus Category 2</t>
  </si>
  <si>
    <t>Bus Category 3</t>
  </si>
  <si>
    <t>Bus Category 4</t>
  </si>
  <si>
    <t>Bus Category 5</t>
  </si>
  <si>
    <t>AFCL3</t>
  </si>
  <si>
    <t>AFCL4</t>
  </si>
  <si>
    <t>FLT141</t>
  </si>
  <si>
    <t>CNSL</t>
  </si>
  <si>
    <t>FLT142</t>
  </si>
  <si>
    <t>AFCL1</t>
  </si>
  <si>
    <t>AFCL2</t>
  </si>
  <si>
    <t>P147</t>
  </si>
  <si>
    <t>INSR</t>
  </si>
  <si>
    <t>APRT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</si>
</sst>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b/>
      <sz val="11"/>
      <color theme="1"/>
      <name val="Calibri"/>
      <family val="2"/>
      <scheme val="minor"/>
    </font>
    <font>
      <u/>
      <sz val="11"/>
      <color theme="11"/>
      <name val="Calibri"/>
      <family val="2"/>
      <scheme val="minor"/>
    </font>
    <font>
      <b/>
      <sz val="12"/>
      <color theme="1"/>
      <name val="Calibri"/>
      <family val="2"/>
      <scheme val="minor"/>
    </font>
    <font>
      <b/>
      <sz val="11"/>
      <name val="Calibri"/>
      <family val="2"/>
      <scheme val="minor"/>
    </font>
    <font>
      <u/>
      <sz val="11"/>
      <color theme="10"/>
      <name val="Calibri"/>
      <family val="2"/>
      <scheme val="minor"/>
    </font>
    <font>
      <sz val="8"/>
      <name val="Calibri"/>
      <family val="2"/>
      <scheme val="minor"/>
    </font>
  </fonts>
  <fills count="14">
    <fill>
      <patternFill patternType="none"/>
    </fill>
    <fill>
      <patternFill patternType="gray125"/>
    </fill>
    <fill>
      <patternFill patternType="solid">
        <fgColor rgb="FF8BD98C"/>
        <bgColor rgb="FF8BD98C"/>
      </patternFill>
    </fill>
    <fill>
      <patternFill patternType="solid">
        <fgColor rgb="FFFF9191"/>
        <bgColor rgb="FFFF9191"/>
      </patternFill>
    </fill>
    <fill>
      <patternFill patternType="solid">
        <fgColor rgb="FF8BD98C"/>
        <bgColor rgb="FF8BD98C"/>
      </patternFill>
    </fill>
    <fill>
      <patternFill patternType="solid">
        <fgColor rgb="FFFF9191"/>
        <bgColor rgb="FFFF9191"/>
      </patternFill>
    </fill>
    <fill>
      <patternFill patternType="solid">
        <fgColor rgb="FFFF0000"/>
        <bgColor indexed="64"/>
      </patternFill>
    </fill>
    <fill>
      <patternFill patternType="solid">
        <fgColor rgb="FFFFFF00"/>
        <bgColor indexed="64"/>
      </patternFill>
    </fill>
    <fill>
      <patternFill patternType="solid">
        <fgColor rgb="FFFFFF00"/>
        <bgColor rgb="FF8BD98C"/>
      </patternFill>
    </fill>
    <fill>
      <patternFill patternType="solid">
        <fgColor rgb="FFFFFF00"/>
        <bgColor rgb="FFFF9191"/>
      </patternFill>
    </fill>
    <fill>
      <patternFill patternType="solid">
        <fgColor theme="9"/>
        <bgColor rgb="FFFF9191"/>
      </patternFill>
    </fill>
    <fill>
      <patternFill patternType="solid">
        <fgColor rgb="FFFF0000"/>
        <bgColor rgb="FF8BD98C"/>
      </patternFill>
    </fill>
    <fill>
      <patternFill patternType="solid">
        <fgColor rgb="FF00FF00"/>
        <bgColor indexed="64"/>
      </patternFill>
    </fill>
    <fill>
      <patternFill patternType="solid">
        <fgColor rgb="FFFF008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5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Alignment="0" applyProtection="0"/>
  </cellStyleXfs>
  <cellXfs count="29">
    <xf numFmtId="0" fontId="0" fillId="0" borderId="0" xfId="0"/>
    <xf numFmtId="0" fontId="0" fillId="0" borderId="1" xfId="0" applyBorder="1"/>
    <xf numFmtId="0" fontId="3" fillId="0" borderId="1" xfId="0" applyFont="1" applyBorder="1"/>
    <xf numFmtId="0" fontId="4" fillId="0" borderId="1"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2" fillId="2" borderId="0" xfId="0" applyFont="1" applyFill="1"/>
    <xf numFmtId="0" fontId="2" fillId="3" borderId="0" xfId="0" applyFont="1" applyFill="1"/>
    <xf numFmtId="0" fontId="3" fillId="4" borderId="0" xfId="0" applyFont="1" applyFill="1"/>
    <xf numFmtId="0" fontId="3" fillId="5" borderId="0" xfId="0" applyFont="1" applyFill="1"/>
    <xf numFmtId="10" fontId="0" fillId="0" borderId="0" xfId="0" applyNumberFormat="1"/>
    <xf numFmtId="0" fontId="0" fillId="6" borderId="0" xfId="0" applyFill="1"/>
    <xf numFmtId="0" fontId="0" fillId="7" borderId="0" xfId="0" applyFill="1"/>
    <xf numFmtId="0" fontId="3" fillId="9" borderId="0" xfId="0" applyFont="1" applyFill="1"/>
    <xf numFmtId="0" fontId="3" fillId="8" borderId="0" xfId="0" applyFont="1" applyFill="1"/>
    <xf numFmtId="0" fontId="0" fillId="0" borderId="0" xfId="0" applyFont="1"/>
    <xf numFmtId="0" fontId="0" fillId="0" borderId="2" xfId="0" applyFill="1" applyBorder="1"/>
    <xf numFmtId="0" fontId="0" fillId="0" borderId="0" xfId="0" applyFont="1" applyFill="1" applyBorder="1" applyAlignment="1"/>
    <xf numFmtId="0" fontId="5" fillId="0" borderId="0" xfId="154" applyFill="1"/>
    <xf numFmtId="0" fontId="1" fillId="0" borderId="1" xfId="0" applyFont="1" applyFill="1" applyBorder="1" applyAlignment="1">
      <alignment horizontal="center" vertical="center"/>
    </xf>
    <xf numFmtId="0" fontId="0" fillId="0" borderId="0" xfId="0" applyFill="1"/>
    <xf numFmtId="0" fontId="3" fillId="10" borderId="0" xfId="0" applyFont="1" applyFill="1"/>
    <xf numFmtId="0" fontId="3" fillId="11" borderId="0" xfId="0" applyFont="1" applyFill="1"/>
    <xf numFmtId="164" fontId="1" fillId="0" borderId="1" xfId="0" applyNumberFormat="1" applyFont="1" applyBorder="1" applyAlignment="1">
      <alignment horizontal="center" vertical="center"/>
    </xf>
    <xf numFmtId="164" fontId="0" fillId="0" borderId="0" xfId="0" applyNumberFormat="1"/>
    <xf numFmtId="0" fontId="1" fillId="0" borderId="0" xfId="0" applyFont="1" applyAlignment="1">
      <alignment horizontal="center" vertical="center"/>
    </xf>
    <xf numFmtId="0" fontId="0" fillId="12" borderId="0" xfId="0" applyFill="1" applyAlignment="1">
      <alignment horizontal="center"/>
    </xf>
    <xf numFmtId="0" fontId="0" fillId="12" borderId="1" xfId="0" applyFill="1" applyBorder="1" applyAlignment="1">
      <alignment horizontal="center"/>
    </xf>
    <xf numFmtId="0" fontId="0" fillId="13" borderId="1" xfId="0" applyFill="1" applyBorder="1" applyAlignment="1">
      <alignment horizontal="center"/>
    </xf>
  </cellXfs>
  <cellStyles count="155">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Hyperlink" xfId="154" builtinId="8"/>
    <cellStyle name="Normal" xfId="0" builtinId="0"/>
  </cellStyles>
  <dxfs count="9">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0000"/>
        </patternFill>
      </fill>
    </dxf>
  </dxfs>
  <tableStyles count="0" defaultTableStyle="TableStyleMedium2" defaultPivotStyle="PivotStyleLight16"/>
  <colors>
    <mruColors>
      <color rgb="FFF8AE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martin-aviation.com/" TargetMode="External"/><Relationship Id="rId2" Type="http://schemas.openxmlformats.org/officeDocument/2006/relationships/hyperlink" Target="https://pacificcoastjet.com/" TargetMode="External"/><Relationship Id="rId1" Type="http://schemas.openxmlformats.org/officeDocument/2006/relationships/hyperlink" Target="http://www.anthelionhelicopters.co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C187-E40A-40DA-A238-87D5A74D69AF}">
  <dimension ref="A1:AP148"/>
  <sheetViews>
    <sheetView workbookViewId="0">
      <selection activeCell="H13" sqref="H13"/>
    </sheetView>
  </sheetViews>
  <sheetFormatPr defaultRowHeight="15" x14ac:dyDescent="0.25"/>
  <cols>
    <col min="2" max="2" width="38.7109375" customWidth="1"/>
    <col min="3" max="3" width="23.42578125" customWidth="1"/>
    <col min="4" max="4" width="51" hidden="1" customWidth="1"/>
    <col min="5" max="5" width="37.7109375" hidden="1" customWidth="1"/>
    <col min="6" max="6" width="21" bestFit="1" customWidth="1"/>
    <col min="7" max="7" width="30.28515625" bestFit="1" customWidth="1"/>
    <col min="8" max="8" width="26.5703125" customWidth="1"/>
    <col min="9" max="9" width="5.140625" customWidth="1"/>
    <col min="10" max="10" width="11" customWidth="1"/>
    <col min="11" max="12" width="14" bestFit="1" customWidth="1"/>
    <col min="31" max="31" width="24.5703125" bestFit="1" customWidth="1"/>
  </cols>
  <sheetData>
    <row r="1" spans="1:42" ht="15.75" x14ac:dyDescent="0.25">
      <c r="A1" s="2" t="s">
        <v>0</v>
      </c>
      <c r="B1" s="3" t="s">
        <v>1</v>
      </c>
      <c r="C1" s="4" t="s">
        <v>2</v>
      </c>
      <c r="D1" s="4" t="s">
        <v>3</v>
      </c>
      <c r="E1" s="4" t="s">
        <v>4</v>
      </c>
      <c r="F1" s="4" t="s">
        <v>5</v>
      </c>
      <c r="G1" s="4" t="s">
        <v>6</v>
      </c>
      <c r="H1" s="4" t="s">
        <v>7</v>
      </c>
      <c r="I1" s="5" t="s">
        <v>8</v>
      </c>
      <c r="J1" s="4" t="s">
        <v>9</v>
      </c>
      <c r="K1" s="4" t="s">
        <v>10</v>
      </c>
      <c r="L1" s="4" t="s">
        <v>11</v>
      </c>
      <c r="M1" s="4" t="s">
        <v>12</v>
      </c>
      <c r="N1" s="4" t="s">
        <v>13</v>
      </c>
      <c r="O1" s="4" t="s">
        <v>14</v>
      </c>
      <c r="P1" s="4" t="s">
        <v>15</v>
      </c>
      <c r="Q1" s="4" t="s">
        <v>16</v>
      </c>
      <c r="R1" s="4" t="s">
        <v>17</v>
      </c>
      <c r="S1" s="4" t="s">
        <v>18</v>
      </c>
      <c r="T1" s="2"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5">
      <c r="A2">
        <v>19</v>
      </c>
      <c r="B2" t="s">
        <v>42</v>
      </c>
      <c r="F2" t="s">
        <v>43</v>
      </c>
      <c r="H2" t="s">
        <v>44</v>
      </c>
      <c r="I2" t="s">
        <v>45</v>
      </c>
      <c r="J2" t="s">
        <v>46</v>
      </c>
      <c r="K2" t="s">
        <v>47</v>
      </c>
      <c r="L2" t="s">
        <v>48</v>
      </c>
    </row>
    <row r="3" spans="1:42" x14ac:dyDescent="0.25">
      <c r="A3">
        <v>20</v>
      </c>
      <c r="B3" t="s">
        <v>49</v>
      </c>
      <c r="F3" t="s">
        <v>50</v>
      </c>
      <c r="H3" t="s">
        <v>44</v>
      </c>
      <c r="I3" t="s">
        <v>45</v>
      </c>
      <c r="J3" t="s">
        <v>51</v>
      </c>
      <c r="K3" t="s">
        <v>47</v>
      </c>
      <c r="L3" t="s">
        <v>52</v>
      </c>
      <c r="M3" t="s">
        <v>53</v>
      </c>
    </row>
    <row r="4" spans="1:42" x14ac:dyDescent="0.25">
      <c r="A4">
        <v>21</v>
      </c>
      <c r="B4" t="s">
        <v>54</v>
      </c>
      <c r="F4" t="s">
        <v>55</v>
      </c>
      <c r="H4" t="s">
        <v>44</v>
      </c>
      <c r="I4" t="s">
        <v>45</v>
      </c>
      <c r="J4" t="s">
        <v>56</v>
      </c>
      <c r="K4" t="s">
        <v>47</v>
      </c>
      <c r="L4" t="s">
        <v>57</v>
      </c>
      <c r="M4" t="s">
        <v>58</v>
      </c>
    </row>
    <row r="5" spans="1:42" x14ac:dyDescent="0.25">
      <c r="A5">
        <v>22</v>
      </c>
      <c r="B5" t="s">
        <v>59</v>
      </c>
      <c r="F5" t="s">
        <v>60</v>
      </c>
      <c r="G5" t="s">
        <v>61</v>
      </c>
      <c r="H5" t="s">
        <v>62</v>
      </c>
      <c r="I5" t="s">
        <v>45</v>
      </c>
      <c r="J5">
        <v>91504</v>
      </c>
      <c r="K5" t="s">
        <v>47</v>
      </c>
    </row>
    <row r="6" spans="1:42" x14ac:dyDescent="0.25">
      <c r="A6">
        <v>23</v>
      </c>
      <c r="B6" t="s">
        <v>63</v>
      </c>
      <c r="F6" t="s">
        <v>64</v>
      </c>
      <c r="G6" t="s">
        <v>65</v>
      </c>
      <c r="H6" t="s">
        <v>62</v>
      </c>
      <c r="I6" t="s">
        <v>45</v>
      </c>
      <c r="J6">
        <v>91505</v>
      </c>
      <c r="K6" t="s">
        <v>47</v>
      </c>
    </row>
    <row r="7" spans="1:42" x14ac:dyDescent="0.25">
      <c r="A7">
        <v>24</v>
      </c>
      <c r="B7" t="s">
        <v>63</v>
      </c>
      <c r="F7" t="s">
        <v>64</v>
      </c>
      <c r="G7" t="s">
        <v>65</v>
      </c>
      <c r="H7" t="s">
        <v>62</v>
      </c>
      <c r="I7" t="s">
        <v>45</v>
      </c>
      <c r="J7">
        <v>91505</v>
      </c>
      <c r="K7" t="s">
        <v>47</v>
      </c>
    </row>
    <row r="8" spans="1:42" x14ac:dyDescent="0.25">
      <c r="A8">
        <v>25</v>
      </c>
      <c r="B8" t="s">
        <v>66</v>
      </c>
      <c r="F8" t="s">
        <v>67</v>
      </c>
      <c r="G8" t="s">
        <v>65</v>
      </c>
      <c r="H8" t="s">
        <v>62</v>
      </c>
      <c r="I8" t="s">
        <v>45</v>
      </c>
      <c r="J8">
        <v>91505</v>
      </c>
      <c r="K8" t="s">
        <v>47</v>
      </c>
    </row>
    <row r="9" spans="1:42" x14ac:dyDescent="0.25">
      <c r="A9">
        <v>26</v>
      </c>
      <c r="B9" t="s">
        <v>68</v>
      </c>
      <c r="F9" t="s">
        <v>69</v>
      </c>
      <c r="G9" t="s">
        <v>65</v>
      </c>
      <c r="H9" t="s">
        <v>62</v>
      </c>
      <c r="I9" t="s">
        <v>45</v>
      </c>
      <c r="J9">
        <v>91505</v>
      </c>
      <c r="K9" t="s">
        <v>47</v>
      </c>
    </row>
    <row r="10" spans="1:42" x14ac:dyDescent="0.25">
      <c r="A10">
        <v>27</v>
      </c>
      <c r="B10" t="s">
        <v>70</v>
      </c>
      <c r="F10" t="s">
        <v>71</v>
      </c>
      <c r="H10" t="s">
        <v>72</v>
      </c>
      <c r="I10" t="s">
        <v>45</v>
      </c>
      <c r="J10">
        <v>92011</v>
      </c>
      <c r="K10" t="s">
        <v>47</v>
      </c>
      <c r="L10" t="s">
        <v>73</v>
      </c>
    </row>
    <row r="11" spans="1:42" x14ac:dyDescent="0.25">
      <c r="A11">
        <v>28</v>
      </c>
      <c r="B11" t="s">
        <v>74</v>
      </c>
      <c r="F11" t="s">
        <v>75</v>
      </c>
      <c r="H11" t="s">
        <v>72</v>
      </c>
      <c r="I11" t="s">
        <v>45</v>
      </c>
      <c r="J11">
        <v>92011</v>
      </c>
      <c r="K11" t="s">
        <v>47</v>
      </c>
      <c r="L11" t="s">
        <v>76</v>
      </c>
    </row>
    <row r="12" spans="1:42" x14ac:dyDescent="0.25">
      <c r="A12">
        <v>29</v>
      </c>
      <c r="B12" t="s">
        <v>77</v>
      </c>
      <c r="F12" t="s">
        <v>78</v>
      </c>
      <c r="G12" t="s">
        <v>79</v>
      </c>
      <c r="H12" t="s">
        <v>80</v>
      </c>
      <c r="I12" t="s">
        <v>45</v>
      </c>
      <c r="J12" t="s">
        <v>81</v>
      </c>
      <c r="K12" t="s">
        <v>47</v>
      </c>
      <c r="L12" t="s">
        <v>82</v>
      </c>
    </row>
    <row r="13" spans="1:42" x14ac:dyDescent="0.25">
      <c r="A13">
        <v>30</v>
      </c>
      <c r="B13" t="s">
        <v>83</v>
      </c>
      <c r="F13" t="s">
        <v>84</v>
      </c>
      <c r="H13" t="s">
        <v>80</v>
      </c>
      <c r="I13" t="s">
        <v>45</v>
      </c>
      <c r="J13" t="s">
        <v>81</v>
      </c>
      <c r="K13" t="s">
        <v>47</v>
      </c>
    </row>
    <row r="14" spans="1:42" x14ac:dyDescent="0.25">
      <c r="A14">
        <v>31</v>
      </c>
      <c r="B14" t="s">
        <v>85</v>
      </c>
      <c r="F14" t="s">
        <v>86</v>
      </c>
      <c r="G14" t="s">
        <v>87</v>
      </c>
      <c r="H14" t="s">
        <v>80</v>
      </c>
      <c r="I14" t="s">
        <v>45</v>
      </c>
      <c r="J14" t="s">
        <v>81</v>
      </c>
      <c r="K14" t="s">
        <v>47</v>
      </c>
      <c r="L14" t="s">
        <v>88</v>
      </c>
    </row>
    <row r="15" spans="1:42" x14ac:dyDescent="0.25">
      <c r="A15">
        <v>32</v>
      </c>
      <c r="B15" t="s">
        <v>89</v>
      </c>
      <c r="F15" t="s">
        <v>90</v>
      </c>
      <c r="G15" t="s">
        <v>91</v>
      </c>
      <c r="H15" t="s">
        <v>80</v>
      </c>
      <c r="I15" t="s">
        <v>45</v>
      </c>
      <c r="J15" t="s">
        <v>81</v>
      </c>
      <c r="K15" t="s">
        <v>47</v>
      </c>
      <c r="L15" t="s">
        <v>92</v>
      </c>
    </row>
    <row r="16" spans="1:42" x14ac:dyDescent="0.25">
      <c r="A16">
        <v>33</v>
      </c>
      <c r="B16" t="s">
        <v>93</v>
      </c>
      <c r="F16" t="s">
        <v>86</v>
      </c>
      <c r="G16" t="s">
        <v>94</v>
      </c>
      <c r="H16" t="s">
        <v>80</v>
      </c>
      <c r="I16" t="s">
        <v>45</v>
      </c>
      <c r="J16" t="s">
        <v>81</v>
      </c>
      <c r="K16" t="s">
        <v>47</v>
      </c>
      <c r="L16" t="s">
        <v>95</v>
      </c>
    </row>
    <row r="17" spans="1:13" x14ac:dyDescent="0.25">
      <c r="A17">
        <v>34</v>
      </c>
      <c r="B17" t="s">
        <v>96</v>
      </c>
      <c r="F17" t="s">
        <v>97</v>
      </c>
      <c r="H17" t="s">
        <v>80</v>
      </c>
      <c r="I17" t="s">
        <v>45</v>
      </c>
      <c r="J17" t="s">
        <v>81</v>
      </c>
      <c r="K17" t="s">
        <v>47</v>
      </c>
      <c r="L17" t="s">
        <v>98</v>
      </c>
    </row>
    <row r="18" spans="1:13" x14ac:dyDescent="0.25">
      <c r="A18">
        <v>35</v>
      </c>
      <c r="B18" t="s">
        <v>99</v>
      </c>
      <c r="F18" t="s">
        <v>100</v>
      </c>
      <c r="H18" t="s">
        <v>80</v>
      </c>
      <c r="I18" t="s">
        <v>45</v>
      </c>
      <c r="J18" t="s">
        <v>81</v>
      </c>
      <c r="K18" t="s">
        <v>47</v>
      </c>
    </row>
    <row r="19" spans="1:13" x14ac:dyDescent="0.25">
      <c r="A19">
        <v>36</v>
      </c>
      <c r="B19" t="s">
        <v>101</v>
      </c>
      <c r="F19" t="s">
        <v>102</v>
      </c>
      <c r="H19" t="s">
        <v>80</v>
      </c>
      <c r="I19" t="s">
        <v>45</v>
      </c>
      <c r="J19" t="s">
        <v>103</v>
      </c>
      <c r="K19" t="s">
        <v>47</v>
      </c>
      <c r="L19" t="s">
        <v>104</v>
      </c>
      <c r="M19" t="s">
        <v>105</v>
      </c>
    </row>
    <row r="20" spans="1:13" x14ac:dyDescent="0.25">
      <c r="A20">
        <v>37</v>
      </c>
      <c r="B20" t="s">
        <v>106</v>
      </c>
      <c r="C20" t="s">
        <v>107</v>
      </c>
      <c r="F20" t="s">
        <v>108</v>
      </c>
      <c r="G20" t="s">
        <v>109</v>
      </c>
      <c r="H20" t="s">
        <v>80</v>
      </c>
      <c r="I20" t="s">
        <v>45</v>
      </c>
      <c r="J20" t="s">
        <v>81</v>
      </c>
      <c r="K20" t="s">
        <v>47</v>
      </c>
    </row>
    <row r="21" spans="1:13" x14ac:dyDescent="0.25">
      <c r="A21">
        <v>38</v>
      </c>
      <c r="B21" t="s">
        <v>110</v>
      </c>
      <c r="F21" t="s">
        <v>111</v>
      </c>
      <c r="H21" t="s">
        <v>80</v>
      </c>
      <c r="I21" t="s">
        <v>45</v>
      </c>
      <c r="J21" t="s">
        <v>112</v>
      </c>
      <c r="K21" t="s">
        <v>47</v>
      </c>
    </row>
    <row r="22" spans="1:13" x14ac:dyDescent="0.25">
      <c r="A22">
        <v>39</v>
      </c>
      <c r="B22" t="s">
        <v>113</v>
      </c>
      <c r="F22" t="s">
        <v>114</v>
      </c>
      <c r="G22" t="s">
        <v>65</v>
      </c>
      <c r="H22" t="s">
        <v>72</v>
      </c>
      <c r="I22" t="s">
        <v>45</v>
      </c>
      <c r="J22">
        <v>92010</v>
      </c>
      <c r="K22" t="s">
        <v>47</v>
      </c>
    </row>
    <row r="23" spans="1:13" x14ac:dyDescent="0.25">
      <c r="A23">
        <v>40</v>
      </c>
      <c r="B23" t="s">
        <v>115</v>
      </c>
      <c r="F23" t="s">
        <v>116</v>
      </c>
      <c r="G23" t="s">
        <v>65</v>
      </c>
      <c r="H23" t="s">
        <v>72</v>
      </c>
      <c r="I23" t="s">
        <v>45</v>
      </c>
      <c r="J23">
        <v>92011</v>
      </c>
      <c r="K23" t="s">
        <v>47</v>
      </c>
    </row>
    <row r="24" spans="1:13" x14ac:dyDescent="0.25">
      <c r="A24">
        <v>41</v>
      </c>
      <c r="B24" t="s">
        <v>117</v>
      </c>
      <c r="F24" t="s">
        <v>118</v>
      </c>
      <c r="G24" t="s">
        <v>119</v>
      </c>
      <c r="H24" t="s">
        <v>72</v>
      </c>
      <c r="I24" t="s">
        <v>45</v>
      </c>
      <c r="J24">
        <v>92011</v>
      </c>
      <c r="K24" t="s">
        <v>47</v>
      </c>
    </row>
    <row r="25" spans="1:13" x14ac:dyDescent="0.25">
      <c r="A25">
        <v>42</v>
      </c>
      <c r="B25" t="s">
        <v>117</v>
      </c>
      <c r="F25" t="s">
        <v>118</v>
      </c>
      <c r="G25" t="s">
        <v>119</v>
      </c>
      <c r="H25" t="s">
        <v>72</v>
      </c>
      <c r="I25" t="s">
        <v>45</v>
      </c>
      <c r="J25">
        <v>92011</v>
      </c>
      <c r="K25" t="s">
        <v>47</v>
      </c>
    </row>
    <row r="26" spans="1:13" x14ac:dyDescent="0.25">
      <c r="A26">
        <v>43</v>
      </c>
      <c r="B26" t="s">
        <v>115</v>
      </c>
      <c r="F26" t="s">
        <v>116</v>
      </c>
      <c r="G26" t="s">
        <v>65</v>
      </c>
      <c r="H26" t="s">
        <v>72</v>
      </c>
      <c r="I26" t="s">
        <v>45</v>
      </c>
      <c r="J26">
        <v>92011</v>
      </c>
      <c r="K26" t="s">
        <v>47</v>
      </c>
    </row>
    <row r="27" spans="1:13" x14ac:dyDescent="0.25">
      <c r="A27">
        <v>44</v>
      </c>
      <c r="B27" t="s">
        <v>117</v>
      </c>
      <c r="F27" t="s">
        <v>118</v>
      </c>
      <c r="G27" t="s">
        <v>119</v>
      </c>
      <c r="H27" t="s">
        <v>72</v>
      </c>
      <c r="I27" t="s">
        <v>45</v>
      </c>
      <c r="J27">
        <v>92011</v>
      </c>
      <c r="K27" t="s">
        <v>47</v>
      </c>
    </row>
    <row r="28" spans="1:13" x14ac:dyDescent="0.25">
      <c r="A28">
        <v>45</v>
      </c>
      <c r="B28" t="s">
        <v>120</v>
      </c>
      <c r="F28" t="s">
        <v>121</v>
      </c>
      <c r="G28" t="s">
        <v>65</v>
      </c>
      <c r="H28" t="s">
        <v>72</v>
      </c>
      <c r="I28" t="s">
        <v>45</v>
      </c>
      <c r="J28">
        <v>92011</v>
      </c>
      <c r="K28" t="s">
        <v>47</v>
      </c>
    </row>
    <row r="29" spans="1:13" x14ac:dyDescent="0.25">
      <c r="A29">
        <v>46</v>
      </c>
      <c r="B29" t="s">
        <v>117</v>
      </c>
      <c r="F29" t="s">
        <v>118</v>
      </c>
      <c r="G29" t="s">
        <v>119</v>
      </c>
      <c r="H29" t="s">
        <v>72</v>
      </c>
      <c r="I29" t="s">
        <v>45</v>
      </c>
      <c r="J29">
        <v>92011</v>
      </c>
      <c r="K29" t="s">
        <v>47</v>
      </c>
    </row>
    <row r="30" spans="1:13" x14ac:dyDescent="0.25">
      <c r="A30">
        <v>47</v>
      </c>
      <c r="B30" t="s">
        <v>115</v>
      </c>
      <c r="F30" t="s">
        <v>116</v>
      </c>
      <c r="G30" t="s">
        <v>65</v>
      </c>
      <c r="H30" t="s">
        <v>72</v>
      </c>
      <c r="I30" t="s">
        <v>45</v>
      </c>
      <c r="J30">
        <v>92011</v>
      </c>
      <c r="K30" t="s">
        <v>47</v>
      </c>
    </row>
    <row r="31" spans="1:13" x14ac:dyDescent="0.25">
      <c r="A31">
        <v>48</v>
      </c>
      <c r="B31" t="s">
        <v>122</v>
      </c>
      <c r="F31" t="s">
        <v>123</v>
      </c>
      <c r="G31" t="s">
        <v>124</v>
      </c>
      <c r="H31" t="s">
        <v>80</v>
      </c>
      <c r="I31" t="s">
        <v>45</v>
      </c>
      <c r="J31">
        <v>92011</v>
      </c>
      <c r="K31" t="s">
        <v>47</v>
      </c>
    </row>
    <row r="32" spans="1:13" x14ac:dyDescent="0.25">
      <c r="A32">
        <v>49</v>
      </c>
      <c r="B32" t="s">
        <v>70</v>
      </c>
      <c r="F32" t="s">
        <v>125</v>
      </c>
      <c r="G32" t="s">
        <v>65</v>
      </c>
      <c r="H32" t="s">
        <v>72</v>
      </c>
      <c r="I32" t="s">
        <v>45</v>
      </c>
      <c r="J32">
        <v>92011</v>
      </c>
      <c r="K32" t="s">
        <v>47</v>
      </c>
    </row>
    <row r="33" spans="1:13" x14ac:dyDescent="0.25">
      <c r="A33">
        <v>50</v>
      </c>
      <c r="B33" t="s">
        <v>120</v>
      </c>
      <c r="F33" t="s">
        <v>121</v>
      </c>
      <c r="G33" t="s">
        <v>65</v>
      </c>
      <c r="H33" t="s">
        <v>72</v>
      </c>
      <c r="I33" t="s">
        <v>45</v>
      </c>
      <c r="J33">
        <v>92011</v>
      </c>
      <c r="K33" t="s">
        <v>47</v>
      </c>
    </row>
    <row r="34" spans="1:13" x14ac:dyDescent="0.25">
      <c r="A34">
        <v>334</v>
      </c>
      <c r="B34" t="s">
        <v>126</v>
      </c>
      <c r="F34" t="s">
        <v>127</v>
      </c>
      <c r="H34" t="s">
        <v>128</v>
      </c>
      <c r="I34" t="s">
        <v>45</v>
      </c>
      <c r="J34">
        <v>90807</v>
      </c>
      <c r="K34" t="s">
        <v>47</v>
      </c>
      <c r="L34" t="s">
        <v>129</v>
      </c>
    </row>
    <row r="35" spans="1:13" x14ac:dyDescent="0.25">
      <c r="A35">
        <v>335</v>
      </c>
      <c r="B35" t="s">
        <v>130</v>
      </c>
      <c r="C35" t="s">
        <v>131</v>
      </c>
      <c r="F35" t="s">
        <v>132</v>
      </c>
      <c r="H35" t="s">
        <v>128</v>
      </c>
      <c r="I35" t="s">
        <v>45</v>
      </c>
      <c r="J35" t="s">
        <v>133</v>
      </c>
      <c r="K35" t="s">
        <v>47</v>
      </c>
      <c r="L35" t="s">
        <v>134</v>
      </c>
    </row>
    <row r="36" spans="1:13" x14ac:dyDescent="0.25">
      <c r="A36">
        <v>336</v>
      </c>
      <c r="B36" t="s">
        <v>135</v>
      </c>
      <c r="F36" t="s">
        <v>136</v>
      </c>
      <c r="G36" t="s">
        <v>137</v>
      </c>
      <c r="H36" t="s">
        <v>128</v>
      </c>
      <c r="I36" t="s">
        <v>45</v>
      </c>
      <c r="J36">
        <v>92618</v>
      </c>
      <c r="K36" t="s">
        <v>47</v>
      </c>
      <c r="L36" t="s">
        <v>138</v>
      </c>
    </row>
    <row r="37" spans="1:13" x14ac:dyDescent="0.25">
      <c r="A37">
        <v>337</v>
      </c>
      <c r="B37" t="s">
        <v>139</v>
      </c>
      <c r="F37" t="s">
        <v>140</v>
      </c>
      <c r="H37" t="s">
        <v>141</v>
      </c>
      <c r="I37" t="s">
        <v>45</v>
      </c>
      <c r="J37" t="s">
        <v>142</v>
      </c>
      <c r="K37" t="s">
        <v>47</v>
      </c>
      <c r="L37" t="s">
        <v>143</v>
      </c>
    </row>
    <row r="38" spans="1:13" x14ac:dyDescent="0.25">
      <c r="A38">
        <v>338</v>
      </c>
      <c r="B38" t="s">
        <v>144</v>
      </c>
      <c r="F38" t="s">
        <v>140</v>
      </c>
      <c r="H38" t="s">
        <v>141</v>
      </c>
      <c r="I38" t="s">
        <v>45</v>
      </c>
      <c r="J38" t="s">
        <v>142</v>
      </c>
      <c r="K38" t="s">
        <v>47</v>
      </c>
      <c r="L38" t="s">
        <v>143</v>
      </c>
    </row>
    <row r="39" spans="1:13" x14ac:dyDescent="0.25">
      <c r="A39">
        <v>339</v>
      </c>
      <c r="B39" t="s">
        <v>145</v>
      </c>
      <c r="F39" t="s">
        <v>146</v>
      </c>
      <c r="H39" t="s">
        <v>141</v>
      </c>
      <c r="I39" t="s">
        <v>45</v>
      </c>
      <c r="J39" t="s">
        <v>147</v>
      </c>
      <c r="K39" t="s">
        <v>47</v>
      </c>
      <c r="L39" t="s">
        <v>148</v>
      </c>
    </row>
    <row r="40" spans="1:13" x14ac:dyDescent="0.25">
      <c r="A40">
        <v>340</v>
      </c>
      <c r="B40" t="s">
        <v>149</v>
      </c>
      <c r="F40" t="s">
        <v>150</v>
      </c>
      <c r="H40" t="s">
        <v>141</v>
      </c>
      <c r="I40" t="s">
        <v>45</v>
      </c>
      <c r="J40" t="s">
        <v>151</v>
      </c>
      <c r="K40" t="s">
        <v>47</v>
      </c>
      <c r="L40" t="s">
        <v>152</v>
      </c>
    </row>
    <row r="41" spans="1:13" x14ac:dyDescent="0.25">
      <c r="A41">
        <v>341</v>
      </c>
      <c r="B41" t="s">
        <v>153</v>
      </c>
      <c r="F41" t="s">
        <v>154</v>
      </c>
      <c r="H41" t="s">
        <v>141</v>
      </c>
      <c r="I41" t="s">
        <v>45</v>
      </c>
      <c r="J41" t="s">
        <v>147</v>
      </c>
      <c r="K41" t="s">
        <v>47</v>
      </c>
      <c r="L41" t="s">
        <v>155</v>
      </c>
    </row>
    <row r="42" spans="1:13" x14ac:dyDescent="0.25">
      <c r="A42">
        <v>342</v>
      </c>
      <c r="B42" t="s">
        <v>156</v>
      </c>
      <c r="F42" t="s">
        <v>157</v>
      </c>
      <c r="H42" t="s">
        <v>141</v>
      </c>
      <c r="I42" t="s">
        <v>45</v>
      </c>
      <c r="J42" t="s">
        <v>133</v>
      </c>
      <c r="K42" t="s">
        <v>47</v>
      </c>
      <c r="L42" t="s">
        <v>158</v>
      </c>
    </row>
    <row r="43" spans="1:13" x14ac:dyDescent="0.25">
      <c r="A43">
        <v>343</v>
      </c>
      <c r="B43" t="s">
        <v>159</v>
      </c>
      <c r="F43" t="s">
        <v>160</v>
      </c>
      <c r="H43" t="s">
        <v>141</v>
      </c>
      <c r="I43" t="s">
        <v>45</v>
      </c>
      <c r="J43" t="s">
        <v>161</v>
      </c>
      <c r="K43" t="s">
        <v>47</v>
      </c>
      <c r="L43" t="s">
        <v>162</v>
      </c>
      <c r="M43" t="s">
        <v>163</v>
      </c>
    </row>
    <row r="44" spans="1:13" x14ac:dyDescent="0.25">
      <c r="A44">
        <v>344</v>
      </c>
      <c r="B44" t="s">
        <v>164</v>
      </c>
      <c r="F44" t="s">
        <v>165</v>
      </c>
      <c r="G44" t="s">
        <v>65</v>
      </c>
      <c r="H44" t="s">
        <v>141</v>
      </c>
      <c r="I44" t="s">
        <v>45</v>
      </c>
      <c r="J44">
        <v>90806</v>
      </c>
      <c r="K44" t="s">
        <v>47</v>
      </c>
    </row>
    <row r="45" spans="1:13" x14ac:dyDescent="0.25">
      <c r="A45">
        <v>345</v>
      </c>
      <c r="B45" t="s">
        <v>164</v>
      </c>
      <c r="F45" t="s">
        <v>165</v>
      </c>
      <c r="G45" t="s">
        <v>65</v>
      </c>
      <c r="H45" t="s">
        <v>141</v>
      </c>
      <c r="I45" t="s">
        <v>45</v>
      </c>
      <c r="J45">
        <v>90806</v>
      </c>
      <c r="K45" t="s">
        <v>47</v>
      </c>
    </row>
    <row r="46" spans="1:13" x14ac:dyDescent="0.25">
      <c r="A46">
        <v>346</v>
      </c>
      <c r="B46" t="s">
        <v>166</v>
      </c>
      <c r="F46" t="s">
        <v>167</v>
      </c>
      <c r="G46" t="s">
        <v>65</v>
      </c>
      <c r="H46" t="s">
        <v>128</v>
      </c>
      <c r="I46" t="s">
        <v>45</v>
      </c>
      <c r="J46">
        <v>90806</v>
      </c>
      <c r="K46" t="s">
        <v>47</v>
      </c>
    </row>
    <row r="47" spans="1:13" x14ac:dyDescent="0.25">
      <c r="A47">
        <v>347</v>
      </c>
      <c r="B47" t="s">
        <v>168</v>
      </c>
      <c r="F47" t="s">
        <v>169</v>
      </c>
      <c r="G47" t="s">
        <v>65</v>
      </c>
      <c r="H47" t="s">
        <v>128</v>
      </c>
      <c r="I47" t="s">
        <v>45</v>
      </c>
      <c r="J47">
        <v>90806</v>
      </c>
      <c r="K47" t="s">
        <v>47</v>
      </c>
    </row>
    <row r="48" spans="1:13" x14ac:dyDescent="0.25">
      <c r="A48">
        <v>348</v>
      </c>
      <c r="B48" t="s">
        <v>170</v>
      </c>
      <c r="F48" t="s">
        <v>171</v>
      </c>
      <c r="G48" t="s">
        <v>65</v>
      </c>
      <c r="H48" t="s">
        <v>128</v>
      </c>
      <c r="I48" t="s">
        <v>45</v>
      </c>
      <c r="J48">
        <v>90806</v>
      </c>
      <c r="K48" t="s">
        <v>47</v>
      </c>
    </row>
    <row r="49" spans="1:13" x14ac:dyDescent="0.25">
      <c r="A49">
        <v>349</v>
      </c>
      <c r="B49" t="s">
        <v>164</v>
      </c>
      <c r="F49" t="s">
        <v>165</v>
      </c>
      <c r="G49" t="s">
        <v>65</v>
      </c>
      <c r="H49" t="s">
        <v>141</v>
      </c>
      <c r="I49" t="s">
        <v>45</v>
      </c>
      <c r="J49">
        <v>90806</v>
      </c>
      <c r="K49" t="s">
        <v>47</v>
      </c>
    </row>
    <row r="50" spans="1:13" x14ac:dyDescent="0.25">
      <c r="A50">
        <v>350</v>
      </c>
      <c r="B50" t="s">
        <v>166</v>
      </c>
      <c r="F50" t="s">
        <v>167</v>
      </c>
      <c r="G50" t="s">
        <v>65</v>
      </c>
      <c r="H50" t="s">
        <v>128</v>
      </c>
      <c r="I50" t="s">
        <v>45</v>
      </c>
      <c r="J50">
        <v>90806</v>
      </c>
      <c r="K50" t="s">
        <v>47</v>
      </c>
    </row>
    <row r="51" spans="1:13" x14ac:dyDescent="0.25">
      <c r="A51">
        <v>351</v>
      </c>
      <c r="B51" t="s">
        <v>130</v>
      </c>
      <c r="F51" t="s">
        <v>132</v>
      </c>
      <c r="G51" t="s">
        <v>65</v>
      </c>
      <c r="H51" t="s">
        <v>128</v>
      </c>
      <c r="I51" t="s">
        <v>45</v>
      </c>
      <c r="J51">
        <v>90806</v>
      </c>
      <c r="K51" t="s">
        <v>47</v>
      </c>
    </row>
    <row r="52" spans="1:13" x14ac:dyDescent="0.25">
      <c r="A52">
        <v>352</v>
      </c>
      <c r="B52" t="s">
        <v>172</v>
      </c>
      <c r="F52" t="s">
        <v>157</v>
      </c>
      <c r="G52" t="s">
        <v>65</v>
      </c>
      <c r="H52" t="s">
        <v>141</v>
      </c>
      <c r="I52" t="s">
        <v>45</v>
      </c>
      <c r="J52">
        <v>90806</v>
      </c>
      <c r="K52" t="s">
        <v>47</v>
      </c>
    </row>
    <row r="53" spans="1:13" x14ac:dyDescent="0.25">
      <c r="A53">
        <v>353</v>
      </c>
      <c r="B53" t="s">
        <v>168</v>
      </c>
      <c r="F53" t="s">
        <v>169</v>
      </c>
      <c r="G53" t="s">
        <v>65</v>
      </c>
      <c r="H53" t="s">
        <v>128</v>
      </c>
      <c r="I53" t="s">
        <v>45</v>
      </c>
      <c r="J53">
        <v>90806</v>
      </c>
      <c r="K53" t="s">
        <v>47</v>
      </c>
    </row>
    <row r="54" spans="1:13" x14ac:dyDescent="0.25">
      <c r="A54">
        <v>354</v>
      </c>
      <c r="B54" t="s">
        <v>173</v>
      </c>
      <c r="F54" t="s">
        <v>174</v>
      </c>
      <c r="G54" t="s">
        <v>65</v>
      </c>
      <c r="H54" t="s">
        <v>128</v>
      </c>
      <c r="I54" t="s">
        <v>45</v>
      </c>
      <c r="J54">
        <v>90808</v>
      </c>
      <c r="K54" t="s">
        <v>47</v>
      </c>
    </row>
    <row r="55" spans="1:13" x14ac:dyDescent="0.25">
      <c r="A55">
        <v>355</v>
      </c>
      <c r="B55" t="s">
        <v>175</v>
      </c>
      <c r="F55" t="s">
        <v>176</v>
      </c>
      <c r="G55" t="s">
        <v>65</v>
      </c>
      <c r="H55" t="s">
        <v>128</v>
      </c>
      <c r="I55" t="s">
        <v>45</v>
      </c>
      <c r="J55">
        <v>90808</v>
      </c>
      <c r="K55" t="s">
        <v>47</v>
      </c>
    </row>
    <row r="56" spans="1:13" x14ac:dyDescent="0.25">
      <c r="A56">
        <v>356</v>
      </c>
      <c r="B56" t="s">
        <v>177</v>
      </c>
      <c r="F56" t="s">
        <v>178</v>
      </c>
      <c r="G56" t="s">
        <v>65</v>
      </c>
      <c r="H56" t="s">
        <v>128</v>
      </c>
      <c r="I56" t="s">
        <v>45</v>
      </c>
      <c r="J56">
        <v>90808</v>
      </c>
      <c r="K56" t="s">
        <v>47</v>
      </c>
    </row>
    <row r="57" spans="1:13" x14ac:dyDescent="0.25">
      <c r="A57">
        <v>502</v>
      </c>
      <c r="B57" t="s">
        <v>179</v>
      </c>
      <c r="F57" t="s">
        <v>180</v>
      </c>
      <c r="H57" t="s">
        <v>181</v>
      </c>
      <c r="I57" t="s">
        <v>45</v>
      </c>
      <c r="J57" t="s">
        <v>182</v>
      </c>
      <c r="K57" t="s">
        <v>47</v>
      </c>
    </row>
    <row r="58" spans="1:13" x14ac:dyDescent="0.25">
      <c r="A58">
        <v>503</v>
      </c>
      <c r="B58" t="s">
        <v>183</v>
      </c>
      <c r="F58" t="s">
        <v>184</v>
      </c>
      <c r="G58" t="s">
        <v>185</v>
      </c>
      <c r="H58" t="s">
        <v>181</v>
      </c>
      <c r="I58" t="s">
        <v>45</v>
      </c>
      <c r="J58" t="s">
        <v>186</v>
      </c>
      <c r="K58" t="s">
        <v>47</v>
      </c>
      <c r="L58" t="s">
        <v>187</v>
      </c>
    </row>
    <row r="59" spans="1:13" x14ac:dyDescent="0.25">
      <c r="A59">
        <v>504</v>
      </c>
      <c r="B59" t="s">
        <v>188</v>
      </c>
      <c r="F59" t="s">
        <v>189</v>
      </c>
      <c r="G59" t="s">
        <v>190</v>
      </c>
      <c r="H59" t="s">
        <v>181</v>
      </c>
      <c r="I59" t="s">
        <v>45</v>
      </c>
      <c r="J59" t="s">
        <v>182</v>
      </c>
      <c r="K59" t="s">
        <v>47</v>
      </c>
    </row>
    <row r="60" spans="1:13" x14ac:dyDescent="0.25">
      <c r="A60">
        <v>505</v>
      </c>
      <c r="B60" t="s">
        <v>191</v>
      </c>
      <c r="F60" t="s">
        <v>192</v>
      </c>
      <c r="H60" t="s">
        <v>181</v>
      </c>
      <c r="I60" t="s">
        <v>45</v>
      </c>
      <c r="J60" t="s">
        <v>182</v>
      </c>
      <c r="K60" t="s">
        <v>47</v>
      </c>
      <c r="L60" t="s">
        <v>193</v>
      </c>
    </row>
    <row r="61" spans="1:13" x14ac:dyDescent="0.25">
      <c r="A61">
        <v>506</v>
      </c>
      <c r="B61" t="s">
        <v>194</v>
      </c>
      <c r="F61" t="s">
        <v>195</v>
      </c>
      <c r="H61" t="s">
        <v>196</v>
      </c>
      <c r="I61" t="s">
        <v>45</v>
      </c>
      <c r="J61">
        <v>94621</v>
      </c>
      <c r="K61" t="s">
        <v>47</v>
      </c>
      <c r="L61" t="s">
        <v>197</v>
      </c>
    </row>
    <row r="62" spans="1:13" x14ac:dyDescent="0.25">
      <c r="A62">
        <v>507</v>
      </c>
      <c r="B62" t="s">
        <v>198</v>
      </c>
      <c r="F62" t="s">
        <v>199</v>
      </c>
      <c r="H62" t="s">
        <v>181</v>
      </c>
      <c r="I62" t="s">
        <v>45</v>
      </c>
      <c r="J62" t="s">
        <v>200</v>
      </c>
      <c r="K62" t="s">
        <v>47</v>
      </c>
      <c r="L62" t="s">
        <v>201</v>
      </c>
      <c r="M62" t="s">
        <v>202</v>
      </c>
    </row>
    <row r="63" spans="1:13" x14ac:dyDescent="0.25">
      <c r="A63">
        <v>508</v>
      </c>
      <c r="B63" t="s">
        <v>203</v>
      </c>
      <c r="F63" t="s">
        <v>204</v>
      </c>
      <c r="H63" t="s">
        <v>181</v>
      </c>
      <c r="I63" t="s">
        <v>45</v>
      </c>
      <c r="J63" t="s">
        <v>205</v>
      </c>
      <c r="K63" t="s">
        <v>47</v>
      </c>
      <c r="L63" t="s">
        <v>206</v>
      </c>
      <c r="M63" t="s">
        <v>207</v>
      </c>
    </row>
    <row r="64" spans="1:13" x14ac:dyDescent="0.25">
      <c r="A64">
        <v>509</v>
      </c>
      <c r="B64" t="s">
        <v>208</v>
      </c>
      <c r="F64" t="s">
        <v>209</v>
      </c>
      <c r="G64" t="s">
        <v>65</v>
      </c>
      <c r="H64" t="s">
        <v>196</v>
      </c>
      <c r="I64" t="s">
        <v>45</v>
      </c>
      <c r="J64">
        <v>94621</v>
      </c>
      <c r="K64" t="s">
        <v>47</v>
      </c>
    </row>
    <row r="65" spans="1:13" x14ac:dyDescent="0.25">
      <c r="A65">
        <v>590</v>
      </c>
      <c r="B65" t="s">
        <v>210</v>
      </c>
      <c r="C65" t="s">
        <v>211</v>
      </c>
      <c r="F65" t="s">
        <v>212</v>
      </c>
      <c r="H65" t="s">
        <v>213</v>
      </c>
      <c r="I65" t="s">
        <v>45</v>
      </c>
      <c r="J65" t="s">
        <v>214</v>
      </c>
      <c r="K65" t="s">
        <v>47</v>
      </c>
      <c r="L65" t="s">
        <v>215</v>
      </c>
    </row>
    <row r="66" spans="1:13" x14ac:dyDescent="0.25">
      <c r="A66">
        <v>591</v>
      </c>
      <c r="B66" t="s">
        <v>216</v>
      </c>
      <c r="C66" t="s">
        <v>217</v>
      </c>
      <c r="F66" t="s">
        <v>218</v>
      </c>
      <c r="H66" t="s">
        <v>213</v>
      </c>
      <c r="I66" t="s">
        <v>45</v>
      </c>
      <c r="J66">
        <v>95148</v>
      </c>
      <c r="K66" t="s">
        <v>47</v>
      </c>
      <c r="L66" t="s">
        <v>219</v>
      </c>
    </row>
    <row r="67" spans="1:13" x14ac:dyDescent="0.25">
      <c r="A67">
        <v>592</v>
      </c>
      <c r="B67" t="s">
        <v>220</v>
      </c>
      <c r="C67" t="s">
        <v>221</v>
      </c>
      <c r="F67" t="s">
        <v>222</v>
      </c>
      <c r="H67" t="s">
        <v>213</v>
      </c>
      <c r="I67" t="s">
        <v>45</v>
      </c>
      <c r="J67">
        <v>95148</v>
      </c>
      <c r="K67" t="s">
        <v>47</v>
      </c>
      <c r="L67" t="s">
        <v>223</v>
      </c>
    </row>
    <row r="68" spans="1:13" x14ac:dyDescent="0.25">
      <c r="A68">
        <v>593</v>
      </c>
      <c r="B68" t="s">
        <v>224</v>
      </c>
      <c r="C68" t="s">
        <v>225</v>
      </c>
      <c r="F68" t="s">
        <v>222</v>
      </c>
      <c r="H68" t="s">
        <v>213</v>
      </c>
      <c r="I68" t="s">
        <v>45</v>
      </c>
      <c r="J68">
        <v>95148</v>
      </c>
      <c r="K68" t="s">
        <v>47</v>
      </c>
      <c r="L68" t="s">
        <v>226</v>
      </c>
    </row>
    <row r="69" spans="1:13" x14ac:dyDescent="0.25">
      <c r="A69">
        <v>594</v>
      </c>
      <c r="B69" t="s">
        <v>227</v>
      </c>
      <c r="F69" t="s">
        <v>228</v>
      </c>
      <c r="H69" t="s">
        <v>229</v>
      </c>
      <c r="I69" t="s">
        <v>45</v>
      </c>
      <c r="J69" t="s">
        <v>230</v>
      </c>
      <c r="K69" t="s">
        <v>47</v>
      </c>
      <c r="L69" t="s">
        <v>231</v>
      </c>
    </row>
    <row r="70" spans="1:13" x14ac:dyDescent="0.25">
      <c r="A70">
        <v>595</v>
      </c>
      <c r="B70" t="s">
        <v>232</v>
      </c>
      <c r="F70" t="s">
        <v>233</v>
      </c>
      <c r="H70" t="s">
        <v>229</v>
      </c>
      <c r="I70" t="s">
        <v>234</v>
      </c>
      <c r="J70" t="s">
        <v>235</v>
      </c>
      <c r="K70" t="s">
        <v>47</v>
      </c>
      <c r="M70" t="s">
        <v>236</v>
      </c>
    </row>
    <row r="71" spans="1:13" x14ac:dyDescent="0.25">
      <c r="A71">
        <v>596</v>
      </c>
      <c r="B71" t="s">
        <v>210</v>
      </c>
      <c r="F71" t="s">
        <v>212</v>
      </c>
      <c r="G71" t="s">
        <v>65</v>
      </c>
      <c r="H71" t="s">
        <v>213</v>
      </c>
      <c r="I71" t="s">
        <v>45</v>
      </c>
      <c r="J71">
        <v>95070</v>
      </c>
      <c r="K71" t="s">
        <v>47</v>
      </c>
    </row>
    <row r="72" spans="1:13" x14ac:dyDescent="0.25">
      <c r="A72">
        <v>597</v>
      </c>
      <c r="B72" t="s">
        <v>237</v>
      </c>
      <c r="F72" t="s">
        <v>238</v>
      </c>
      <c r="G72" t="s">
        <v>239</v>
      </c>
      <c r="H72" t="s">
        <v>213</v>
      </c>
      <c r="I72" t="s">
        <v>45</v>
      </c>
      <c r="J72">
        <v>95110</v>
      </c>
      <c r="K72" t="s">
        <v>47</v>
      </c>
    </row>
    <row r="73" spans="1:13" x14ac:dyDescent="0.25">
      <c r="A73">
        <v>598</v>
      </c>
      <c r="B73" t="s">
        <v>240</v>
      </c>
      <c r="F73" t="s">
        <v>241</v>
      </c>
      <c r="G73" t="s">
        <v>242</v>
      </c>
      <c r="H73" t="s">
        <v>213</v>
      </c>
      <c r="I73" t="s">
        <v>45</v>
      </c>
      <c r="J73">
        <v>95110</v>
      </c>
      <c r="K73" t="s">
        <v>47</v>
      </c>
    </row>
    <row r="74" spans="1:13" x14ac:dyDescent="0.25">
      <c r="A74">
        <v>599</v>
      </c>
      <c r="B74" t="s">
        <v>243</v>
      </c>
      <c r="F74" t="s">
        <v>244</v>
      </c>
      <c r="G74" t="s">
        <v>65</v>
      </c>
      <c r="H74" t="s">
        <v>213</v>
      </c>
      <c r="I74" t="s">
        <v>45</v>
      </c>
      <c r="J74">
        <v>95110</v>
      </c>
      <c r="K74" t="s">
        <v>47</v>
      </c>
    </row>
    <row r="75" spans="1:13" x14ac:dyDescent="0.25">
      <c r="A75">
        <v>600</v>
      </c>
      <c r="B75" t="s">
        <v>237</v>
      </c>
      <c r="F75" t="s">
        <v>238</v>
      </c>
      <c r="G75" t="s">
        <v>239</v>
      </c>
      <c r="H75" t="s">
        <v>213</v>
      </c>
      <c r="I75" t="s">
        <v>45</v>
      </c>
      <c r="J75">
        <v>95110</v>
      </c>
      <c r="K75" t="s">
        <v>47</v>
      </c>
    </row>
    <row r="76" spans="1:13" x14ac:dyDescent="0.25">
      <c r="A76">
        <v>601</v>
      </c>
      <c r="B76" t="s">
        <v>245</v>
      </c>
      <c r="F76" t="s">
        <v>238</v>
      </c>
      <c r="G76" t="s">
        <v>246</v>
      </c>
      <c r="H76" t="s">
        <v>213</v>
      </c>
      <c r="I76" t="s">
        <v>45</v>
      </c>
      <c r="J76">
        <v>95110</v>
      </c>
      <c r="K76" t="s">
        <v>47</v>
      </c>
    </row>
    <row r="77" spans="1:13" x14ac:dyDescent="0.25">
      <c r="A77">
        <v>602</v>
      </c>
      <c r="B77" t="s">
        <v>247</v>
      </c>
      <c r="F77" t="s">
        <v>248</v>
      </c>
      <c r="H77" t="s">
        <v>249</v>
      </c>
      <c r="I77" t="s">
        <v>45</v>
      </c>
      <c r="J77">
        <v>92707</v>
      </c>
      <c r="K77" t="s">
        <v>47</v>
      </c>
      <c r="L77" t="s">
        <v>250</v>
      </c>
    </row>
    <row r="78" spans="1:13" x14ac:dyDescent="0.25">
      <c r="A78">
        <v>603</v>
      </c>
      <c r="B78" t="s">
        <v>251</v>
      </c>
      <c r="F78" t="s">
        <v>252</v>
      </c>
      <c r="G78" t="s">
        <v>253</v>
      </c>
      <c r="H78" t="s">
        <v>249</v>
      </c>
      <c r="I78" t="s">
        <v>45</v>
      </c>
      <c r="J78">
        <v>92707</v>
      </c>
      <c r="K78" t="s">
        <v>47</v>
      </c>
      <c r="L78" t="s">
        <v>254</v>
      </c>
    </row>
    <row r="79" spans="1:13" x14ac:dyDescent="0.25">
      <c r="A79">
        <v>604</v>
      </c>
      <c r="B79" t="s">
        <v>255</v>
      </c>
      <c r="F79" t="s">
        <v>256</v>
      </c>
      <c r="G79" t="s">
        <v>257</v>
      </c>
      <c r="H79" t="s">
        <v>258</v>
      </c>
      <c r="I79" t="s">
        <v>45</v>
      </c>
      <c r="J79" t="s">
        <v>259</v>
      </c>
      <c r="K79" t="s">
        <v>47</v>
      </c>
      <c r="L79" t="s">
        <v>260</v>
      </c>
    </row>
    <row r="80" spans="1:13" x14ac:dyDescent="0.25">
      <c r="A80">
        <v>605</v>
      </c>
      <c r="B80" t="s">
        <v>261</v>
      </c>
      <c r="F80" t="s">
        <v>262</v>
      </c>
      <c r="G80" t="s">
        <v>263</v>
      </c>
      <c r="H80" t="s">
        <v>258</v>
      </c>
      <c r="I80" t="s">
        <v>45</v>
      </c>
      <c r="J80" t="s">
        <v>259</v>
      </c>
      <c r="K80" t="s">
        <v>47</v>
      </c>
      <c r="L80" t="s">
        <v>264</v>
      </c>
    </row>
    <row r="81" spans="1:13" x14ac:dyDescent="0.25">
      <c r="A81">
        <v>606</v>
      </c>
      <c r="B81" t="s">
        <v>265</v>
      </c>
      <c r="F81" t="s">
        <v>256</v>
      </c>
      <c r="G81" t="s">
        <v>266</v>
      </c>
      <c r="H81" t="s">
        <v>258</v>
      </c>
      <c r="I81" t="s">
        <v>45</v>
      </c>
      <c r="J81" t="s">
        <v>259</v>
      </c>
      <c r="K81" t="s">
        <v>47</v>
      </c>
      <c r="L81" t="s">
        <v>267</v>
      </c>
    </row>
    <row r="82" spans="1:13" x14ac:dyDescent="0.25">
      <c r="A82">
        <v>607</v>
      </c>
      <c r="B82" t="s">
        <v>268</v>
      </c>
      <c r="F82" t="s">
        <v>256</v>
      </c>
      <c r="G82" t="s">
        <v>263</v>
      </c>
      <c r="H82" t="s">
        <v>258</v>
      </c>
      <c r="I82" t="s">
        <v>45</v>
      </c>
      <c r="J82" t="s">
        <v>259</v>
      </c>
      <c r="K82" t="s">
        <v>47</v>
      </c>
      <c r="L82" t="s">
        <v>269</v>
      </c>
    </row>
    <row r="83" spans="1:13" x14ac:dyDescent="0.25">
      <c r="A83">
        <v>608</v>
      </c>
      <c r="B83" t="s">
        <v>270</v>
      </c>
      <c r="F83" t="s">
        <v>262</v>
      </c>
      <c r="G83" t="s">
        <v>263</v>
      </c>
      <c r="H83" t="s">
        <v>258</v>
      </c>
      <c r="I83" t="s">
        <v>45</v>
      </c>
      <c r="J83" t="s">
        <v>259</v>
      </c>
      <c r="K83" t="s">
        <v>47</v>
      </c>
      <c r="L83" t="s">
        <v>271</v>
      </c>
    </row>
    <row r="84" spans="1:13" x14ac:dyDescent="0.25">
      <c r="A84">
        <v>609</v>
      </c>
      <c r="B84" t="s">
        <v>272</v>
      </c>
      <c r="F84" t="s">
        <v>273</v>
      </c>
      <c r="H84" t="s">
        <v>258</v>
      </c>
      <c r="I84" t="s">
        <v>45</v>
      </c>
      <c r="J84" t="s">
        <v>259</v>
      </c>
      <c r="K84" t="s">
        <v>47</v>
      </c>
      <c r="L84" t="s">
        <v>274</v>
      </c>
      <c r="M84" t="s">
        <v>275</v>
      </c>
    </row>
    <row r="85" spans="1:13" x14ac:dyDescent="0.25">
      <c r="A85">
        <v>610</v>
      </c>
      <c r="B85" t="s">
        <v>265</v>
      </c>
      <c r="F85" t="s">
        <v>276</v>
      </c>
      <c r="H85" t="s">
        <v>258</v>
      </c>
      <c r="I85" t="s">
        <v>45</v>
      </c>
      <c r="J85" t="s">
        <v>277</v>
      </c>
      <c r="K85" t="s">
        <v>47</v>
      </c>
      <c r="L85" t="s">
        <v>278</v>
      </c>
      <c r="M85" t="s">
        <v>279</v>
      </c>
    </row>
    <row r="86" spans="1:13" x14ac:dyDescent="0.25">
      <c r="A86">
        <v>611</v>
      </c>
      <c r="B86" t="s">
        <v>268</v>
      </c>
      <c r="F86" t="s">
        <v>280</v>
      </c>
      <c r="H86" t="s">
        <v>258</v>
      </c>
      <c r="I86" t="s">
        <v>45</v>
      </c>
      <c r="J86" t="s">
        <v>281</v>
      </c>
      <c r="K86" t="s">
        <v>47</v>
      </c>
      <c r="L86" t="s">
        <v>282</v>
      </c>
      <c r="M86" t="s">
        <v>283</v>
      </c>
    </row>
    <row r="87" spans="1:13" x14ac:dyDescent="0.25">
      <c r="A87">
        <v>612</v>
      </c>
      <c r="B87" t="s">
        <v>284</v>
      </c>
      <c r="F87" t="s">
        <v>285</v>
      </c>
      <c r="H87" t="s">
        <v>258</v>
      </c>
      <c r="I87" t="s">
        <v>45</v>
      </c>
      <c r="J87" t="s">
        <v>286</v>
      </c>
      <c r="K87" t="s">
        <v>47</v>
      </c>
      <c r="L87" t="s">
        <v>287</v>
      </c>
      <c r="M87" t="s">
        <v>288</v>
      </c>
    </row>
    <row r="88" spans="1:13" x14ac:dyDescent="0.25">
      <c r="A88">
        <v>613</v>
      </c>
      <c r="B88" t="s">
        <v>289</v>
      </c>
      <c r="F88" t="s">
        <v>290</v>
      </c>
      <c r="G88" t="s">
        <v>65</v>
      </c>
      <c r="H88" t="s">
        <v>249</v>
      </c>
      <c r="I88" t="s">
        <v>45</v>
      </c>
      <c r="J88">
        <v>92707</v>
      </c>
      <c r="K88" t="s">
        <v>47</v>
      </c>
    </row>
    <row r="89" spans="1:13" x14ac:dyDescent="0.25">
      <c r="A89">
        <v>614</v>
      </c>
      <c r="B89" t="s">
        <v>289</v>
      </c>
      <c r="F89" t="s">
        <v>290</v>
      </c>
      <c r="G89" t="s">
        <v>65</v>
      </c>
      <c r="H89" t="s">
        <v>249</v>
      </c>
      <c r="I89" t="s">
        <v>45</v>
      </c>
      <c r="J89">
        <v>92707</v>
      </c>
      <c r="K89" t="s">
        <v>47</v>
      </c>
    </row>
    <row r="90" spans="1:13" x14ac:dyDescent="0.25">
      <c r="A90">
        <v>615</v>
      </c>
      <c r="B90" t="s">
        <v>291</v>
      </c>
      <c r="F90" t="s">
        <v>292</v>
      </c>
      <c r="G90" t="s">
        <v>65</v>
      </c>
      <c r="H90" t="s">
        <v>249</v>
      </c>
      <c r="I90" t="s">
        <v>45</v>
      </c>
      <c r="J90">
        <v>92707</v>
      </c>
      <c r="K90" t="s">
        <v>47</v>
      </c>
    </row>
    <row r="91" spans="1:13" x14ac:dyDescent="0.25">
      <c r="A91">
        <v>616</v>
      </c>
      <c r="B91" t="s">
        <v>289</v>
      </c>
      <c r="F91" t="s">
        <v>290</v>
      </c>
      <c r="G91" t="s">
        <v>65</v>
      </c>
      <c r="H91" t="s">
        <v>249</v>
      </c>
      <c r="I91" t="s">
        <v>45</v>
      </c>
      <c r="J91">
        <v>92707</v>
      </c>
      <c r="K91" t="s">
        <v>47</v>
      </c>
    </row>
    <row r="92" spans="1:13" x14ac:dyDescent="0.25">
      <c r="A92">
        <v>617</v>
      </c>
      <c r="B92" t="s">
        <v>293</v>
      </c>
      <c r="F92" t="s">
        <v>294</v>
      </c>
      <c r="G92" t="s">
        <v>65</v>
      </c>
      <c r="H92" t="s">
        <v>258</v>
      </c>
      <c r="I92" t="s">
        <v>45</v>
      </c>
      <c r="J92">
        <v>92707</v>
      </c>
      <c r="K92" t="s">
        <v>47</v>
      </c>
    </row>
    <row r="93" spans="1:13" x14ac:dyDescent="0.25">
      <c r="A93">
        <v>618</v>
      </c>
      <c r="B93" t="s">
        <v>291</v>
      </c>
      <c r="F93" t="s">
        <v>292</v>
      </c>
      <c r="G93" t="s">
        <v>65</v>
      </c>
      <c r="H93" t="s">
        <v>249</v>
      </c>
      <c r="I93" t="s">
        <v>45</v>
      </c>
      <c r="J93">
        <v>92707</v>
      </c>
      <c r="K93" t="s">
        <v>47</v>
      </c>
    </row>
    <row r="94" spans="1:13" x14ac:dyDescent="0.25">
      <c r="A94">
        <v>619</v>
      </c>
      <c r="B94" t="s">
        <v>295</v>
      </c>
      <c r="F94" t="s">
        <v>296</v>
      </c>
      <c r="G94" t="s">
        <v>65</v>
      </c>
      <c r="H94" t="s">
        <v>297</v>
      </c>
      <c r="I94" t="s">
        <v>45</v>
      </c>
      <c r="J94">
        <v>90405</v>
      </c>
      <c r="K94" t="s">
        <v>47</v>
      </c>
    </row>
    <row r="95" spans="1:13" x14ac:dyDescent="0.25">
      <c r="A95">
        <v>620</v>
      </c>
      <c r="B95" t="s">
        <v>295</v>
      </c>
      <c r="F95" t="s">
        <v>296</v>
      </c>
      <c r="G95" t="s">
        <v>65</v>
      </c>
      <c r="H95" t="s">
        <v>297</v>
      </c>
      <c r="I95" t="s">
        <v>45</v>
      </c>
      <c r="J95">
        <v>90405</v>
      </c>
      <c r="K95" t="s">
        <v>47</v>
      </c>
    </row>
    <row r="96" spans="1:13" x14ac:dyDescent="0.25">
      <c r="A96">
        <v>645</v>
      </c>
      <c r="B96" t="s">
        <v>298</v>
      </c>
      <c r="F96" t="s">
        <v>299</v>
      </c>
      <c r="H96" t="s">
        <v>300</v>
      </c>
      <c r="I96" t="s">
        <v>45</v>
      </c>
      <c r="J96">
        <v>91406</v>
      </c>
      <c r="K96" t="s">
        <v>47</v>
      </c>
      <c r="L96" t="s">
        <v>301</v>
      </c>
    </row>
    <row r="97" spans="1:13" x14ac:dyDescent="0.25">
      <c r="A97">
        <v>646</v>
      </c>
      <c r="B97" t="s">
        <v>302</v>
      </c>
      <c r="F97" t="s">
        <v>303</v>
      </c>
      <c r="G97" t="s">
        <v>304</v>
      </c>
      <c r="H97" t="s">
        <v>305</v>
      </c>
      <c r="I97" t="s">
        <v>45</v>
      </c>
      <c r="J97" t="s">
        <v>306</v>
      </c>
      <c r="K97" t="s">
        <v>47</v>
      </c>
      <c r="L97" t="s">
        <v>307</v>
      </c>
    </row>
    <row r="98" spans="1:13" x14ac:dyDescent="0.25">
      <c r="A98">
        <v>647</v>
      </c>
      <c r="B98" t="s">
        <v>302</v>
      </c>
      <c r="F98" t="s">
        <v>308</v>
      </c>
      <c r="G98" t="s">
        <v>304</v>
      </c>
      <c r="H98" t="s">
        <v>305</v>
      </c>
      <c r="I98" t="s">
        <v>45</v>
      </c>
      <c r="J98" t="s">
        <v>306</v>
      </c>
      <c r="K98" t="s">
        <v>47</v>
      </c>
    </row>
    <row r="99" spans="1:13" x14ac:dyDescent="0.25">
      <c r="A99">
        <v>648</v>
      </c>
      <c r="B99" t="s">
        <v>179</v>
      </c>
      <c r="F99" t="s">
        <v>309</v>
      </c>
      <c r="H99" t="s">
        <v>305</v>
      </c>
      <c r="I99" t="s">
        <v>45</v>
      </c>
      <c r="J99" t="s">
        <v>306</v>
      </c>
      <c r="K99" t="s">
        <v>47</v>
      </c>
      <c r="L99" t="s">
        <v>310</v>
      </c>
    </row>
    <row r="100" spans="1:13" x14ac:dyDescent="0.25">
      <c r="A100">
        <v>649</v>
      </c>
      <c r="B100" t="s">
        <v>311</v>
      </c>
      <c r="F100" t="s">
        <v>312</v>
      </c>
      <c r="G100" t="s">
        <v>94</v>
      </c>
      <c r="H100" t="s">
        <v>305</v>
      </c>
      <c r="I100" t="s">
        <v>45</v>
      </c>
      <c r="J100" t="s">
        <v>306</v>
      </c>
      <c r="K100" t="s">
        <v>47</v>
      </c>
      <c r="L100" t="s">
        <v>313</v>
      </c>
    </row>
    <row r="101" spans="1:13" x14ac:dyDescent="0.25">
      <c r="A101">
        <v>650</v>
      </c>
      <c r="B101" t="s">
        <v>314</v>
      </c>
      <c r="F101" t="s">
        <v>315</v>
      </c>
      <c r="G101" t="s">
        <v>316</v>
      </c>
      <c r="H101" t="s">
        <v>305</v>
      </c>
      <c r="I101" t="s">
        <v>45</v>
      </c>
      <c r="J101" t="s">
        <v>306</v>
      </c>
      <c r="K101" t="s">
        <v>47</v>
      </c>
    </row>
    <row r="102" spans="1:13" x14ac:dyDescent="0.25">
      <c r="A102">
        <v>651</v>
      </c>
      <c r="B102" t="s">
        <v>317</v>
      </c>
      <c r="F102" t="s">
        <v>318</v>
      </c>
      <c r="H102" t="s">
        <v>305</v>
      </c>
      <c r="I102" t="s">
        <v>45</v>
      </c>
      <c r="J102" t="s">
        <v>306</v>
      </c>
      <c r="K102" t="s">
        <v>47</v>
      </c>
      <c r="L102" t="s">
        <v>319</v>
      </c>
    </row>
    <row r="103" spans="1:13" x14ac:dyDescent="0.25">
      <c r="A103">
        <v>652</v>
      </c>
      <c r="B103" t="s">
        <v>320</v>
      </c>
      <c r="F103" t="s">
        <v>321</v>
      </c>
      <c r="H103" t="s">
        <v>305</v>
      </c>
      <c r="I103" t="s">
        <v>45</v>
      </c>
      <c r="J103" t="s">
        <v>306</v>
      </c>
      <c r="K103" t="s">
        <v>47</v>
      </c>
      <c r="L103" t="s">
        <v>322</v>
      </c>
    </row>
    <row r="104" spans="1:13" x14ac:dyDescent="0.25">
      <c r="A104">
        <v>653</v>
      </c>
      <c r="B104" t="s">
        <v>323</v>
      </c>
      <c r="F104" t="s">
        <v>324</v>
      </c>
      <c r="H104" t="s">
        <v>305</v>
      </c>
      <c r="I104" t="s">
        <v>45</v>
      </c>
      <c r="J104" t="s">
        <v>306</v>
      </c>
      <c r="K104" t="s">
        <v>47</v>
      </c>
      <c r="L104" t="s">
        <v>325</v>
      </c>
    </row>
    <row r="105" spans="1:13" x14ac:dyDescent="0.25">
      <c r="A105">
        <v>654</v>
      </c>
      <c r="B105" t="s">
        <v>326</v>
      </c>
      <c r="F105" t="s">
        <v>321</v>
      </c>
      <c r="G105" t="s">
        <v>327</v>
      </c>
      <c r="H105" t="s">
        <v>305</v>
      </c>
      <c r="I105" t="s">
        <v>45</v>
      </c>
      <c r="J105" t="s">
        <v>306</v>
      </c>
      <c r="K105" t="s">
        <v>47</v>
      </c>
      <c r="L105" t="s">
        <v>328</v>
      </c>
    </row>
    <row r="106" spans="1:13" x14ac:dyDescent="0.25">
      <c r="A106">
        <v>655</v>
      </c>
      <c r="B106" t="s">
        <v>329</v>
      </c>
      <c r="F106" t="s">
        <v>330</v>
      </c>
      <c r="H106" t="s">
        <v>305</v>
      </c>
      <c r="I106" t="s">
        <v>45</v>
      </c>
      <c r="J106" t="s">
        <v>306</v>
      </c>
      <c r="K106" t="s">
        <v>47</v>
      </c>
      <c r="L106" t="s">
        <v>331</v>
      </c>
    </row>
    <row r="107" spans="1:13" x14ac:dyDescent="0.25">
      <c r="A107">
        <v>656</v>
      </c>
      <c r="B107" t="s">
        <v>332</v>
      </c>
      <c r="F107" t="s">
        <v>321</v>
      </c>
      <c r="G107" t="s">
        <v>333</v>
      </c>
      <c r="H107" t="s">
        <v>305</v>
      </c>
      <c r="I107" t="s">
        <v>45</v>
      </c>
      <c r="J107" t="s">
        <v>306</v>
      </c>
      <c r="K107" t="s">
        <v>47</v>
      </c>
      <c r="L107" t="s">
        <v>334</v>
      </c>
    </row>
    <row r="108" spans="1:13" x14ac:dyDescent="0.25">
      <c r="A108">
        <v>657</v>
      </c>
      <c r="B108" t="s">
        <v>335</v>
      </c>
      <c r="F108" t="s">
        <v>321</v>
      </c>
      <c r="H108" t="s">
        <v>305</v>
      </c>
      <c r="I108" t="s">
        <v>45</v>
      </c>
      <c r="J108" t="s">
        <v>306</v>
      </c>
      <c r="K108" t="s">
        <v>47</v>
      </c>
      <c r="L108" t="s">
        <v>336</v>
      </c>
    </row>
    <row r="109" spans="1:13" x14ac:dyDescent="0.25">
      <c r="A109">
        <v>658</v>
      </c>
      <c r="B109" t="s">
        <v>337</v>
      </c>
      <c r="F109" t="s">
        <v>315</v>
      </c>
      <c r="G109" t="s">
        <v>338</v>
      </c>
      <c r="H109" t="s">
        <v>305</v>
      </c>
      <c r="I109" t="s">
        <v>45</v>
      </c>
      <c r="J109" t="s">
        <v>306</v>
      </c>
      <c r="K109" t="s">
        <v>47</v>
      </c>
      <c r="L109" t="s">
        <v>339</v>
      </c>
    </row>
    <row r="110" spans="1:13" x14ac:dyDescent="0.25">
      <c r="A110">
        <v>659</v>
      </c>
      <c r="B110" t="s">
        <v>340</v>
      </c>
      <c r="F110" t="s">
        <v>324</v>
      </c>
      <c r="H110" t="s">
        <v>305</v>
      </c>
      <c r="I110" t="s">
        <v>45</v>
      </c>
      <c r="J110" t="s">
        <v>306</v>
      </c>
      <c r="K110" t="s">
        <v>47</v>
      </c>
      <c r="L110" t="s">
        <v>325</v>
      </c>
    </row>
    <row r="111" spans="1:13" x14ac:dyDescent="0.25">
      <c r="A111">
        <v>660</v>
      </c>
      <c r="B111" t="s">
        <v>341</v>
      </c>
      <c r="F111" t="s">
        <v>342</v>
      </c>
      <c r="H111" t="s">
        <v>300</v>
      </c>
      <c r="I111" t="s">
        <v>45</v>
      </c>
      <c r="J111" t="s">
        <v>343</v>
      </c>
      <c r="K111" t="s">
        <v>47</v>
      </c>
      <c r="L111" t="s">
        <v>344</v>
      </c>
    </row>
    <row r="112" spans="1:13" x14ac:dyDescent="0.25">
      <c r="A112">
        <v>661</v>
      </c>
      <c r="B112" t="s">
        <v>345</v>
      </c>
      <c r="F112" t="s">
        <v>346</v>
      </c>
      <c r="H112" t="s">
        <v>305</v>
      </c>
      <c r="I112" t="s">
        <v>45</v>
      </c>
      <c r="J112" t="s">
        <v>306</v>
      </c>
      <c r="K112" t="s">
        <v>47</v>
      </c>
      <c r="L112" t="s">
        <v>347</v>
      </c>
      <c r="M112" t="s">
        <v>348</v>
      </c>
    </row>
    <row r="113" spans="1:13" x14ac:dyDescent="0.25">
      <c r="A113">
        <v>662</v>
      </c>
      <c r="B113" t="s">
        <v>349</v>
      </c>
      <c r="F113" t="s">
        <v>350</v>
      </c>
      <c r="H113" t="s">
        <v>305</v>
      </c>
      <c r="I113" t="s">
        <v>45</v>
      </c>
      <c r="J113" t="s">
        <v>351</v>
      </c>
      <c r="K113" t="s">
        <v>47</v>
      </c>
      <c r="L113" t="s">
        <v>352</v>
      </c>
      <c r="M113" t="s">
        <v>353</v>
      </c>
    </row>
    <row r="114" spans="1:13" x14ac:dyDescent="0.25">
      <c r="A114">
        <v>663</v>
      </c>
      <c r="B114" t="s">
        <v>354</v>
      </c>
      <c r="F114" t="s">
        <v>355</v>
      </c>
      <c r="H114" t="s">
        <v>305</v>
      </c>
      <c r="I114" t="s">
        <v>45</v>
      </c>
      <c r="J114" t="s">
        <v>356</v>
      </c>
      <c r="K114" t="s">
        <v>47</v>
      </c>
      <c r="L114" t="s">
        <v>357</v>
      </c>
      <c r="M114" t="s">
        <v>358</v>
      </c>
    </row>
    <row r="115" spans="1:13" x14ac:dyDescent="0.25">
      <c r="A115">
        <v>664</v>
      </c>
      <c r="B115" t="s">
        <v>359</v>
      </c>
      <c r="F115" t="s">
        <v>360</v>
      </c>
      <c r="H115" t="s">
        <v>305</v>
      </c>
      <c r="I115" t="s">
        <v>45</v>
      </c>
      <c r="J115" t="s">
        <v>361</v>
      </c>
      <c r="K115" t="s">
        <v>47</v>
      </c>
      <c r="L115" t="s">
        <v>362</v>
      </c>
      <c r="M115" t="s">
        <v>363</v>
      </c>
    </row>
    <row r="116" spans="1:13" x14ac:dyDescent="0.25">
      <c r="A116">
        <v>665</v>
      </c>
      <c r="B116" t="s">
        <v>311</v>
      </c>
      <c r="F116" t="s">
        <v>364</v>
      </c>
      <c r="H116" t="s">
        <v>305</v>
      </c>
      <c r="I116" t="s">
        <v>45</v>
      </c>
      <c r="J116" t="s">
        <v>306</v>
      </c>
      <c r="K116" t="s">
        <v>47</v>
      </c>
      <c r="L116" t="s">
        <v>365</v>
      </c>
      <c r="M116" t="s">
        <v>366</v>
      </c>
    </row>
    <row r="117" spans="1:13" x14ac:dyDescent="0.25">
      <c r="A117">
        <v>666</v>
      </c>
      <c r="B117" t="s">
        <v>367</v>
      </c>
      <c r="F117" t="s">
        <v>368</v>
      </c>
      <c r="H117" t="s">
        <v>305</v>
      </c>
      <c r="I117" t="s">
        <v>45</v>
      </c>
      <c r="J117" t="s">
        <v>306</v>
      </c>
      <c r="K117" t="s">
        <v>47</v>
      </c>
      <c r="L117" t="s">
        <v>369</v>
      </c>
    </row>
    <row r="118" spans="1:13" x14ac:dyDescent="0.25">
      <c r="A118">
        <v>667</v>
      </c>
      <c r="B118" t="s">
        <v>370</v>
      </c>
      <c r="F118" t="s">
        <v>371</v>
      </c>
      <c r="H118" t="s">
        <v>305</v>
      </c>
      <c r="I118" t="s">
        <v>45</v>
      </c>
      <c r="J118" t="s">
        <v>306</v>
      </c>
      <c r="K118" t="s">
        <v>47</v>
      </c>
      <c r="L118" t="s">
        <v>372</v>
      </c>
      <c r="M118" t="s">
        <v>373</v>
      </c>
    </row>
    <row r="119" spans="1:13" x14ac:dyDescent="0.25">
      <c r="A119">
        <v>668</v>
      </c>
      <c r="B119" t="s">
        <v>370</v>
      </c>
      <c r="F119" t="s">
        <v>371</v>
      </c>
      <c r="H119" t="s">
        <v>305</v>
      </c>
      <c r="I119" t="s">
        <v>45</v>
      </c>
      <c r="J119" t="s">
        <v>306</v>
      </c>
      <c r="K119" t="s">
        <v>47</v>
      </c>
      <c r="L119" t="s">
        <v>372</v>
      </c>
      <c r="M119" t="s">
        <v>373</v>
      </c>
    </row>
    <row r="120" spans="1:13" x14ac:dyDescent="0.25">
      <c r="A120">
        <v>669</v>
      </c>
      <c r="B120" t="s">
        <v>374</v>
      </c>
      <c r="F120" t="s">
        <v>375</v>
      </c>
      <c r="H120" t="s">
        <v>305</v>
      </c>
      <c r="I120" t="s">
        <v>45</v>
      </c>
      <c r="J120" t="s">
        <v>376</v>
      </c>
      <c r="K120" t="s">
        <v>47</v>
      </c>
      <c r="L120" t="s">
        <v>377</v>
      </c>
      <c r="M120" t="s">
        <v>378</v>
      </c>
    </row>
    <row r="121" spans="1:13" x14ac:dyDescent="0.25">
      <c r="A121">
        <v>670</v>
      </c>
      <c r="B121" t="s">
        <v>379</v>
      </c>
      <c r="F121" t="s">
        <v>350</v>
      </c>
      <c r="H121" t="s">
        <v>305</v>
      </c>
      <c r="I121" t="s">
        <v>45</v>
      </c>
      <c r="J121" t="s">
        <v>351</v>
      </c>
      <c r="K121" t="s">
        <v>47</v>
      </c>
      <c r="L121" t="s">
        <v>380</v>
      </c>
      <c r="M121" t="s">
        <v>381</v>
      </c>
    </row>
    <row r="122" spans="1:13" x14ac:dyDescent="0.25">
      <c r="A122">
        <v>671</v>
      </c>
      <c r="B122" t="s">
        <v>382</v>
      </c>
      <c r="F122" t="s">
        <v>383</v>
      </c>
      <c r="H122" t="s">
        <v>305</v>
      </c>
      <c r="I122" t="s">
        <v>45</v>
      </c>
      <c r="J122" t="s">
        <v>306</v>
      </c>
      <c r="K122" t="s">
        <v>47</v>
      </c>
      <c r="L122" t="s">
        <v>384</v>
      </c>
      <c r="M122" t="s">
        <v>385</v>
      </c>
    </row>
    <row r="123" spans="1:13" x14ac:dyDescent="0.25">
      <c r="A123">
        <v>672</v>
      </c>
      <c r="B123" t="s">
        <v>122</v>
      </c>
      <c r="F123" t="s">
        <v>386</v>
      </c>
      <c r="G123" t="s">
        <v>65</v>
      </c>
      <c r="H123" t="s">
        <v>300</v>
      </c>
      <c r="I123" t="s">
        <v>45</v>
      </c>
      <c r="J123">
        <v>91406</v>
      </c>
      <c r="K123" t="s">
        <v>47</v>
      </c>
    </row>
    <row r="124" spans="1:13" x14ac:dyDescent="0.25">
      <c r="A124">
        <v>673</v>
      </c>
      <c r="B124" t="s">
        <v>387</v>
      </c>
      <c r="F124" t="s">
        <v>388</v>
      </c>
      <c r="G124" t="s">
        <v>65</v>
      </c>
      <c r="H124" t="s">
        <v>300</v>
      </c>
      <c r="I124" t="s">
        <v>45</v>
      </c>
      <c r="J124">
        <v>91406</v>
      </c>
      <c r="K124" t="s">
        <v>47</v>
      </c>
    </row>
    <row r="125" spans="1:13" x14ac:dyDescent="0.25">
      <c r="A125">
        <v>674</v>
      </c>
      <c r="B125" t="s">
        <v>122</v>
      </c>
      <c r="F125" t="s">
        <v>386</v>
      </c>
      <c r="G125" t="s">
        <v>65</v>
      </c>
      <c r="H125" t="s">
        <v>300</v>
      </c>
      <c r="I125" t="s">
        <v>45</v>
      </c>
      <c r="J125">
        <v>91406</v>
      </c>
      <c r="K125" t="s">
        <v>47</v>
      </c>
    </row>
    <row r="126" spans="1:13" x14ac:dyDescent="0.25">
      <c r="A126">
        <v>675</v>
      </c>
      <c r="B126" t="s">
        <v>173</v>
      </c>
      <c r="F126" t="s">
        <v>389</v>
      </c>
      <c r="G126" t="s">
        <v>65</v>
      </c>
      <c r="H126" t="s">
        <v>305</v>
      </c>
      <c r="I126" t="s">
        <v>45</v>
      </c>
      <c r="J126">
        <v>91406</v>
      </c>
      <c r="K126" t="s">
        <v>47</v>
      </c>
    </row>
    <row r="127" spans="1:13" x14ac:dyDescent="0.25">
      <c r="A127">
        <v>676</v>
      </c>
      <c r="B127" t="s">
        <v>390</v>
      </c>
      <c r="F127" t="s">
        <v>391</v>
      </c>
      <c r="G127" t="s">
        <v>65</v>
      </c>
      <c r="H127" t="s">
        <v>300</v>
      </c>
      <c r="I127" t="s">
        <v>45</v>
      </c>
      <c r="J127">
        <v>91406</v>
      </c>
      <c r="K127" t="s">
        <v>47</v>
      </c>
    </row>
    <row r="128" spans="1:13" x14ac:dyDescent="0.25">
      <c r="A128">
        <v>677</v>
      </c>
      <c r="B128" t="s">
        <v>392</v>
      </c>
      <c r="F128" t="s">
        <v>393</v>
      </c>
      <c r="G128" t="s">
        <v>394</v>
      </c>
      <c r="H128" t="s">
        <v>300</v>
      </c>
      <c r="I128" t="s">
        <v>45</v>
      </c>
      <c r="J128">
        <v>91406</v>
      </c>
      <c r="K128" t="s">
        <v>47</v>
      </c>
    </row>
    <row r="129" spans="1:11" x14ac:dyDescent="0.25">
      <c r="A129">
        <v>678</v>
      </c>
      <c r="B129" t="s">
        <v>395</v>
      </c>
      <c r="F129" t="s">
        <v>396</v>
      </c>
      <c r="G129" t="s">
        <v>397</v>
      </c>
      <c r="H129" t="s">
        <v>305</v>
      </c>
      <c r="I129" t="s">
        <v>45</v>
      </c>
      <c r="J129">
        <v>91406</v>
      </c>
      <c r="K129" t="s">
        <v>47</v>
      </c>
    </row>
    <row r="130" spans="1:11" x14ac:dyDescent="0.25">
      <c r="A130">
        <v>679</v>
      </c>
      <c r="B130" t="s">
        <v>398</v>
      </c>
      <c r="F130" t="s">
        <v>399</v>
      </c>
      <c r="G130" t="s">
        <v>65</v>
      </c>
      <c r="H130" t="s">
        <v>300</v>
      </c>
      <c r="I130" t="s">
        <v>45</v>
      </c>
      <c r="J130">
        <v>91406</v>
      </c>
      <c r="K130" t="s">
        <v>47</v>
      </c>
    </row>
    <row r="131" spans="1:11" x14ac:dyDescent="0.25">
      <c r="A131">
        <v>680</v>
      </c>
      <c r="B131" t="s">
        <v>400</v>
      </c>
      <c r="F131" t="s">
        <v>391</v>
      </c>
      <c r="G131" t="s">
        <v>65</v>
      </c>
      <c r="H131" t="s">
        <v>300</v>
      </c>
      <c r="I131" t="s">
        <v>45</v>
      </c>
      <c r="J131">
        <v>91406</v>
      </c>
      <c r="K131" t="s">
        <v>47</v>
      </c>
    </row>
    <row r="132" spans="1:11" x14ac:dyDescent="0.25">
      <c r="A132">
        <v>681</v>
      </c>
      <c r="B132" t="s">
        <v>401</v>
      </c>
      <c r="F132" t="s">
        <v>368</v>
      </c>
      <c r="G132" t="s">
        <v>65</v>
      </c>
      <c r="H132" t="s">
        <v>305</v>
      </c>
      <c r="I132" t="s">
        <v>45</v>
      </c>
      <c r="J132">
        <v>91406</v>
      </c>
      <c r="K132" t="s">
        <v>47</v>
      </c>
    </row>
    <row r="133" spans="1:11" x14ac:dyDescent="0.25">
      <c r="A133">
        <v>682</v>
      </c>
      <c r="B133" t="s">
        <v>402</v>
      </c>
      <c r="F133" t="s">
        <v>403</v>
      </c>
      <c r="G133" t="s">
        <v>65</v>
      </c>
      <c r="H133" t="s">
        <v>300</v>
      </c>
      <c r="I133" t="s">
        <v>45</v>
      </c>
      <c r="J133">
        <v>91406</v>
      </c>
      <c r="K133" t="s">
        <v>47</v>
      </c>
    </row>
    <row r="134" spans="1:11" x14ac:dyDescent="0.25">
      <c r="A134">
        <v>683</v>
      </c>
      <c r="B134" t="s">
        <v>404</v>
      </c>
      <c r="F134" t="s">
        <v>405</v>
      </c>
      <c r="G134" t="s">
        <v>406</v>
      </c>
      <c r="H134" t="s">
        <v>305</v>
      </c>
      <c r="I134" t="s">
        <v>45</v>
      </c>
      <c r="J134">
        <v>91406</v>
      </c>
      <c r="K134" t="s">
        <v>47</v>
      </c>
    </row>
    <row r="135" spans="1:11" x14ac:dyDescent="0.25">
      <c r="A135">
        <v>684</v>
      </c>
      <c r="B135" t="s">
        <v>122</v>
      </c>
      <c r="F135" t="s">
        <v>386</v>
      </c>
      <c r="G135" t="s">
        <v>65</v>
      </c>
      <c r="H135" t="s">
        <v>300</v>
      </c>
      <c r="I135" t="s">
        <v>45</v>
      </c>
      <c r="J135">
        <v>91406</v>
      </c>
      <c r="K135" t="s">
        <v>47</v>
      </c>
    </row>
    <row r="136" spans="1:11" x14ac:dyDescent="0.25">
      <c r="A136">
        <v>685</v>
      </c>
      <c r="B136" t="s">
        <v>407</v>
      </c>
      <c r="F136" t="s">
        <v>408</v>
      </c>
      <c r="G136" t="s">
        <v>65</v>
      </c>
      <c r="H136" t="s">
        <v>300</v>
      </c>
      <c r="I136" t="s">
        <v>45</v>
      </c>
      <c r="J136">
        <v>91406</v>
      </c>
      <c r="K136" t="s">
        <v>47</v>
      </c>
    </row>
    <row r="137" spans="1:11" x14ac:dyDescent="0.25">
      <c r="A137">
        <v>686</v>
      </c>
      <c r="B137" t="s">
        <v>409</v>
      </c>
      <c r="F137" t="s">
        <v>410</v>
      </c>
      <c r="G137" t="s">
        <v>65</v>
      </c>
      <c r="H137" t="s">
        <v>300</v>
      </c>
      <c r="I137" t="s">
        <v>45</v>
      </c>
      <c r="J137">
        <v>91406</v>
      </c>
      <c r="K137" t="s">
        <v>47</v>
      </c>
    </row>
    <row r="138" spans="1:11" x14ac:dyDescent="0.25">
      <c r="A138">
        <v>687</v>
      </c>
      <c r="B138" t="s">
        <v>411</v>
      </c>
      <c r="F138" t="s">
        <v>412</v>
      </c>
      <c r="G138" t="s">
        <v>65</v>
      </c>
      <c r="H138" t="s">
        <v>300</v>
      </c>
      <c r="I138" t="s">
        <v>45</v>
      </c>
      <c r="J138">
        <v>91406</v>
      </c>
      <c r="K138" t="s">
        <v>47</v>
      </c>
    </row>
    <row r="139" spans="1:11" x14ac:dyDescent="0.25">
      <c r="A139">
        <v>688</v>
      </c>
      <c r="B139" t="s">
        <v>413</v>
      </c>
      <c r="F139" t="s">
        <v>414</v>
      </c>
      <c r="G139" t="s">
        <v>65</v>
      </c>
      <c r="H139" t="s">
        <v>300</v>
      </c>
      <c r="I139" t="s">
        <v>45</v>
      </c>
      <c r="J139">
        <v>91406</v>
      </c>
      <c r="K139" t="s">
        <v>47</v>
      </c>
    </row>
    <row r="140" spans="1:11" x14ac:dyDescent="0.25">
      <c r="A140">
        <v>689</v>
      </c>
      <c r="B140" t="s">
        <v>415</v>
      </c>
      <c r="F140" t="s">
        <v>416</v>
      </c>
      <c r="G140" t="s">
        <v>65</v>
      </c>
      <c r="H140" t="s">
        <v>300</v>
      </c>
      <c r="I140" t="s">
        <v>45</v>
      </c>
      <c r="J140">
        <v>91406</v>
      </c>
      <c r="K140" t="s">
        <v>47</v>
      </c>
    </row>
    <row r="141" spans="1:11" x14ac:dyDescent="0.25">
      <c r="A141">
        <v>690</v>
      </c>
      <c r="B141" t="s">
        <v>387</v>
      </c>
      <c r="F141" t="s">
        <v>388</v>
      </c>
      <c r="G141" t="s">
        <v>65</v>
      </c>
      <c r="H141" t="s">
        <v>300</v>
      </c>
      <c r="I141" t="s">
        <v>45</v>
      </c>
      <c r="J141">
        <v>91406</v>
      </c>
      <c r="K141" t="s">
        <v>47</v>
      </c>
    </row>
    <row r="142" spans="1:11" x14ac:dyDescent="0.25">
      <c r="A142">
        <v>691</v>
      </c>
      <c r="B142" t="s">
        <v>417</v>
      </c>
      <c r="F142" t="s">
        <v>418</v>
      </c>
      <c r="G142" t="s">
        <v>65</v>
      </c>
      <c r="H142" t="s">
        <v>300</v>
      </c>
      <c r="I142" t="s">
        <v>45</v>
      </c>
      <c r="J142">
        <v>91406</v>
      </c>
      <c r="K142" t="s">
        <v>47</v>
      </c>
    </row>
    <row r="143" spans="1:11" x14ac:dyDescent="0.25">
      <c r="A143">
        <v>692</v>
      </c>
      <c r="B143" t="s">
        <v>419</v>
      </c>
      <c r="F143" t="s">
        <v>420</v>
      </c>
      <c r="G143" t="s">
        <v>65</v>
      </c>
      <c r="H143" t="s">
        <v>300</v>
      </c>
      <c r="I143" t="s">
        <v>45</v>
      </c>
      <c r="J143">
        <v>91406</v>
      </c>
      <c r="K143" t="s">
        <v>47</v>
      </c>
    </row>
    <row r="144" spans="1:11" x14ac:dyDescent="0.25">
      <c r="A144">
        <v>693</v>
      </c>
      <c r="B144" t="s">
        <v>421</v>
      </c>
      <c r="F144" t="s">
        <v>422</v>
      </c>
      <c r="G144" t="s">
        <v>423</v>
      </c>
      <c r="H144" t="s">
        <v>300</v>
      </c>
      <c r="I144" t="s">
        <v>45</v>
      </c>
      <c r="J144">
        <v>91406</v>
      </c>
      <c r="K144" t="s">
        <v>47</v>
      </c>
    </row>
    <row r="145" spans="1:11" x14ac:dyDescent="0.25">
      <c r="A145">
        <v>694</v>
      </c>
      <c r="B145" t="s">
        <v>424</v>
      </c>
      <c r="F145" t="s">
        <v>425</v>
      </c>
      <c r="G145" t="s">
        <v>426</v>
      </c>
      <c r="H145" t="s">
        <v>300</v>
      </c>
      <c r="I145" t="s">
        <v>45</v>
      </c>
      <c r="J145">
        <v>91406</v>
      </c>
      <c r="K145" t="s">
        <v>47</v>
      </c>
    </row>
    <row r="146" spans="1:11" x14ac:dyDescent="0.25">
      <c r="A146">
        <v>695</v>
      </c>
      <c r="B146" t="s">
        <v>427</v>
      </c>
      <c r="F146" t="s">
        <v>428</v>
      </c>
      <c r="G146" t="s">
        <v>65</v>
      </c>
      <c r="H146" t="s">
        <v>300</v>
      </c>
      <c r="I146" t="s">
        <v>45</v>
      </c>
      <c r="J146">
        <v>91406</v>
      </c>
      <c r="K146" t="s">
        <v>47</v>
      </c>
    </row>
    <row r="147" spans="1:11" x14ac:dyDescent="0.25">
      <c r="A147">
        <v>696</v>
      </c>
      <c r="B147" t="s">
        <v>429</v>
      </c>
      <c r="F147" t="s">
        <v>324</v>
      </c>
      <c r="G147" t="s">
        <v>65</v>
      </c>
      <c r="H147" t="s">
        <v>300</v>
      </c>
      <c r="I147" t="s">
        <v>45</v>
      </c>
      <c r="J147">
        <v>91406</v>
      </c>
      <c r="K147" t="s">
        <v>47</v>
      </c>
    </row>
    <row r="148" spans="1:11" x14ac:dyDescent="0.25">
      <c r="A148">
        <v>697</v>
      </c>
      <c r="B148" t="s">
        <v>430</v>
      </c>
      <c r="F148" t="s">
        <v>431</v>
      </c>
      <c r="G148" t="s">
        <v>65</v>
      </c>
      <c r="H148" t="s">
        <v>300</v>
      </c>
      <c r="I148" t="s">
        <v>45</v>
      </c>
      <c r="J148">
        <v>91406</v>
      </c>
      <c r="K148" t="s">
        <v>47</v>
      </c>
    </row>
  </sheetData>
  <autoFilter ref="B1:AQ148" xr:uid="{5529C9B5-24C6-4092-821A-6C21B6A2A1E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715F-002A-4762-9CEC-9DA0BF6DFDC9}">
  <dimension ref="A1:AX7908"/>
  <sheetViews>
    <sheetView tabSelected="1" workbookViewId="0">
      <pane xSplit="2" topLeftCell="C1" activePane="topRight" state="frozen"/>
      <selection activeCell="B1" sqref="B1"/>
      <selection pane="topRight" activeCell="N22" sqref="N22:O25"/>
    </sheetView>
  </sheetViews>
  <sheetFormatPr defaultRowHeight="15" x14ac:dyDescent="0.25"/>
  <cols>
    <col min="1" max="1" width="6.140625" customWidth="1"/>
    <col min="2" max="2" width="38.7109375" customWidth="1"/>
    <col min="3" max="3" width="17.5703125" customWidth="1"/>
    <col min="4" max="4" width="51" hidden="1" customWidth="1"/>
    <col min="5" max="5" width="37.7109375" hidden="1" customWidth="1"/>
    <col min="6" max="7" width="13.85546875" customWidth="1"/>
    <col min="8" max="8" width="16.5703125" customWidth="1"/>
    <col min="9" max="9" width="5.140625" customWidth="1"/>
    <col min="10" max="10" width="11" style="24" customWidth="1"/>
    <col min="11" max="12" width="14" hidden="1" customWidth="1"/>
    <col min="13" max="18" width="16" style="20" customWidth="1"/>
    <col min="19" max="19" width="8.7109375" customWidth="1"/>
    <col min="20" max="20" width="9.140625" customWidth="1"/>
    <col min="24" max="25" width="0" hidden="1" customWidth="1"/>
    <col min="26" max="26" width="55.28515625" bestFit="1" customWidth="1"/>
    <col min="27" max="28" width="0" hidden="1" customWidth="1"/>
    <col min="29" max="29" width="61" bestFit="1" customWidth="1"/>
    <col min="34" max="46" width="0" hidden="1" customWidth="1"/>
  </cols>
  <sheetData>
    <row r="1" spans="1:47" ht="15.75" x14ac:dyDescent="0.25">
      <c r="A1" s="2" t="s">
        <v>0</v>
      </c>
      <c r="B1" s="3" t="s">
        <v>1</v>
      </c>
      <c r="C1" s="4" t="s">
        <v>2</v>
      </c>
      <c r="D1" s="4" t="s">
        <v>3</v>
      </c>
      <c r="E1" s="4" t="s">
        <v>4</v>
      </c>
      <c r="F1" s="4" t="s">
        <v>5</v>
      </c>
      <c r="G1" s="4" t="s">
        <v>6</v>
      </c>
      <c r="H1" s="4" t="s">
        <v>7</v>
      </c>
      <c r="I1" s="5" t="s">
        <v>8</v>
      </c>
      <c r="J1" s="23" t="s">
        <v>9</v>
      </c>
      <c r="K1" s="4" t="s">
        <v>10</v>
      </c>
      <c r="L1" s="4" t="s">
        <v>11</v>
      </c>
      <c r="M1" s="19" t="s">
        <v>12</v>
      </c>
      <c r="N1" s="25" t="s">
        <v>1483</v>
      </c>
      <c r="O1" s="25" t="s">
        <v>1484</v>
      </c>
      <c r="P1" s="25" t="s">
        <v>1485</v>
      </c>
      <c r="Q1" s="25" t="s">
        <v>1486</v>
      </c>
      <c r="R1" s="25" t="s">
        <v>1487</v>
      </c>
      <c r="S1" s="4" t="s">
        <v>13</v>
      </c>
      <c r="T1" s="4" t="s">
        <v>14</v>
      </c>
      <c r="U1" s="4" t="s">
        <v>15</v>
      </c>
      <c r="V1" s="4" t="s">
        <v>16</v>
      </c>
      <c r="W1" s="4" t="s">
        <v>17</v>
      </c>
      <c r="X1" s="4" t="s">
        <v>18</v>
      </c>
      <c r="Y1" s="2"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row>
    <row r="2" spans="1:47" x14ac:dyDescent="0.25">
      <c r="A2">
        <v>20</v>
      </c>
      <c r="B2" t="s">
        <v>49</v>
      </c>
      <c r="F2" t="s">
        <v>50</v>
      </c>
      <c r="H2" t="s">
        <v>44</v>
      </c>
      <c r="I2" t="s">
        <v>45</v>
      </c>
      <c r="J2" s="24" t="s">
        <v>51</v>
      </c>
      <c r="K2" t="s">
        <v>47</v>
      </c>
      <c r="L2" t="s">
        <v>52</v>
      </c>
      <c r="M2" s="20" t="s">
        <v>53</v>
      </c>
      <c r="N2" t="s">
        <v>1353</v>
      </c>
      <c r="O2"/>
      <c r="P2"/>
      <c r="Q2"/>
      <c r="R2"/>
      <c r="S2" t="s">
        <v>432</v>
      </c>
      <c r="T2" t="s">
        <v>433</v>
      </c>
      <c r="X2" t="s">
        <v>434</v>
      </c>
      <c r="Y2" t="s">
        <v>435</v>
      </c>
      <c r="Z2" s="6" t="s">
        <v>436</v>
      </c>
      <c r="AA2" t="s">
        <v>437</v>
      </c>
      <c r="AB2" t="s">
        <v>438</v>
      </c>
      <c r="AC2" t="s">
        <v>439</v>
      </c>
      <c r="AD2" t="s">
        <v>65</v>
      </c>
      <c r="AE2" t="s">
        <v>433</v>
      </c>
      <c r="AF2" t="s">
        <v>433</v>
      </c>
      <c r="AG2" t="s">
        <v>433</v>
      </c>
      <c r="AH2">
        <v>34.194656999999999</v>
      </c>
      <c r="AI2">
        <v>-118.35889899999999</v>
      </c>
      <c r="AJ2" t="s">
        <v>440</v>
      </c>
      <c r="AK2" t="s">
        <v>441</v>
      </c>
      <c r="AL2" t="s">
        <v>52</v>
      </c>
      <c r="AM2" t="s">
        <v>442</v>
      </c>
      <c r="AO2" t="s">
        <v>443</v>
      </c>
      <c r="AP2" t="s">
        <v>444</v>
      </c>
      <c r="AQ2">
        <v>-480</v>
      </c>
      <c r="AR2" t="s">
        <v>445</v>
      </c>
      <c r="AS2" t="s">
        <v>446</v>
      </c>
      <c r="AT2">
        <v>4.2</v>
      </c>
      <c r="AU2">
        <v>5</v>
      </c>
    </row>
    <row r="3" spans="1:47" x14ac:dyDescent="0.25">
      <c r="A3">
        <v>21</v>
      </c>
      <c r="B3" t="s">
        <v>54</v>
      </c>
      <c r="F3" t="s">
        <v>55</v>
      </c>
      <c r="H3" t="s">
        <v>44</v>
      </c>
      <c r="I3" t="s">
        <v>45</v>
      </c>
      <c r="J3" s="24" t="s">
        <v>56</v>
      </c>
      <c r="K3" t="s">
        <v>47</v>
      </c>
      <c r="L3" t="s">
        <v>57</v>
      </c>
      <c r="M3" s="20" t="s">
        <v>58</v>
      </c>
      <c r="N3" t="s">
        <v>1327</v>
      </c>
      <c r="O3"/>
      <c r="P3"/>
      <c r="Q3"/>
      <c r="R3"/>
      <c r="S3" t="s">
        <v>432</v>
      </c>
      <c r="T3" t="s">
        <v>433</v>
      </c>
      <c r="X3" t="s">
        <v>447</v>
      </c>
      <c r="Y3" t="s">
        <v>448</v>
      </c>
      <c r="Z3" s="6" t="s">
        <v>449</v>
      </c>
      <c r="AA3" t="s">
        <v>437</v>
      </c>
      <c r="AB3" t="s">
        <v>450</v>
      </c>
      <c r="AC3" t="s">
        <v>451</v>
      </c>
      <c r="AD3" t="s">
        <v>433</v>
      </c>
      <c r="AE3" t="s">
        <v>433</v>
      </c>
      <c r="AF3" t="s">
        <v>433</v>
      </c>
      <c r="AG3" t="s">
        <v>433</v>
      </c>
      <c r="AH3">
        <v>34.200123099999999</v>
      </c>
      <c r="AI3">
        <v>-118.3598214</v>
      </c>
      <c r="AJ3" t="s">
        <v>452</v>
      </c>
      <c r="AK3" t="s">
        <v>453</v>
      </c>
      <c r="AL3" t="s">
        <v>57</v>
      </c>
      <c r="AM3" t="s">
        <v>442</v>
      </c>
      <c r="AO3" t="s">
        <v>454</v>
      </c>
      <c r="AP3" t="s">
        <v>444</v>
      </c>
      <c r="AQ3">
        <v>-480</v>
      </c>
      <c r="AR3" t="s">
        <v>455</v>
      </c>
      <c r="AS3" t="s">
        <v>456</v>
      </c>
      <c r="AT3">
        <v>4.7</v>
      </c>
      <c r="AU3">
        <v>5</v>
      </c>
    </row>
    <row r="4" spans="1:47" x14ac:dyDescent="0.25">
      <c r="A4">
        <v>22</v>
      </c>
      <c r="B4" t="s">
        <v>59</v>
      </c>
      <c r="F4" t="s">
        <v>60</v>
      </c>
      <c r="G4" t="s">
        <v>61</v>
      </c>
      <c r="H4" t="s">
        <v>62</v>
      </c>
      <c r="I4" t="s">
        <v>45</v>
      </c>
      <c r="J4" s="24">
        <v>91504</v>
      </c>
      <c r="K4" t="s">
        <v>47</v>
      </c>
      <c r="N4" t="s">
        <v>1331</v>
      </c>
      <c r="O4" t="s">
        <v>1328</v>
      </c>
      <c r="P4"/>
      <c r="Q4"/>
      <c r="R4"/>
      <c r="S4" t="s">
        <v>432</v>
      </c>
      <c r="U4" t="s">
        <v>433</v>
      </c>
      <c r="X4" t="s">
        <v>457</v>
      </c>
      <c r="Y4" t="s">
        <v>458</v>
      </c>
      <c r="Z4" s="6" t="s">
        <v>459</v>
      </c>
      <c r="AA4" t="s">
        <v>437</v>
      </c>
      <c r="AB4" t="s">
        <v>460</v>
      </c>
      <c r="AC4" t="s">
        <v>461</v>
      </c>
      <c r="AD4" t="s">
        <v>433</v>
      </c>
      <c r="AE4" t="s">
        <v>65</v>
      </c>
      <c r="AF4" t="s">
        <v>433</v>
      </c>
      <c r="AG4" t="s">
        <v>433</v>
      </c>
      <c r="AH4">
        <v>34.203241900000002</v>
      </c>
      <c r="AI4">
        <v>-118.342911</v>
      </c>
      <c r="AJ4" t="s">
        <v>462</v>
      </c>
      <c r="AK4" t="s">
        <v>463</v>
      </c>
      <c r="AL4" t="s">
        <v>464</v>
      </c>
      <c r="AM4" t="s">
        <v>465</v>
      </c>
      <c r="AO4" t="s">
        <v>466</v>
      </c>
      <c r="AP4" t="s">
        <v>467</v>
      </c>
      <c r="AQ4">
        <v>-480</v>
      </c>
      <c r="AR4" t="s">
        <v>468</v>
      </c>
      <c r="AS4" t="s">
        <v>469</v>
      </c>
      <c r="AT4">
        <v>4.3</v>
      </c>
      <c r="AU4">
        <v>4</v>
      </c>
    </row>
    <row r="5" spans="1:47" x14ac:dyDescent="0.25">
      <c r="A5">
        <v>23</v>
      </c>
      <c r="B5" t="s">
        <v>63</v>
      </c>
      <c r="F5" t="s">
        <v>64</v>
      </c>
      <c r="G5" t="s">
        <v>65</v>
      </c>
      <c r="H5" t="s">
        <v>62</v>
      </c>
      <c r="I5" t="s">
        <v>45</v>
      </c>
      <c r="J5" s="24">
        <v>91505</v>
      </c>
      <c r="K5" t="s">
        <v>47</v>
      </c>
      <c r="N5" t="s">
        <v>1331</v>
      </c>
      <c r="O5" t="s">
        <v>1488</v>
      </c>
      <c r="P5"/>
      <c r="Q5"/>
      <c r="R5"/>
      <c r="S5" t="s">
        <v>432</v>
      </c>
      <c r="U5" t="s">
        <v>433</v>
      </c>
      <c r="X5" t="s">
        <v>470</v>
      </c>
      <c r="Y5" t="s">
        <v>471</v>
      </c>
      <c r="Z5" s="6" t="s">
        <v>472</v>
      </c>
      <c r="AA5" t="s">
        <v>437</v>
      </c>
      <c r="AB5" t="s">
        <v>473</v>
      </c>
      <c r="AC5" t="s">
        <v>474</v>
      </c>
      <c r="AD5" t="s">
        <v>433</v>
      </c>
      <c r="AE5" t="s">
        <v>65</v>
      </c>
      <c r="AF5" t="s">
        <v>433</v>
      </c>
      <c r="AG5" t="s">
        <v>433</v>
      </c>
      <c r="AH5">
        <v>34.195823099999998</v>
      </c>
      <c r="AI5">
        <v>-118.3648019</v>
      </c>
      <c r="AJ5" t="s">
        <v>475</v>
      </c>
      <c r="AK5" t="s">
        <v>476</v>
      </c>
      <c r="AL5" t="s">
        <v>477</v>
      </c>
      <c r="AM5" t="s">
        <v>442</v>
      </c>
      <c r="AO5" t="s">
        <v>478</v>
      </c>
      <c r="AP5" t="s">
        <v>444</v>
      </c>
      <c r="AQ5">
        <v>-480</v>
      </c>
      <c r="AR5" t="s">
        <v>479</v>
      </c>
      <c r="AS5" t="s">
        <v>480</v>
      </c>
      <c r="AT5">
        <v>4</v>
      </c>
      <c r="AU5">
        <v>5</v>
      </c>
    </row>
    <row r="6" spans="1:47" x14ac:dyDescent="0.25">
      <c r="A6">
        <v>24</v>
      </c>
      <c r="B6" t="s">
        <v>63</v>
      </c>
      <c r="F6" t="s">
        <v>64</v>
      </c>
      <c r="G6" t="s">
        <v>65</v>
      </c>
      <c r="H6" t="s">
        <v>62</v>
      </c>
      <c r="I6" t="s">
        <v>45</v>
      </c>
      <c r="J6" s="24">
        <v>91505</v>
      </c>
      <c r="K6" t="s">
        <v>47</v>
      </c>
      <c r="N6" t="s">
        <v>1331</v>
      </c>
      <c r="O6" t="s">
        <v>1489</v>
      </c>
      <c r="P6"/>
      <c r="Q6"/>
      <c r="R6"/>
      <c r="S6" t="s">
        <v>432</v>
      </c>
      <c r="U6" t="s">
        <v>433</v>
      </c>
      <c r="X6" t="s">
        <v>470</v>
      </c>
      <c r="Y6" t="s">
        <v>471</v>
      </c>
      <c r="Z6" s="6" t="s">
        <v>472</v>
      </c>
      <c r="AA6" t="s">
        <v>437</v>
      </c>
      <c r="AB6" t="s">
        <v>473</v>
      </c>
      <c r="AC6" t="s">
        <v>474</v>
      </c>
      <c r="AD6" t="s">
        <v>433</v>
      </c>
      <c r="AE6" t="s">
        <v>65</v>
      </c>
      <c r="AF6" t="s">
        <v>433</v>
      </c>
      <c r="AG6" t="s">
        <v>433</v>
      </c>
      <c r="AH6">
        <v>34.195823099999998</v>
      </c>
      <c r="AI6">
        <v>-118.3648019</v>
      </c>
      <c r="AJ6" t="s">
        <v>475</v>
      </c>
      <c r="AK6" t="s">
        <v>476</v>
      </c>
      <c r="AL6" t="s">
        <v>477</v>
      </c>
      <c r="AM6" t="s">
        <v>442</v>
      </c>
      <c r="AO6" t="s">
        <v>478</v>
      </c>
      <c r="AP6" t="s">
        <v>444</v>
      </c>
      <c r="AQ6">
        <v>-480</v>
      </c>
      <c r="AR6" t="s">
        <v>479</v>
      </c>
      <c r="AS6" t="s">
        <v>480</v>
      </c>
      <c r="AT6">
        <v>4</v>
      </c>
      <c r="AU6">
        <v>5</v>
      </c>
    </row>
    <row r="7" spans="1:47" x14ac:dyDescent="0.25">
      <c r="A7">
        <v>25</v>
      </c>
      <c r="B7" t="s">
        <v>66</v>
      </c>
      <c r="F7" t="s">
        <v>67</v>
      </c>
      <c r="G7" t="s">
        <v>65</v>
      </c>
      <c r="H7" t="s">
        <v>62</v>
      </c>
      <c r="I7" t="s">
        <v>45</v>
      </c>
      <c r="J7" s="24">
        <v>91505</v>
      </c>
      <c r="K7" t="s">
        <v>47</v>
      </c>
      <c r="N7" t="s">
        <v>1331</v>
      </c>
      <c r="O7" t="s">
        <v>1328</v>
      </c>
      <c r="P7"/>
      <c r="Q7"/>
      <c r="R7"/>
      <c r="S7" t="s">
        <v>432</v>
      </c>
      <c r="U7" t="s">
        <v>433</v>
      </c>
      <c r="X7" t="s">
        <v>481</v>
      </c>
      <c r="Y7" t="s">
        <v>482</v>
      </c>
      <c r="Z7" s="6" t="s">
        <v>436</v>
      </c>
      <c r="AA7" t="s">
        <v>437</v>
      </c>
      <c r="AB7" t="s">
        <v>438</v>
      </c>
      <c r="AC7" t="s">
        <v>483</v>
      </c>
      <c r="AD7" t="s">
        <v>433</v>
      </c>
      <c r="AE7" t="s">
        <v>65</v>
      </c>
      <c r="AF7" t="s">
        <v>433</v>
      </c>
      <c r="AG7" t="s">
        <v>433</v>
      </c>
      <c r="AH7">
        <v>34.194656999999999</v>
      </c>
      <c r="AI7">
        <v>-118.35889899999999</v>
      </c>
      <c r="AJ7" t="s">
        <v>440</v>
      </c>
      <c r="AK7" t="s">
        <v>441</v>
      </c>
      <c r="AL7" t="s">
        <v>52</v>
      </c>
      <c r="AM7" t="s">
        <v>442</v>
      </c>
      <c r="AO7" t="s">
        <v>443</v>
      </c>
      <c r="AP7" t="s">
        <v>444</v>
      </c>
      <c r="AQ7">
        <v>-480</v>
      </c>
      <c r="AR7" t="s">
        <v>445</v>
      </c>
      <c r="AS7" t="s">
        <v>446</v>
      </c>
      <c r="AT7">
        <v>4.2</v>
      </c>
      <c r="AU7">
        <v>5</v>
      </c>
    </row>
    <row r="8" spans="1:47" x14ac:dyDescent="0.25">
      <c r="A8">
        <v>26</v>
      </c>
      <c r="B8" t="s">
        <v>68</v>
      </c>
      <c r="F8" t="s">
        <v>69</v>
      </c>
      <c r="G8" t="s">
        <v>65</v>
      </c>
      <c r="H8" t="s">
        <v>62</v>
      </c>
      <c r="I8" t="s">
        <v>45</v>
      </c>
      <c r="J8" s="24">
        <v>91505</v>
      </c>
      <c r="K8" t="s">
        <v>47</v>
      </c>
      <c r="N8" t="s">
        <v>1331</v>
      </c>
      <c r="O8" t="s">
        <v>1328</v>
      </c>
      <c r="P8"/>
      <c r="Q8"/>
      <c r="R8"/>
      <c r="S8" t="s">
        <v>432</v>
      </c>
      <c r="U8" t="s">
        <v>433</v>
      </c>
      <c r="X8" t="s">
        <v>484</v>
      </c>
      <c r="Y8" t="s">
        <v>485</v>
      </c>
      <c r="Z8" s="6" t="s">
        <v>486</v>
      </c>
      <c r="AA8" t="s">
        <v>437</v>
      </c>
      <c r="AB8" t="s">
        <v>487</v>
      </c>
      <c r="AC8" t="s">
        <v>488</v>
      </c>
      <c r="AD8" t="s">
        <v>433</v>
      </c>
      <c r="AE8" t="s">
        <v>65</v>
      </c>
      <c r="AF8" t="s">
        <v>433</v>
      </c>
      <c r="AG8" t="s">
        <v>433</v>
      </c>
      <c r="AH8">
        <v>34.193016</v>
      </c>
      <c r="AI8">
        <v>-118.359848</v>
      </c>
      <c r="AJ8" t="s">
        <v>489</v>
      </c>
      <c r="AK8" t="s">
        <v>490</v>
      </c>
      <c r="AL8" t="s">
        <v>491</v>
      </c>
      <c r="AM8" t="s">
        <v>465</v>
      </c>
      <c r="AO8" t="s">
        <v>492</v>
      </c>
      <c r="AP8" t="s">
        <v>467</v>
      </c>
      <c r="AQ8">
        <v>-480</v>
      </c>
      <c r="AR8" t="s">
        <v>493</v>
      </c>
      <c r="AS8" t="s">
        <v>494</v>
      </c>
      <c r="AT8">
        <v>4</v>
      </c>
      <c r="AU8">
        <v>4</v>
      </c>
    </row>
    <row r="9" spans="1:47" x14ac:dyDescent="0.25">
      <c r="A9">
        <v>27</v>
      </c>
      <c r="B9" t="s">
        <v>70</v>
      </c>
      <c r="F9" t="s">
        <v>71</v>
      </c>
      <c r="H9" t="s">
        <v>72</v>
      </c>
      <c r="I9" t="s">
        <v>45</v>
      </c>
      <c r="J9" s="24">
        <v>92011</v>
      </c>
      <c r="K9" t="s">
        <v>47</v>
      </c>
      <c r="L9" t="s">
        <v>73</v>
      </c>
      <c r="N9" t="s">
        <v>1490</v>
      </c>
      <c r="O9"/>
      <c r="P9"/>
      <c r="Q9"/>
      <c r="R9"/>
      <c r="S9" t="s">
        <v>432</v>
      </c>
      <c r="T9" t="s">
        <v>433</v>
      </c>
      <c r="X9" t="s">
        <v>495</v>
      </c>
      <c r="Y9" t="s">
        <v>496</v>
      </c>
      <c r="Z9" s="6" t="s">
        <v>497</v>
      </c>
      <c r="AA9" t="s">
        <v>437</v>
      </c>
      <c r="AB9" t="s">
        <v>498</v>
      </c>
      <c r="AC9" t="s">
        <v>499</v>
      </c>
      <c r="AD9" t="s">
        <v>65</v>
      </c>
      <c r="AE9" t="s">
        <v>433</v>
      </c>
      <c r="AF9" t="s">
        <v>433</v>
      </c>
      <c r="AG9" t="s">
        <v>433</v>
      </c>
      <c r="AH9">
        <v>33.125780499999998</v>
      </c>
      <c r="AI9">
        <v>-117.2754738</v>
      </c>
      <c r="AJ9" t="s">
        <v>500</v>
      </c>
      <c r="AK9" t="s">
        <v>501</v>
      </c>
      <c r="AL9" t="s">
        <v>502</v>
      </c>
      <c r="AM9" t="s">
        <v>503</v>
      </c>
      <c r="AO9" t="s">
        <v>504</v>
      </c>
      <c r="AP9" t="s">
        <v>505</v>
      </c>
      <c r="AQ9">
        <v>-480</v>
      </c>
      <c r="AR9" t="s">
        <v>506</v>
      </c>
      <c r="AS9" t="s">
        <v>507</v>
      </c>
      <c r="AT9">
        <v>3.8</v>
      </c>
      <c r="AU9">
        <v>5</v>
      </c>
    </row>
    <row r="10" spans="1:47" x14ac:dyDescent="0.25">
      <c r="A10">
        <v>28</v>
      </c>
      <c r="B10" t="s">
        <v>74</v>
      </c>
      <c r="F10" t="s">
        <v>75</v>
      </c>
      <c r="H10" t="s">
        <v>72</v>
      </c>
      <c r="I10" t="s">
        <v>45</v>
      </c>
      <c r="J10" s="24">
        <v>92011</v>
      </c>
      <c r="K10" t="s">
        <v>47</v>
      </c>
      <c r="L10" t="s">
        <v>76</v>
      </c>
      <c r="N10" t="s">
        <v>1490</v>
      </c>
      <c r="O10"/>
      <c r="P10"/>
      <c r="Q10"/>
      <c r="R10"/>
      <c r="S10" t="s">
        <v>432</v>
      </c>
      <c r="T10" t="s">
        <v>433</v>
      </c>
      <c r="X10" t="s">
        <v>508</v>
      </c>
      <c r="Y10" t="s">
        <v>509</v>
      </c>
      <c r="Z10" s="6" t="s">
        <v>510</v>
      </c>
      <c r="AA10" t="s">
        <v>437</v>
      </c>
      <c r="AB10" t="s">
        <v>511</v>
      </c>
      <c r="AC10" t="s">
        <v>512</v>
      </c>
      <c r="AD10" t="s">
        <v>433</v>
      </c>
      <c r="AE10" t="s">
        <v>433</v>
      </c>
      <c r="AF10" t="s">
        <v>433</v>
      </c>
      <c r="AG10" t="s">
        <v>433</v>
      </c>
      <c r="AH10">
        <v>33.126951800000001</v>
      </c>
      <c r="AI10">
        <v>-117.2758425</v>
      </c>
      <c r="AJ10" t="s">
        <v>513</v>
      </c>
      <c r="AK10" t="s">
        <v>514</v>
      </c>
      <c r="AL10" t="s">
        <v>515</v>
      </c>
      <c r="AM10" t="s">
        <v>503</v>
      </c>
      <c r="AO10" t="s">
        <v>516</v>
      </c>
      <c r="AP10" t="s">
        <v>505</v>
      </c>
      <c r="AQ10">
        <v>-480</v>
      </c>
      <c r="AR10" t="s">
        <v>517</v>
      </c>
      <c r="AS10" t="s">
        <v>518</v>
      </c>
      <c r="AT10">
        <v>4.5999999999999996</v>
      </c>
      <c r="AU10">
        <v>5</v>
      </c>
    </row>
    <row r="11" spans="1:47" x14ac:dyDescent="0.25">
      <c r="A11">
        <v>29</v>
      </c>
      <c r="B11" t="s">
        <v>77</v>
      </c>
      <c r="F11" t="s">
        <v>78</v>
      </c>
      <c r="G11" t="s">
        <v>79</v>
      </c>
      <c r="H11" t="s">
        <v>80</v>
      </c>
      <c r="I11" t="s">
        <v>45</v>
      </c>
      <c r="J11" s="24" t="s">
        <v>81</v>
      </c>
      <c r="K11" t="s">
        <v>47</v>
      </c>
      <c r="L11" t="s">
        <v>82</v>
      </c>
      <c r="N11" t="s">
        <v>1353</v>
      </c>
      <c r="O11"/>
      <c r="P11"/>
      <c r="Q11"/>
      <c r="R11"/>
      <c r="S11" t="s">
        <v>432</v>
      </c>
      <c r="T11" t="s">
        <v>433</v>
      </c>
      <c r="X11" t="s">
        <v>519</v>
      </c>
      <c r="Y11" t="s">
        <v>520</v>
      </c>
      <c r="Z11" s="6" t="s">
        <v>77</v>
      </c>
      <c r="AA11" t="s">
        <v>437</v>
      </c>
      <c r="AB11" t="s">
        <v>521</v>
      </c>
      <c r="AC11" t="s">
        <v>522</v>
      </c>
      <c r="AD11" t="s">
        <v>65</v>
      </c>
      <c r="AE11" t="s">
        <v>65</v>
      </c>
      <c r="AF11" t="s">
        <v>433</v>
      </c>
      <c r="AG11" t="s">
        <v>65</v>
      </c>
      <c r="AH11">
        <v>33.060730999999997</v>
      </c>
      <c r="AI11">
        <v>-117.2960612</v>
      </c>
      <c r="AJ11" t="s">
        <v>523</v>
      </c>
      <c r="AK11" t="s">
        <v>524</v>
      </c>
      <c r="AL11" t="s">
        <v>525</v>
      </c>
      <c r="AM11" t="s">
        <v>442</v>
      </c>
      <c r="AO11" t="s">
        <v>526</v>
      </c>
      <c r="AP11" t="s">
        <v>444</v>
      </c>
      <c r="AQ11">
        <v>-480</v>
      </c>
      <c r="AR11" t="s">
        <v>527</v>
      </c>
      <c r="AS11" t="s">
        <v>528</v>
      </c>
      <c r="AU11" t="s">
        <v>65</v>
      </c>
    </row>
    <row r="12" spans="1:47" x14ac:dyDescent="0.25">
      <c r="A12">
        <v>30</v>
      </c>
      <c r="B12" t="s">
        <v>83</v>
      </c>
      <c r="F12" t="s">
        <v>84</v>
      </c>
      <c r="H12" t="s">
        <v>80</v>
      </c>
      <c r="I12" t="s">
        <v>45</v>
      </c>
      <c r="J12" s="24" t="s">
        <v>81</v>
      </c>
      <c r="K12" t="s">
        <v>47</v>
      </c>
      <c r="N12" t="s">
        <v>1353</v>
      </c>
      <c r="O12"/>
      <c r="P12"/>
      <c r="Q12"/>
      <c r="R12"/>
      <c r="S12" t="s">
        <v>432</v>
      </c>
      <c r="U12" t="s">
        <v>433</v>
      </c>
      <c r="X12" t="s">
        <v>529</v>
      </c>
      <c r="Y12" t="s">
        <v>530</v>
      </c>
      <c r="Z12" s="6" t="s">
        <v>531</v>
      </c>
      <c r="AA12" t="s">
        <v>437</v>
      </c>
      <c r="AB12" t="s">
        <v>532</v>
      </c>
      <c r="AC12" t="s">
        <v>533</v>
      </c>
      <c r="AD12" t="s">
        <v>433</v>
      </c>
      <c r="AE12" t="s">
        <v>433</v>
      </c>
      <c r="AF12" t="s">
        <v>433</v>
      </c>
      <c r="AG12" t="s">
        <v>433</v>
      </c>
      <c r="AH12">
        <v>33.125393299999999</v>
      </c>
      <c r="AI12">
        <v>-117.27619970000001</v>
      </c>
      <c r="AJ12" t="s">
        <v>534</v>
      </c>
      <c r="AK12" t="s">
        <v>535</v>
      </c>
      <c r="AL12" t="s">
        <v>536</v>
      </c>
      <c r="AM12" t="s">
        <v>442</v>
      </c>
      <c r="AO12" t="s">
        <v>537</v>
      </c>
      <c r="AP12" t="s">
        <v>444</v>
      </c>
      <c r="AQ12">
        <v>-480</v>
      </c>
      <c r="AR12" t="s">
        <v>538</v>
      </c>
      <c r="AS12" t="s">
        <v>539</v>
      </c>
      <c r="AU12" t="s">
        <v>65</v>
      </c>
    </row>
    <row r="13" spans="1:47" x14ac:dyDescent="0.25">
      <c r="A13">
        <v>31</v>
      </c>
      <c r="B13" t="s">
        <v>85</v>
      </c>
      <c r="F13" t="s">
        <v>86</v>
      </c>
      <c r="G13" t="s">
        <v>87</v>
      </c>
      <c r="H13" t="s">
        <v>80</v>
      </c>
      <c r="I13" t="s">
        <v>45</v>
      </c>
      <c r="J13" s="24" t="s">
        <v>81</v>
      </c>
      <c r="K13" t="s">
        <v>47</v>
      </c>
      <c r="L13" t="s">
        <v>88</v>
      </c>
      <c r="N13" t="s">
        <v>1353</v>
      </c>
      <c r="O13"/>
      <c r="P13"/>
      <c r="Q13"/>
      <c r="R13"/>
      <c r="S13" t="s">
        <v>432</v>
      </c>
      <c r="T13" t="s">
        <v>433</v>
      </c>
      <c r="X13" t="s">
        <v>540</v>
      </c>
      <c r="Y13" t="s">
        <v>541</v>
      </c>
      <c r="Z13" s="6" t="s">
        <v>85</v>
      </c>
      <c r="AA13" t="s">
        <v>437</v>
      </c>
      <c r="AB13" t="s">
        <v>542</v>
      </c>
      <c r="AC13" t="s">
        <v>543</v>
      </c>
      <c r="AD13" t="s">
        <v>433</v>
      </c>
      <c r="AE13" t="s">
        <v>433</v>
      </c>
      <c r="AF13" t="s">
        <v>433</v>
      </c>
      <c r="AG13" t="s">
        <v>433</v>
      </c>
      <c r="AH13">
        <v>33.125481999999998</v>
      </c>
      <c r="AI13">
        <v>-117.281969</v>
      </c>
      <c r="AJ13" t="s">
        <v>544</v>
      </c>
      <c r="AK13" t="s">
        <v>545</v>
      </c>
      <c r="AL13" t="s">
        <v>546</v>
      </c>
      <c r="AM13" t="s">
        <v>442</v>
      </c>
      <c r="AO13" t="s">
        <v>547</v>
      </c>
      <c r="AP13" t="s">
        <v>444</v>
      </c>
      <c r="AQ13">
        <v>-480</v>
      </c>
      <c r="AR13" t="s">
        <v>548</v>
      </c>
      <c r="AS13" t="s">
        <v>549</v>
      </c>
      <c r="AU13" t="s">
        <v>65</v>
      </c>
    </row>
    <row r="14" spans="1:47" x14ac:dyDescent="0.25">
      <c r="A14">
        <v>32</v>
      </c>
      <c r="B14" t="s">
        <v>89</v>
      </c>
      <c r="F14" t="s">
        <v>90</v>
      </c>
      <c r="G14" t="s">
        <v>91</v>
      </c>
      <c r="H14" t="s">
        <v>80</v>
      </c>
      <c r="I14" t="s">
        <v>45</v>
      </c>
      <c r="J14" s="24" t="s">
        <v>81</v>
      </c>
      <c r="K14" t="s">
        <v>47</v>
      </c>
      <c r="L14" t="s">
        <v>92</v>
      </c>
      <c r="N14" t="s">
        <v>1353</v>
      </c>
      <c r="O14"/>
      <c r="P14"/>
      <c r="Q14"/>
      <c r="R14"/>
      <c r="S14" t="s">
        <v>432</v>
      </c>
      <c r="T14" t="s">
        <v>433</v>
      </c>
      <c r="X14" t="s">
        <v>550</v>
      </c>
      <c r="Y14" t="s">
        <v>551</v>
      </c>
      <c r="Z14" s="6" t="s">
        <v>552</v>
      </c>
      <c r="AA14" t="s">
        <v>437</v>
      </c>
      <c r="AB14" t="s">
        <v>553</v>
      </c>
      <c r="AC14" t="s">
        <v>554</v>
      </c>
      <c r="AD14" t="s">
        <v>433</v>
      </c>
      <c r="AE14" t="s">
        <v>433</v>
      </c>
      <c r="AF14" t="s">
        <v>433</v>
      </c>
      <c r="AG14" t="s">
        <v>433</v>
      </c>
      <c r="AH14">
        <v>33.126788400000002</v>
      </c>
      <c r="AI14">
        <v>-117.2787256</v>
      </c>
      <c r="AJ14" t="s">
        <v>555</v>
      </c>
      <c r="AK14" t="s">
        <v>556</v>
      </c>
      <c r="AL14" t="s">
        <v>557</v>
      </c>
      <c r="AM14" t="s">
        <v>442</v>
      </c>
      <c r="AO14" t="s">
        <v>558</v>
      </c>
      <c r="AP14" t="s">
        <v>444</v>
      </c>
      <c r="AQ14">
        <v>-480</v>
      </c>
      <c r="AR14" t="s">
        <v>559</v>
      </c>
      <c r="AS14" t="s">
        <v>560</v>
      </c>
      <c r="AT14">
        <v>5</v>
      </c>
      <c r="AU14">
        <v>3</v>
      </c>
    </row>
    <row r="15" spans="1:47" x14ac:dyDescent="0.25">
      <c r="A15">
        <v>33</v>
      </c>
      <c r="B15" t="s">
        <v>93</v>
      </c>
      <c r="F15" t="s">
        <v>86</v>
      </c>
      <c r="G15" t="s">
        <v>94</v>
      </c>
      <c r="H15" t="s">
        <v>80</v>
      </c>
      <c r="I15" t="s">
        <v>45</v>
      </c>
      <c r="J15" s="24" t="s">
        <v>81</v>
      </c>
      <c r="K15" t="s">
        <v>47</v>
      </c>
      <c r="L15" t="s">
        <v>95</v>
      </c>
      <c r="N15" t="s">
        <v>1353</v>
      </c>
      <c r="O15"/>
      <c r="P15"/>
      <c r="Q15"/>
      <c r="R15"/>
      <c r="S15" t="s">
        <v>432</v>
      </c>
      <c r="T15" t="s">
        <v>433</v>
      </c>
      <c r="X15" t="s">
        <v>561</v>
      </c>
      <c r="Y15" t="s">
        <v>562</v>
      </c>
      <c r="Z15" s="6" t="s">
        <v>93</v>
      </c>
      <c r="AA15" t="s">
        <v>437</v>
      </c>
      <c r="AB15" t="s">
        <v>563</v>
      </c>
      <c r="AC15" t="s">
        <v>564</v>
      </c>
      <c r="AD15" t="s">
        <v>433</v>
      </c>
      <c r="AE15" t="s">
        <v>433</v>
      </c>
      <c r="AF15" t="s">
        <v>433</v>
      </c>
      <c r="AG15" t="s">
        <v>433</v>
      </c>
      <c r="AH15">
        <v>33.125520399999999</v>
      </c>
      <c r="AI15">
        <v>-117.2820321</v>
      </c>
      <c r="AJ15" t="s">
        <v>565</v>
      </c>
      <c r="AK15" t="s">
        <v>566</v>
      </c>
      <c r="AL15" t="s">
        <v>567</v>
      </c>
      <c r="AM15" t="s">
        <v>442</v>
      </c>
      <c r="AO15" t="s">
        <v>568</v>
      </c>
      <c r="AP15" t="s">
        <v>569</v>
      </c>
      <c r="AQ15">
        <v>-480</v>
      </c>
      <c r="AR15" t="s">
        <v>570</v>
      </c>
      <c r="AS15" t="s">
        <v>571</v>
      </c>
      <c r="AT15">
        <v>5</v>
      </c>
      <c r="AU15">
        <v>4</v>
      </c>
    </row>
    <row r="16" spans="1:47" x14ac:dyDescent="0.25">
      <c r="A16">
        <v>34</v>
      </c>
      <c r="B16" t="s">
        <v>96</v>
      </c>
      <c r="F16" t="s">
        <v>97</v>
      </c>
      <c r="H16" t="s">
        <v>80</v>
      </c>
      <c r="I16" t="s">
        <v>45</v>
      </c>
      <c r="J16" s="24" t="s">
        <v>81</v>
      </c>
      <c r="K16" t="s">
        <v>47</v>
      </c>
      <c r="L16" t="s">
        <v>98</v>
      </c>
      <c r="N16" t="s">
        <v>1353</v>
      </c>
      <c r="O16"/>
      <c r="P16"/>
      <c r="Q16"/>
      <c r="R16"/>
      <c r="S16" t="s">
        <v>432</v>
      </c>
      <c r="T16" t="s">
        <v>433</v>
      </c>
      <c r="X16" t="s">
        <v>572</v>
      </c>
      <c r="Y16" t="s">
        <v>573</v>
      </c>
      <c r="Z16" s="6" t="s">
        <v>574</v>
      </c>
      <c r="AA16" t="s">
        <v>437</v>
      </c>
      <c r="AB16" t="s">
        <v>575</v>
      </c>
      <c r="AC16" t="s">
        <v>576</v>
      </c>
      <c r="AD16" t="s">
        <v>433</v>
      </c>
      <c r="AE16" t="s">
        <v>433</v>
      </c>
      <c r="AF16" t="s">
        <v>433</v>
      </c>
      <c r="AG16" t="s">
        <v>433</v>
      </c>
      <c r="AH16">
        <v>33.120852900000003</v>
      </c>
      <c r="AI16">
        <v>-117.2807857</v>
      </c>
      <c r="AJ16" t="s">
        <v>577</v>
      </c>
      <c r="AK16" t="s">
        <v>578</v>
      </c>
      <c r="AL16" t="s">
        <v>104</v>
      </c>
      <c r="AM16" t="s">
        <v>442</v>
      </c>
      <c r="AO16" t="s">
        <v>579</v>
      </c>
      <c r="AP16" t="s">
        <v>444</v>
      </c>
      <c r="AQ16">
        <v>-480</v>
      </c>
      <c r="AR16" t="s">
        <v>580</v>
      </c>
      <c r="AU16" t="s">
        <v>65</v>
      </c>
    </row>
    <row r="17" spans="1:49" x14ac:dyDescent="0.25">
      <c r="A17">
        <v>35</v>
      </c>
      <c r="B17" t="s">
        <v>99</v>
      </c>
      <c r="F17" t="s">
        <v>100</v>
      </c>
      <c r="H17" t="s">
        <v>80</v>
      </c>
      <c r="I17" t="s">
        <v>45</v>
      </c>
      <c r="J17" s="24" t="s">
        <v>81</v>
      </c>
      <c r="K17" t="s">
        <v>47</v>
      </c>
      <c r="N17" t="s">
        <v>1491</v>
      </c>
      <c r="O17"/>
      <c r="P17"/>
      <c r="Q17"/>
      <c r="R17"/>
      <c r="S17" t="s">
        <v>432</v>
      </c>
      <c r="U17" t="s">
        <v>433</v>
      </c>
      <c r="X17" t="s">
        <v>581</v>
      </c>
      <c r="Y17" t="s">
        <v>582</v>
      </c>
      <c r="Z17" s="6" t="s">
        <v>583</v>
      </c>
      <c r="AA17" t="s">
        <v>437</v>
      </c>
      <c r="AB17" t="s">
        <v>584</v>
      </c>
      <c r="AC17" t="s">
        <v>585</v>
      </c>
      <c r="AD17" t="s">
        <v>433</v>
      </c>
      <c r="AE17" t="s">
        <v>433</v>
      </c>
      <c r="AF17" t="s">
        <v>433</v>
      </c>
      <c r="AG17" t="s">
        <v>433</v>
      </c>
      <c r="AH17">
        <v>33.125491799999999</v>
      </c>
      <c r="AI17">
        <v>-117.28208890000001</v>
      </c>
      <c r="AJ17" t="s">
        <v>586</v>
      </c>
      <c r="AK17" t="s">
        <v>587</v>
      </c>
      <c r="AL17" t="s">
        <v>588</v>
      </c>
      <c r="AM17" t="s">
        <v>442</v>
      </c>
      <c r="AO17" t="s">
        <v>589</v>
      </c>
      <c r="AP17" t="s">
        <v>444</v>
      </c>
      <c r="AQ17">
        <v>-480</v>
      </c>
      <c r="AR17" t="s">
        <v>590</v>
      </c>
      <c r="AS17" t="s">
        <v>591</v>
      </c>
      <c r="AU17" t="s">
        <v>65</v>
      </c>
    </row>
    <row r="18" spans="1:49" x14ac:dyDescent="0.25">
      <c r="A18">
        <v>36</v>
      </c>
      <c r="B18" s="12" t="s">
        <v>101</v>
      </c>
      <c r="F18" t="s">
        <v>102</v>
      </c>
      <c r="H18" t="s">
        <v>80</v>
      </c>
      <c r="I18" t="s">
        <v>45</v>
      </c>
      <c r="J18" s="24" t="s">
        <v>103</v>
      </c>
      <c r="K18" t="s">
        <v>47</v>
      </c>
      <c r="L18" t="s">
        <v>104</v>
      </c>
      <c r="M18" s="20" t="s">
        <v>105</v>
      </c>
      <c r="N18" s="26" t="s">
        <v>1353</v>
      </c>
      <c r="O18" s="26"/>
      <c r="P18" s="26"/>
      <c r="Q18" s="26"/>
      <c r="R18" s="26"/>
      <c r="S18" t="s">
        <v>432</v>
      </c>
      <c r="T18" t="s">
        <v>433</v>
      </c>
      <c r="X18" t="s">
        <v>572</v>
      </c>
      <c r="Y18" t="s">
        <v>573</v>
      </c>
      <c r="Z18" s="7" t="s">
        <v>574</v>
      </c>
      <c r="AA18" t="s">
        <v>437</v>
      </c>
      <c r="AB18" t="s">
        <v>575</v>
      </c>
      <c r="AC18" t="s">
        <v>576</v>
      </c>
      <c r="AD18" t="s">
        <v>433</v>
      </c>
      <c r="AE18" t="s">
        <v>433</v>
      </c>
      <c r="AF18" t="s">
        <v>433</v>
      </c>
      <c r="AG18" t="s">
        <v>433</v>
      </c>
      <c r="AH18">
        <v>33.120852900000003</v>
      </c>
      <c r="AI18">
        <v>-117.2807857</v>
      </c>
      <c r="AJ18" t="s">
        <v>577</v>
      </c>
      <c r="AK18" t="s">
        <v>578</v>
      </c>
      <c r="AL18" t="s">
        <v>104</v>
      </c>
      <c r="AM18" t="s">
        <v>442</v>
      </c>
      <c r="AO18" t="s">
        <v>579</v>
      </c>
      <c r="AP18" t="s">
        <v>444</v>
      </c>
      <c r="AQ18">
        <v>-480</v>
      </c>
      <c r="AR18" t="s">
        <v>580</v>
      </c>
      <c r="AU18" t="s">
        <v>65</v>
      </c>
    </row>
    <row r="19" spans="1:49" x14ac:dyDescent="0.25">
      <c r="A19">
        <v>37</v>
      </c>
      <c r="B19" t="s">
        <v>106</v>
      </c>
      <c r="C19" s="12" t="s">
        <v>107</v>
      </c>
      <c r="F19" t="s">
        <v>108</v>
      </c>
      <c r="G19" t="s">
        <v>109</v>
      </c>
      <c r="H19" t="s">
        <v>80</v>
      </c>
      <c r="I19" t="s">
        <v>45</v>
      </c>
      <c r="J19" s="24" t="s">
        <v>81</v>
      </c>
      <c r="K19" t="s">
        <v>47</v>
      </c>
      <c r="N19" t="s">
        <v>1492</v>
      </c>
      <c r="O19"/>
      <c r="P19"/>
      <c r="Q19"/>
      <c r="R19"/>
      <c r="S19" t="s">
        <v>432</v>
      </c>
      <c r="U19" t="s">
        <v>433</v>
      </c>
      <c r="X19" t="s">
        <v>592</v>
      </c>
      <c r="Y19" t="s">
        <v>593</v>
      </c>
      <c r="Z19" s="6" t="s">
        <v>107</v>
      </c>
      <c r="AA19" t="s">
        <v>437</v>
      </c>
      <c r="AB19" t="s">
        <v>594</v>
      </c>
      <c r="AC19" t="s">
        <v>595</v>
      </c>
      <c r="AD19" t="s">
        <v>433</v>
      </c>
      <c r="AE19" t="s">
        <v>65</v>
      </c>
      <c r="AF19" t="s">
        <v>433</v>
      </c>
      <c r="AG19" t="s">
        <v>433</v>
      </c>
      <c r="AH19">
        <v>33.123883999999997</v>
      </c>
      <c r="AI19">
        <v>-117.2721839</v>
      </c>
      <c r="AJ19" t="s">
        <v>596</v>
      </c>
      <c r="AK19" t="s">
        <v>597</v>
      </c>
      <c r="AL19" t="s">
        <v>598</v>
      </c>
      <c r="AM19" t="s">
        <v>442</v>
      </c>
      <c r="AO19" t="s">
        <v>599</v>
      </c>
      <c r="AP19" t="s">
        <v>444</v>
      </c>
      <c r="AQ19">
        <v>-480</v>
      </c>
      <c r="AR19" t="s">
        <v>600</v>
      </c>
      <c r="AS19" t="s">
        <v>601</v>
      </c>
      <c r="AT19">
        <v>5</v>
      </c>
      <c r="AU19">
        <v>5</v>
      </c>
    </row>
    <row r="20" spans="1:49" x14ac:dyDescent="0.25">
      <c r="A20">
        <v>38</v>
      </c>
      <c r="B20" t="s">
        <v>110</v>
      </c>
      <c r="F20" t="s">
        <v>111</v>
      </c>
      <c r="H20" t="s">
        <v>80</v>
      </c>
      <c r="I20" t="s">
        <v>45</v>
      </c>
      <c r="J20" s="24" t="s">
        <v>112</v>
      </c>
      <c r="K20" t="s">
        <v>47</v>
      </c>
      <c r="N20" t="s">
        <v>1492</v>
      </c>
      <c r="O20"/>
      <c r="P20"/>
      <c r="Q20"/>
      <c r="R20"/>
      <c r="S20" t="s">
        <v>432</v>
      </c>
      <c r="U20" t="s">
        <v>433</v>
      </c>
      <c r="X20" t="s">
        <v>602</v>
      </c>
      <c r="Y20" t="s">
        <v>603</v>
      </c>
      <c r="Z20" s="6" t="s">
        <v>604</v>
      </c>
      <c r="AA20" t="s">
        <v>437</v>
      </c>
      <c r="AB20" t="s">
        <v>605</v>
      </c>
      <c r="AC20" t="s">
        <v>606</v>
      </c>
      <c r="AD20" t="s">
        <v>433</v>
      </c>
      <c r="AE20" t="s">
        <v>65</v>
      </c>
      <c r="AF20" t="s">
        <v>433</v>
      </c>
      <c r="AG20" t="s">
        <v>433</v>
      </c>
      <c r="AH20">
        <v>33.128709999999998</v>
      </c>
      <c r="AI20">
        <v>-117.257959</v>
      </c>
      <c r="AJ20" t="s">
        <v>607</v>
      </c>
      <c r="AK20" t="s">
        <v>608</v>
      </c>
      <c r="AL20" t="s">
        <v>609</v>
      </c>
      <c r="AM20" t="s">
        <v>503</v>
      </c>
      <c r="AO20" t="s">
        <v>610</v>
      </c>
      <c r="AP20" t="s">
        <v>505</v>
      </c>
      <c r="AQ20">
        <v>-480</v>
      </c>
      <c r="AR20" t="s">
        <v>611</v>
      </c>
      <c r="AS20" t="s">
        <v>612</v>
      </c>
      <c r="AT20">
        <v>4.4000000000000004</v>
      </c>
      <c r="AU20">
        <v>5</v>
      </c>
    </row>
    <row r="21" spans="1:49" x14ac:dyDescent="0.25">
      <c r="A21">
        <v>39</v>
      </c>
      <c r="B21" s="12" t="s">
        <v>1301</v>
      </c>
      <c r="F21" s="12" t="s">
        <v>114</v>
      </c>
      <c r="G21" t="s">
        <v>65</v>
      </c>
      <c r="H21" t="s">
        <v>72</v>
      </c>
      <c r="I21" t="s">
        <v>45</v>
      </c>
      <c r="J21" s="24">
        <v>92010</v>
      </c>
      <c r="K21" t="s">
        <v>47</v>
      </c>
      <c r="M21" s="20" t="s">
        <v>1480</v>
      </c>
      <c r="N21" t="s">
        <v>1331</v>
      </c>
      <c r="O21" t="s">
        <v>1328</v>
      </c>
      <c r="P21"/>
      <c r="Q21"/>
      <c r="R21"/>
      <c r="S21" t="s">
        <v>613</v>
      </c>
      <c r="U21" t="s">
        <v>65</v>
      </c>
      <c r="X21" t="s">
        <v>614</v>
      </c>
      <c r="AP21" t="s">
        <v>615</v>
      </c>
    </row>
    <row r="22" spans="1:49" x14ac:dyDescent="0.25">
      <c r="A22">
        <v>45</v>
      </c>
      <c r="B22" s="12" t="s">
        <v>1302</v>
      </c>
      <c r="F22" s="12" t="s">
        <v>121</v>
      </c>
      <c r="G22" t="s">
        <v>65</v>
      </c>
      <c r="H22" t="s">
        <v>72</v>
      </c>
      <c r="I22" t="s">
        <v>45</v>
      </c>
      <c r="J22" s="24">
        <v>92011</v>
      </c>
      <c r="K22" t="s">
        <v>47</v>
      </c>
      <c r="N22" t="s">
        <v>1331</v>
      </c>
      <c r="O22" t="s">
        <v>1493</v>
      </c>
      <c r="P22"/>
      <c r="Q22"/>
      <c r="R22"/>
      <c r="S22" t="s">
        <v>613</v>
      </c>
      <c r="U22" t="s">
        <v>65</v>
      </c>
      <c r="X22" t="s">
        <v>626</v>
      </c>
      <c r="AP22" t="s">
        <v>627</v>
      </c>
    </row>
    <row r="23" spans="1:49" x14ac:dyDescent="0.25">
      <c r="A23">
        <v>46</v>
      </c>
      <c r="B23" s="12" t="s">
        <v>117</v>
      </c>
      <c r="F23" s="12" t="s">
        <v>118</v>
      </c>
      <c r="H23" t="s">
        <v>72</v>
      </c>
      <c r="I23" t="s">
        <v>45</v>
      </c>
      <c r="J23" s="24">
        <v>92011</v>
      </c>
      <c r="K23" t="s">
        <v>47</v>
      </c>
      <c r="N23" t="s">
        <v>1331</v>
      </c>
      <c r="O23" t="s">
        <v>1493</v>
      </c>
      <c r="P23"/>
      <c r="Q23"/>
      <c r="R23"/>
    </row>
    <row r="24" spans="1:49" x14ac:dyDescent="0.25">
      <c r="A24">
        <v>47</v>
      </c>
      <c r="B24" s="12" t="s">
        <v>115</v>
      </c>
      <c r="F24" t="s">
        <v>116</v>
      </c>
      <c r="G24" t="s">
        <v>65</v>
      </c>
      <c r="H24" t="s">
        <v>72</v>
      </c>
      <c r="I24" t="s">
        <v>45</v>
      </c>
      <c r="J24" s="24">
        <v>92011</v>
      </c>
      <c r="K24" t="s">
        <v>47</v>
      </c>
      <c r="N24" t="s">
        <v>1331</v>
      </c>
      <c r="O24" t="s">
        <v>1494</v>
      </c>
      <c r="P24"/>
      <c r="Q24"/>
      <c r="R24"/>
      <c r="S24" t="s">
        <v>432</v>
      </c>
      <c r="U24" t="s">
        <v>433</v>
      </c>
      <c r="X24" t="s">
        <v>616</v>
      </c>
      <c r="Y24" t="s">
        <v>617</v>
      </c>
      <c r="Z24" s="6" t="s">
        <v>618</v>
      </c>
      <c r="AA24" t="s">
        <v>437</v>
      </c>
      <c r="AB24" t="s">
        <v>619</v>
      </c>
      <c r="AC24" t="s">
        <v>620</v>
      </c>
      <c r="AD24" t="s">
        <v>433</v>
      </c>
      <c r="AE24" t="s">
        <v>65</v>
      </c>
      <c r="AF24" t="s">
        <v>433</v>
      </c>
      <c r="AG24" t="s">
        <v>433</v>
      </c>
      <c r="AH24">
        <v>33.125228300000003</v>
      </c>
      <c r="AI24">
        <v>-117.2807174</v>
      </c>
      <c r="AJ24" t="s">
        <v>621</v>
      </c>
      <c r="AK24" t="s">
        <v>622</v>
      </c>
      <c r="AL24" t="s">
        <v>623</v>
      </c>
      <c r="AM24" t="s">
        <v>442</v>
      </c>
      <c r="AO24" t="s">
        <v>624</v>
      </c>
      <c r="AP24" t="s">
        <v>444</v>
      </c>
      <c r="AQ24">
        <v>-480</v>
      </c>
      <c r="AR24" t="s">
        <v>580</v>
      </c>
      <c r="AS24" t="s">
        <v>625</v>
      </c>
      <c r="AT24">
        <v>3.7</v>
      </c>
      <c r="AU24">
        <v>3</v>
      </c>
    </row>
    <row r="25" spans="1:49" x14ac:dyDescent="0.25">
      <c r="A25">
        <v>48</v>
      </c>
      <c r="B25" t="s">
        <v>122</v>
      </c>
      <c r="F25" t="s">
        <v>123</v>
      </c>
      <c r="G25" t="s">
        <v>124</v>
      </c>
      <c r="H25" t="s">
        <v>80</v>
      </c>
      <c r="I25" t="s">
        <v>45</v>
      </c>
      <c r="J25" s="24">
        <v>92011</v>
      </c>
      <c r="K25" t="s">
        <v>47</v>
      </c>
      <c r="N25" t="s">
        <v>1331</v>
      </c>
      <c r="O25" t="s">
        <v>1488</v>
      </c>
      <c r="P25"/>
      <c r="Q25"/>
      <c r="R25"/>
      <c r="S25" t="s">
        <v>432</v>
      </c>
      <c r="U25" t="s">
        <v>433</v>
      </c>
      <c r="X25" t="s">
        <v>628</v>
      </c>
      <c r="Y25" t="s">
        <v>629</v>
      </c>
      <c r="Z25" s="6" t="s">
        <v>630</v>
      </c>
      <c r="AA25" t="s">
        <v>437</v>
      </c>
      <c r="AB25" t="s">
        <v>631</v>
      </c>
      <c r="AC25" t="s">
        <v>632</v>
      </c>
      <c r="AD25" t="s">
        <v>65</v>
      </c>
      <c r="AE25" t="s">
        <v>65</v>
      </c>
      <c r="AF25" t="s">
        <v>433</v>
      </c>
      <c r="AG25" t="s">
        <v>433</v>
      </c>
      <c r="AH25">
        <v>33.126609999999999</v>
      </c>
      <c r="AI25">
        <v>-117.27851</v>
      </c>
      <c r="AJ25" t="s">
        <v>633</v>
      </c>
      <c r="AK25" t="s">
        <v>634</v>
      </c>
      <c r="AL25" t="s">
        <v>635</v>
      </c>
      <c r="AM25" t="s">
        <v>442</v>
      </c>
      <c r="AO25" t="s">
        <v>636</v>
      </c>
      <c r="AP25" t="s">
        <v>444</v>
      </c>
      <c r="AQ25">
        <v>-480</v>
      </c>
      <c r="AR25" t="s">
        <v>637</v>
      </c>
      <c r="AS25" t="s">
        <v>638</v>
      </c>
      <c r="AT25">
        <v>4.2</v>
      </c>
      <c r="AU25">
        <v>5</v>
      </c>
    </row>
    <row r="26" spans="1:49" x14ac:dyDescent="0.25">
      <c r="A26">
        <v>49</v>
      </c>
      <c r="B26" t="s">
        <v>70</v>
      </c>
      <c r="F26" t="s">
        <v>125</v>
      </c>
      <c r="G26" t="s">
        <v>65</v>
      </c>
      <c r="H26" t="s">
        <v>72</v>
      </c>
      <c r="I26" t="s">
        <v>45</v>
      </c>
      <c r="J26" s="24">
        <v>92011</v>
      </c>
      <c r="K26" t="s">
        <v>47</v>
      </c>
      <c r="N26" t="s">
        <v>1331</v>
      </c>
      <c r="O26" t="s">
        <v>1488</v>
      </c>
      <c r="P26"/>
      <c r="Q26"/>
      <c r="R26"/>
      <c r="S26" t="s">
        <v>432</v>
      </c>
      <c r="U26" t="s">
        <v>433</v>
      </c>
      <c r="X26" t="s">
        <v>639</v>
      </c>
      <c r="Y26" t="s">
        <v>640</v>
      </c>
      <c r="Z26" s="6" t="s">
        <v>497</v>
      </c>
      <c r="AA26" t="s">
        <v>437</v>
      </c>
      <c r="AB26" t="s">
        <v>498</v>
      </c>
      <c r="AC26" t="s">
        <v>641</v>
      </c>
      <c r="AD26" t="s">
        <v>433</v>
      </c>
      <c r="AE26" t="s">
        <v>65</v>
      </c>
      <c r="AF26" t="s">
        <v>433</v>
      </c>
      <c r="AG26" t="s">
        <v>433</v>
      </c>
      <c r="AH26">
        <v>33.125780499999998</v>
      </c>
      <c r="AI26">
        <v>-117.2754738</v>
      </c>
      <c r="AJ26" t="s">
        <v>500</v>
      </c>
      <c r="AK26" t="s">
        <v>501</v>
      </c>
      <c r="AL26" t="s">
        <v>502</v>
      </c>
      <c r="AM26" t="s">
        <v>503</v>
      </c>
      <c r="AO26" t="s">
        <v>504</v>
      </c>
      <c r="AP26" t="s">
        <v>505</v>
      </c>
      <c r="AQ26">
        <v>-480</v>
      </c>
      <c r="AR26" t="s">
        <v>506</v>
      </c>
      <c r="AS26" t="s">
        <v>507</v>
      </c>
      <c r="AT26">
        <v>3.8</v>
      </c>
      <c r="AU26">
        <v>5</v>
      </c>
    </row>
    <row r="27" spans="1:49" x14ac:dyDescent="0.25">
      <c r="A27">
        <v>334</v>
      </c>
      <c r="B27" s="12" t="s">
        <v>126</v>
      </c>
      <c r="F27" t="s">
        <v>127</v>
      </c>
      <c r="H27" t="s">
        <v>128</v>
      </c>
      <c r="I27" t="s">
        <v>45</v>
      </c>
      <c r="J27" s="24">
        <v>90807</v>
      </c>
      <c r="K27" t="s">
        <v>47</v>
      </c>
      <c r="L27" t="s">
        <v>129</v>
      </c>
      <c r="M27" s="18" t="s">
        <v>685</v>
      </c>
      <c r="N27" t="s">
        <v>1331</v>
      </c>
      <c r="O27" t="s">
        <v>1488</v>
      </c>
      <c r="P27"/>
      <c r="Q27"/>
      <c r="R27"/>
      <c r="Z27" s="18"/>
      <c r="AW27" t="s">
        <v>1303</v>
      </c>
    </row>
    <row r="28" spans="1:49" ht="15.75" x14ac:dyDescent="0.25">
      <c r="A28">
        <v>335</v>
      </c>
      <c r="B28" t="s">
        <v>130</v>
      </c>
      <c r="C28" s="12" t="s">
        <v>131</v>
      </c>
      <c r="F28" t="s">
        <v>132</v>
      </c>
      <c r="H28" t="s">
        <v>128</v>
      </c>
      <c r="I28" t="s">
        <v>45</v>
      </c>
      <c r="J28" s="24" t="s">
        <v>133</v>
      </c>
      <c r="K28" t="s">
        <v>47</v>
      </c>
      <c r="L28" t="s">
        <v>134</v>
      </c>
      <c r="N28" t="s">
        <v>1331</v>
      </c>
      <c r="O28" t="s">
        <v>1489</v>
      </c>
      <c r="P28"/>
      <c r="Q28"/>
      <c r="R28"/>
      <c r="S28" t="s">
        <v>432</v>
      </c>
      <c r="T28" t="s">
        <v>433</v>
      </c>
      <c r="X28" t="s">
        <v>642</v>
      </c>
      <c r="Y28" t="s">
        <v>643</v>
      </c>
      <c r="Z28" s="8" t="s">
        <v>644</v>
      </c>
      <c r="AA28" t="s">
        <v>437</v>
      </c>
      <c r="AB28" t="s">
        <v>645</v>
      </c>
      <c r="AC28" t="s">
        <v>646</v>
      </c>
      <c r="AD28" t="s">
        <v>433</v>
      </c>
      <c r="AE28" t="s">
        <v>433</v>
      </c>
      <c r="AF28" t="s">
        <v>433</v>
      </c>
      <c r="AG28" t="s">
        <v>433</v>
      </c>
      <c r="AH28">
        <v>33.812209500000002</v>
      </c>
      <c r="AI28">
        <v>-118.1610017</v>
      </c>
      <c r="AJ28" t="s">
        <v>647</v>
      </c>
      <c r="AK28" t="s">
        <v>648</v>
      </c>
      <c r="AL28" t="s">
        <v>649</v>
      </c>
      <c r="AM28" t="s">
        <v>503</v>
      </c>
      <c r="AO28" t="s">
        <v>650</v>
      </c>
      <c r="AP28" t="s">
        <v>505</v>
      </c>
      <c r="AQ28">
        <v>-480</v>
      </c>
      <c r="AR28" t="s">
        <v>651</v>
      </c>
      <c r="AS28" t="s">
        <v>652</v>
      </c>
      <c r="AT28">
        <v>4.0999999999999996</v>
      </c>
      <c r="AU28">
        <v>5</v>
      </c>
    </row>
    <row r="29" spans="1:49" ht="15.75" x14ac:dyDescent="0.25">
      <c r="A29">
        <v>336</v>
      </c>
      <c r="B29" t="s">
        <v>135</v>
      </c>
      <c r="F29" t="s">
        <v>136</v>
      </c>
      <c r="G29" t="s">
        <v>137</v>
      </c>
      <c r="H29" t="s">
        <v>128</v>
      </c>
      <c r="I29" t="s">
        <v>45</v>
      </c>
      <c r="J29" s="24">
        <v>92618</v>
      </c>
      <c r="K29" t="s">
        <v>47</v>
      </c>
      <c r="L29" t="s">
        <v>138</v>
      </c>
      <c r="N29" t="s">
        <v>1331</v>
      </c>
      <c r="O29" t="s">
        <v>1328</v>
      </c>
      <c r="P29"/>
      <c r="Q29"/>
      <c r="R29"/>
      <c r="S29" t="s">
        <v>432</v>
      </c>
      <c r="T29" t="s">
        <v>433</v>
      </c>
      <c r="X29" t="s">
        <v>653</v>
      </c>
      <c r="Y29" t="s">
        <v>654</v>
      </c>
      <c r="Z29" s="8" t="s">
        <v>655</v>
      </c>
      <c r="AA29" t="s">
        <v>437</v>
      </c>
      <c r="AB29" t="s">
        <v>656</v>
      </c>
      <c r="AC29" t="s">
        <v>657</v>
      </c>
      <c r="AD29" t="s">
        <v>433</v>
      </c>
      <c r="AE29" t="s">
        <v>433</v>
      </c>
      <c r="AF29" t="s">
        <v>433</v>
      </c>
      <c r="AG29" t="s">
        <v>664</v>
      </c>
      <c r="AH29">
        <v>33.812314299999997</v>
      </c>
      <c r="AI29">
        <v>-118.15866130000001</v>
      </c>
      <c r="AJ29" t="s">
        <v>658</v>
      </c>
      <c r="AK29" t="s">
        <v>659</v>
      </c>
      <c r="AL29" t="s">
        <v>660</v>
      </c>
      <c r="AM29" t="s">
        <v>503</v>
      </c>
      <c r="AO29" t="s">
        <v>661</v>
      </c>
      <c r="AP29" t="s">
        <v>505</v>
      </c>
      <c r="AQ29">
        <v>-480</v>
      </c>
      <c r="AR29" t="s">
        <v>662</v>
      </c>
      <c r="AS29" t="s">
        <v>663</v>
      </c>
      <c r="AT29">
        <v>4.7</v>
      </c>
      <c r="AU29">
        <v>3</v>
      </c>
    </row>
    <row r="30" spans="1:49" ht="15.75" x14ac:dyDescent="0.25">
      <c r="A30">
        <v>337</v>
      </c>
      <c r="B30" t="s">
        <v>139</v>
      </c>
      <c r="F30" t="s">
        <v>140</v>
      </c>
      <c r="H30" t="s">
        <v>141</v>
      </c>
      <c r="I30" t="s">
        <v>45</v>
      </c>
      <c r="J30" s="24" t="s">
        <v>142</v>
      </c>
      <c r="K30" t="s">
        <v>47</v>
      </c>
      <c r="L30" t="s">
        <v>143</v>
      </c>
      <c r="N30" t="s">
        <v>1331</v>
      </c>
      <c r="O30" t="s">
        <v>1328</v>
      </c>
      <c r="P30"/>
      <c r="Q30"/>
      <c r="R30"/>
      <c r="S30" t="s">
        <v>432</v>
      </c>
      <c r="T30" t="s">
        <v>433</v>
      </c>
      <c r="X30" t="s">
        <v>665</v>
      </c>
      <c r="Y30" t="s">
        <v>666</v>
      </c>
      <c r="Z30" s="8" t="s">
        <v>667</v>
      </c>
      <c r="AA30" t="s">
        <v>437</v>
      </c>
      <c r="AB30" t="s">
        <v>668</v>
      </c>
      <c r="AC30" t="s">
        <v>669</v>
      </c>
      <c r="AD30" t="s">
        <v>664</v>
      </c>
      <c r="AE30" t="s">
        <v>664</v>
      </c>
      <c r="AF30" t="s">
        <v>664</v>
      </c>
      <c r="AG30" t="s">
        <v>664</v>
      </c>
      <c r="AH30">
        <v>40.734672799999998</v>
      </c>
      <c r="AI30">
        <v>-73.412813200000002</v>
      </c>
      <c r="AJ30" t="s">
        <v>670</v>
      </c>
      <c r="AK30" t="s">
        <v>671</v>
      </c>
      <c r="AL30" t="s">
        <v>672</v>
      </c>
      <c r="AM30" t="s">
        <v>442</v>
      </c>
      <c r="AO30" t="s">
        <v>673</v>
      </c>
      <c r="AP30" t="s">
        <v>444</v>
      </c>
      <c r="AQ30">
        <v>-300</v>
      </c>
      <c r="AR30" t="s">
        <v>674</v>
      </c>
      <c r="AU30" t="s">
        <v>65</v>
      </c>
    </row>
    <row r="31" spans="1:49" ht="15.75" x14ac:dyDescent="0.25">
      <c r="A31">
        <v>338</v>
      </c>
      <c r="B31" s="12" t="s">
        <v>144</v>
      </c>
      <c r="F31" t="s">
        <v>140</v>
      </c>
      <c r="H31" t="s">
        <v>141</v>
      </c>
      <c r="I31" t="s">
        <v>45</v>
      </c>
      <c r="J31" s="24" t="s">
        <v>142</v>
      </c>
      <c r="K31" t="s">
        <v>47</v>
      </c>
      <c r="L31" t="s">
        <v>143</v>
      </c>
      <c r="M31" s="20" t="s">
        <v>1481</v>
      </c>
      <c r="N31" t="s">
        <v>1331</v>
      </c>
      <c r="O31" t="s">
        <v>1328</v>
      </c>
      <c r="P31"/>
      <c r="Q31"/>
      <c r="R31"/>
      <c r="S31" t="s">
        <v>432</v>
      </c>
      <c r="T31" t="s">
        <v>433</v>
      </c>
      <c r="X31" t="s">
        <v>665</v>
      </c>
      <c r="Y31" t="s">
        <v>666</v>
      </c>
      <c r="Z31" s="9" t="s">
        <v>667</v>
      </c>
      <c r="AA31" t="s">
        <v>437</v>
      </c>
      <c r="AB31" t="s">
        <v>668</v>
      </c>
      <c r="AC31" t="s">
        <v>669</v>
      </c>
      <c r="AD31" t="s">
        <v>664</v>
      </c>
      <c r="AE31" t="s">
        <v>664</v>
      </c>
      <c r="AF31" t="s">
        <v>664</v>
      </c>
      <c r="AG31" t="s">
        <v>664</v>
      </c>
      <c r="AH31">
        <v>40.734672799999998</v>
      </c>
      <c r="AI31">
        <v>-73.412813200000002</v>
      </c>
      <c r="AJ31" t="s">
        <v>670</v>
      </c>
      <c r="AK31" t="s">
        <v>671</v>
      </c>
      <c r="AL31" t="s">
        <v>672</v>
      </c>
      <c r="AM31" t="s">
        <v>442</v>
      </c>
      <c r="AO31" t="s">
        <v>673</v>
      </c>
      <c r="AP31" t="s">
        <v>444</v>
      </c>
      <c r="AQ31">
        <v>-300</v>
      </c>
      <c r="AR31" t="s">
        <v>674</v>
      </c>
      <c r="AU31" t="s">
        <v>65</v>
      </c>
    </row>
    <row r="32" spans="1:49" ht="15.75" x14ac:dyDescent="0.25">
      <c r="A32">
        <v>339</v>
      </c>
      <c r="B32" t="s">
        <v>145</v>
      </c>
      <c r="F32" t="s">
        <v>146</v>
      </c>
      <c r="H32" t="s">
        <v>141</v>
      </c>
      <c r="I32" t="s">
        <v>45</v>
      </c>
      <c r="J32" s="24" t="s">
        <v>147</v>
      </c>
      <c r="K32" t="s">
        <v>47</v>
      </c>
      <c r="L32" t="s">
        <v>148</v>
      </c>
      <c r="N32" t="s">
        <v>1331</v>
      </c>
      <c r="O32" t="s">
        <v>1328</v>
      </c>
      <c r="P32"/>
      <c r="Q32"/>
      <c r="R32"/>
      <c r="S32" t="s">
        <v>432</v>
      </c>
      <c r="T32" t="s">
        <v>433</v>
      </c>
      <c r="X32" t="s">
        <v>675</v>
      </c>
      <c r="Y32" t="s">
        <v>677</v>
      </c>
      <c r="Z32" s="8" t="s">
        <v>145</v>
      </c>
      <c r="AA32" t="s">
        <v>437</v>
      </c>
      <c r="AB32" t="s">
        <v>678</v>
      </c>
      <c r="AC32" t="s">
        <v>679</v>
      </c>
      <c r="AD32" t="s">
        <v>433</v>
      </c>
      <c r="AE32" t="s">
        <v>433</v>
      </c>
      <c r="AF32" t="s">
        <v>433</v>
      </c>
      <c r="AG32" t="s">
        <v>433</v>
      </c>
      <c r="AH32">
        <v>33.815632200000003</v>
      </c>
      <c r="AI32">
        <v>-118.15863659999999</v>
      </c>
      <c r="AJ32" t="s">
        <v>680</v>
      </c>
      <c r="AK32" t="s">
        <v>681</v>
      </c>
      <c r="AL32" t="s">
        <v>682</v>
      </c>
      <c r="AM32" t="s">
        <v>442</v>
      </c>
      <c r="AO32" t="s">
        <v>683</v>
      </c>
      <c r="AP32" t="s">
        <v>676</v>
      </c>
      <c r="AQ32">
        <v>-480</v>
      </c>
      <c r="AR32" t="s">
        <v>684</v>
      </c>
      <c r="AS32" t="s">
        <v>685</v>
      </c>
      <c r="AT32">
        <v>4.0999999999999996</v>
      </c>
      <c r="AU32">
        <v>5</v>
      </c>
    </row>
    <row r="33" spans="1:49" ht="15.75" x14ac:dyDescent="0.25">
      <c r="A33">
        <v>340</v>
      </c>
      <c r="B33" t="s">
        <v>149</v>
      </c>
      <c r="F33" t="s">
        <v>150</v>
      </c>
      <c r="H33" t="s">
        <v>141</v>
      </c>
      <c r="I33" t="s">
        <v>45</v>
      </c>
      <c r="J33" s="24" t="s">
        <v>151</v>
      </c>
      <c r="K33" t="s">
        <v>47</v>
      </c>
      <c r="L33" t="s">
        <v>152</v>
      </c>
      <c r="N33" t="s">
        <v>1490</v>
      </c>
      <c r="O33"/>
      <c r="P33"/>
      <c r="Q33"/>
      <c r="R33"/>
      <c r="S33" t="s">
        <v>432</v>
      </c>
      <c r="T33" t="s">
        <v>433</v>
      </c>
      <c r="X33" t="s">
        <v>686</v>
      </c>
      <c r="Y33" t="s">
        <v>688</v>
      </c>
      <c r="Z33" s="8" t="s">
        <v>689</v>
      </c>
      <c r="AA33" t="s">
        <v>437</v>
      </c>
      <c r="AB33" t="s">
        <v>690</v>
      </c>
      <c r="AC33" t="s">
        <v>691</v>
      </c>
      <c r="AD33" t="s">
        <v>664</v>
      </c>
      <c r="AE33" t="s">
        <v>664</v>
      </c>
      <c r="AF33" t="s">
        <v>433</v>
      </c>
      <c r="AG33" t="s">
        <v>664</v>
      </c>
      <c r="AH33">
        <v>33.336504200000007</v>
      </c>
      <c r="AI33">
        <v>-118.3120466</v>
      </c>
      <c r="AJ33" t="s">
        <v>692</v>
      </c>
      <c r="AK33" t="s">
        <v>693</v>
      </c>
      <c r="AL33" t="s">
        <v>694</v>
      </c>
      <c r="AM33" t="s">
        <v>442</v>
      </c>
      <c r="AO33" t="s">
        <v>695</v>
      </c>
      <c r="AP33" t="s">
        <v>687</v>
      </c>
      <c r="AQ33">
        <v>-480</v>
      </c>
      <c r="AR33" t="s">
        <v>696</v>
      </c>
      <c r="AS33" t="s">
        <v>697</v>
      </c>
      <c r="AT33">
        <v>4.7</v>
      </c>
      <c r="AU33">
        <v>5</v>
      </c>
    </row>
    <row r="34" spans="1:49" ht="15.75" x14ac:dyDescent="0.25">
      <c r="A34">
        <v>342</v>
      </c>
      <c r="B34" t="s">
        <v>156</v>
      </c>
      <c r="F34" t="s">
        <v>157</v>
      </c>
      <c r="H34" t="s">
        <v>141</v>
      </c>
      <c r="I34" t="s">
        <v>45</v>
      </c>
      <c r="J34" s="24" t="s">
        <v>133</v>
      </c>
      <c r="K34" t="s">
        <v>47</v>
      </c>
      <c r="L34" t="s">
        <v>158</v>
      </c>
      <c r="N34" t="s">
        <v>1490</v>
      </c>
      <c r="O34"/>
      <c r="P34"/>
      <c r="Q34"/>
      <c r="R34"/>
      <c r="S34" t="s">
        <v>432</v>
      </c>
      <c r="U34" t="s">
        <v>433</v>
      </c>
      <c r="X34" t="s">
        <v>698</v>
      </c>
      <c r="Y34" t="s">
        <v>699</v>
      </c>
      <c r="Z34" s="8" t="s">
        <v>700</v>
      </c>
      <c r="AA34" t="s">
        <v>701</v>
      </c>
      <c r="AB34" t="s">
        <v>702</v>
      </c>
      <c r="AC34" t="s">
        <v>703</v>
      </c>
      <c r="AD34" t="s">
        <v>433</v>
      </c>
      <c r="AE34" t="s">
        <v>433</v>
      </c>
      <c r="AF34" t="s">
        <v>433</v>
      </c>
      <c r="AG34" t="s">
        <v>433</v>
      </c>
      <c r="AH34">
        <v>33.8124088</v>
      </c>
      <c r="AI34">
        <v>-118.16148750000001</v>
      </c>
      <c r="AJ34" t="s">
        <v>704</v>
      </c>
      <c r="AK34" t="s">
        <v>705</v>
      </c>
      <c r="AL34" t="s">
        <v>706</v>
      </c>
      <c r="AM34" t="s">
        <v>503</v>
      </c>
      <c r="AO34" t="s">
        <v>707</v>
      </c>
      <c r="AP34" t="s">
        <v>505</v>
      </c>
      <c r="AQ34">
        <v>-480</v>
      </c>
      <c r="AR34" t="s">
        <v>708</v>
      </c>
      <c r="AU34" t="s">
        <v>65</v>
      </c>
    </row>
    <row r="35" spans="1:49" ht="15.75" x14ac:dyDescent="0.25">
      <c r="A35">
        <v>343</v>
      </c>
      <c r="B35" t="s">
        <v>159</v>
      </c>
      <c r="F35" t="s">
        <v>160</v>
      </c>
      <c r="H35" t="s">
        <v>141</v>
      </c>
      <c r="I35" t="s">
        <v>45</v>
      </c>
      <c r="J35" s="24" t="s">
        <v>161</v>
      </c>
      <c r="K35" t="s">
        <v>47</v>
      </c>
      <c r="L35" t="s">
        <v>162</v>
      </c>
      <c r="M35" s="20" t="s">
        <v>163</v>
      </c>
      <c r="N35" t="s">
        <v>1490</v>
      </c>
      <c r="O35"/>
      <c r="P35"/>
      <c r="Q35"/>
      <c r="R35"/>
      <c r="S35" t="s">
        <v>432</v>
      </c>
      <c r="T35" t="s">
        <v>433</v>
      </c>
      <c r="X35" t="s">
        <v>709</v>
      </c>
      <c r="Y35" t="s">
        <v>710</v>
      </c>
      <c r="Z35" s="8" t="s">
        <v>711</v>
      </c>
      <c r="AA35" t="s">
        <v>437</v>
      </c>
      <c r="AB35" t="s">
        <v>712</v>
      </c>
      <c r="AC35" t="s">
        <v>713</v>
      </c>
      <c r="AD35" t="s">
        <v>433</v>
      </c>
      <c r="AE35" t="s">
        <v>433</v>
      </c>
      <c r="AF35" t="s">
        <v>433</v>
      </c>
      <c r="AG35" t="s">
        <v>433</v>
      </c>
      <c r="AH35">
        <v>33.811868099999998</v>
      </c>
      <c r="AI35">
        <v>-118.1527323</v>
      </c>
      <c r="AJ35" t="s">
        <v>714</v>
      </c>
      <c r="AK35" t="s">
        <v>715</v>
      </c>
      <c r="AL35" t="s">
        <v>162</v>
      </c>
      <c r="AM35" t="s">
        <v>442</v>
      </c>
      <c r="AO35" t="s">
        <v>716</v>
      </c>
      <c r="AP35" t="s">
        <v>444</v>
      </c>
      <c r="AQ35">
        <v>-480</v>
      </c>
      <c r="AR35" t="s">
        <v>717</v>
      </c>
      <c r="AS35" t="s">
        <v>718</v>
      </c>
      <c r="AT35">
        <v>4.3</v>
      </c>
      <c r="AU35">
        <v>4</v>
      </c>
    </row>
    <row r="36" spans="1:49" ht="15.75" x14ac:dyDescent="0.25">
      <c r="A36">
        <v>345</v>
      </c>
      <c r="B36" t="s">
        <v>164</v>
      </c>
      <c r="F36" t="s">
        <v>165</v>
      </c>
      <c r="G36" t="s">
        <v>65</v>
      </c>
      <c r="H36" t="s">
        <v>141</v>
      </c>
      <c r="I36" t="s">
        <v>45</v>
      </c>
      <c r="J36" s="24">
        <v>90806</v>
      </c>
      <c r="K36" t="s">
        <v>47</v>
      </c>
      <c r="N36" t="s">
        <v>1353</v>
      </c>
      <c r="O36"/>
      <c r="P36"/>
      <c r="Q36"/>
      <c r="R36"/>
      <c r="S36" t="s">
        <v>432</v>
      </c>
      <c r="U36" t="s">
        <v>433</v>
      </c>
      <c r="X36" t="s">
        <v>719</v>
      </c>
      <c r="Y36" t="s">
        <v>720</v>
      </c>
      <c r="Z36" s="8" t="s">
        <v>721</v>
      </c>
      <c r="AA36" t="s">
        <v>437</v>
      </c>
      <c r="AB36" t="s">
        <v>722</v>
      </c>
      <c r="AC36" t="s">
        <v>723</v>
      </c>
      <c r="AD36" t="s">
        <v>433</v>
      </c>
      <c r="AE36" t="s">
        <v>433</v>
      </c>
      <c r="AF36" t="s">
        <v>433</v>
      </c>
      <c r="AG36" t="s">
        <v>433</v>
      </c>
      <c r="AH36">
        <v>33.812214599999997</v>
      </c>
      <c r="AI36">
        <v>-118.1598357</v>
      </c>
      <c r="AJ36" t="s">
        <v>724</v>
      </c>
      <c r="AK36" t="s">
        <v>725</v>
      </c>
      <c r="AM36" t="s">
        <v>726</v>
      </c>
      <c r="AP36" t="s">
        <v>569</v>
      </c>
      <c r="AQ36">
        <v>-480</v>
      </c>
      <c r="AR36" t="s">
        <v>727</v>
      </c>
      <c r="AU36" t="s">
        <v>65</v>
      </c>
    </row>
    <row r="37" spans="1:49" ht="15.75" x14ac:dyDescent="0.25">
      <c r="A37">
        <v>346</v>
      </c>
      <c r="B37" t="s">
        <v>166</v>
      </c>
      <c r="F37" t="s">
        <v>167</v>
      </c>
      <c r="G37" t="s">
        <v>65</v>
      </c>
      <c r="H37" t="s">
        <v>128</v>
      </c>
      <c r="I37" t="s">
        <v>45</v>
      </c>
      <c r="J37" s="24">
        <v>90806</v>
      </c>
      <c r="K37" t="s">
        <v>47</v>
      </c>
      <c r="N37" t="s">
        <v>1353</v>
      </c>
      <c r="O37"/>
      <c r="P37"/>
      <c r="Q37"/>
      <c r="R37"/>
      <c r="S37" t="s">
        <v>432</v>
      </c>
      <c r="U37" t="s">
        <v>433</v>
      </c>
      <c r="X37" t="s">
        <v>728</v>
      </c>
      <c r="Y37" t="s">
        <v>729</v>
      </c>
      <c r="Z37" s="8" t="s">
        <v>730</v>
      </c>
      <c r="AA37" t="s">
        <v>437</v>
      </c>
      <c r="AB37" t="s">
        <v>731</v>
      </c>
      <c r="AC37" t="s">
        <v>732</v>
      </c>
      <c r="AD37" t="s">
        <v>433</v>
      </c>
      <c r="AE37" t="s">
        <v>433</v>
      </c>
      <c r="AF37" t="s">
        <v>433</v>
      </c>
      <c r="AG37" t="s">
        <v>433</v>
      </c>
      <c r="AH37">
        <v>33.811540899999997</v>
      </c>
      <c r="AI37">
        <v>-118.1576434</v>
      </c>
      <c r="AJ37" t="s">
        <v>733</v>
      </c>
      <c r="AK37" t="s">
        <v>734</v>
      </c>
      <c r="AL37" t="s">
        <v>735</v>
      </c>
      <c r="AM37" t="s">
        <v>442</v>
      </c>
      <c r="AO37" t="s">
        <v>736</v>
      </c>
      <c r="AP37" t="s">
        <v>444</v>
      </c>
      <c r="AQ37">
        <v>-480</v>
      </c>
      <c r="AR37" t="s">
        <v>737</v>
      </c>
      <c r="AS37" t="s">
        <v>738</v>
      </c>
      <c r="AT37">
        <v>4.5</v>
      </c>
      <c r="AU37">
        <v>2</v>
      </c>
    </row>
    <row r="38" spans="1:49" ht="15.75" x14ac:dyDescent="0.25">
      <c r="A38">
        <v>347</v>
      </c>
      <c r="B38" t="s">
        <v>168</v>
      </c>
      <c r="F38" t="s">
        <v>169</v>
      </c>
      <c r="G38" t="s">
        <v>65</v>
      </c>
      <c r="H38" t="s">
        <v>128</v>
      </c>
      <c r="I38" t="s">
        <v>45</v>
      </c>
      <c r="J38" s="24">
        <v>90806</v>
      </c>
      <c r="K38" t="s">
        <v>47</v>
      </c>
      <c r="N38" t="s">
        <v>1353</v>
      </c>
      <c r="O38"/>
      <c r="P38"/>
      <c r="Q38"/>
      <c r="R38"/>
      <c r="S38" t="s">
        <v>432</v>
      </c>
      <c r="U38" t="s">
        <v>433</v>
      </c>
      <c r="X38" t="s">
        <v>739</v>
      </c>
      <c r="Y38" t="s">
        <v>740</v>
      </c>
      <c r="Z38" s="8" t="s">
        <v>741</v>
      </c>
      <c r="AA38" t="s">
        <v>437</v>
      </c>
      <c r="AB38" t="s">
        <v>742</v>
      </c>
      <c r="AC38" t="s">
        <v>743</v>
      </c>
      <c r="AD38" t="s">
        <v>433</v>
      </c>
      <c r="AE38" t="s">
        <v>433</v>
      </c>
      <c r="AF38" t="s">
        <v>433</v>
      </c>
      <c r="AG38" t="s">
        <v>433</v>
      </c>
      <c r="AH38">
        <v>33.812251500000002</v>
      </c>
      <c r="AI38">
        <v>-118.1601986</v>
      </c>
      <c r="AJ38" t="s">
        <v>744</v>
      </c>
      <c r="AK38" t="s">
        <v>745</v>
      </c>
      <c r="AL38" t="s">
        <v>746</v>
      </c>
      <c r="AM38" t="s">
        <v>442</v>
      </c>
      <c r="AO38" t="s">
        <v>747</v>
      </c>
      <c r="AP38" t="s">
        <v>467</v>
      </c>
      <c r="AQ38">
        <v>-480</v>
      </c>
      <c r="AR38" t="s">
        <v>748</v>
      </c>
      <c r="AS38" t="s">
        <v>749</v>
      </c>
      <c r="AT38">
        <v>4.5</v>
      </c>
      <c r="AU38">
        <v>5</v>
      </c>
    </row>
    <row r="39" spans="1:49" ht="15.75" x14ac:dyDescent="0.25">
      <c r="A39">
        <v>348</v>
      </c>
      <c r="B39" t="s">
        <v>170</v>
      </c>
      <c r="F39" t="s">
        <v>171</v>
      </c>
      <c r="G39" t="s">
        <v>65</v>
      </c>
      <c r="H39" t="s">
        <v>128</v>
      </c>
      <c r="I39" t="s">
        <v>45</v>
      </c>
      <c r="J39" s="24">
        <v>90806</v>
      </c>
      <c r="K39" t="s">
        <v>47</v>
      </c>
      <c r="N39" t="s">
        <v>1353</v>
      </c>
      <c r="O39"/>
      <c r="P39"/>
      <c r="Q39"/>
      <c r="R39"/>
      <c r="S39" t="s">
        <v>432</v>
      </c>
      <c r="U39" t="s">
        <v>433</v>
      </c>
      <c r="X39" t="s">
        <v>750</v>
      </c>
      <c r="Y39" t="s">
        <v>751</v>
      </c>
      <c r="Z39" s="8" t="s">
        <v>752</v>
      </c>
      <c r="AA39" t="s">
        <v>437</v>
      </c>
      <c r="AB39" t="s">
        <v>753</v>
      </c>
      <c r="AC39" t="s">
        <v>754</v>
      </c>
      <c r="AE39" t="s">
        <v>433</v>
      </c>
      <c r="AF39" t="s">
        <v>433</v>
      </c>
      <c r="AG39" t="s">
        <v>433</v>
      </c>
      <c r="AH39">
        <v>33.811671199999999</v>
      </c>
      <c r="AI39">
        <v>-118.152872</v>
      </c>
      <c r="AJ39" t="s">
        <v>755</v>
      </c>
      <c r="AK39" t="s">
        <v>756</v>
      </c>
      <c r="AL39" t="s">
        <v>757</v>
      </c>
      <c r="AM39" t="s">
        <v>442</v>
      </c>
      <c r="AO39" t="s">
        <v>758</v>
      </c>
      <c r="AP39" t="s">
        <v>444</v>
      </c>
      <c r="AQ39">
        <v>-480</v>
      </c>
      <c r="AR39" t="s">
        <v>759</v>
      </c>
      <c r="AS39" t="s">
        <v>760</v>
      </c>
      <c r="AT39">
        <v>5</v>
      </c>
      <c r="AU39">
        <v>3</v>
      </c>
    </row>
    <row r="40" spans="1:49" ht="15.75" x14ac:dyDescent="0.25">
      <c r="A40">
        <v>349</v>
      </c>
      <c r="B40" t="s">
        <v>164</v>
      </c>
      <c r="F40" t="s">
        <v>165</v>
      </c>
      <c r="G40" t="s">
        <v>65</v>
      </c>
      <c r="H40" t="s">
        <v>141</v>
      </c>
      <c r="I40" t="s">
        <v>45</v>
      </c>
      <c r="J40" s="24">
        <v>90806</v>
      </c>
      <c r="K40" t="s">
        <v>47</v>
      </c>
      <c r="N40" t="s">
        <v>1353</v>
      </c>
      <c r="O40"/>
      <c r="P40"/>
      <c r="Q40"/>
      <c r="R40"/>
      <c r="S40" t="s">
        <v>432</v>
      </c>
      <c r="U40" t="s">
        <v>433</v>
      </c>
      <c r="X40" t="s">
        <v>719</v>
      </c>
      <c r="Y40" t="s">
        <v>720</v>
      </c>
      <c r="Z40" s="8" t="s">
        <v>721</v>
      </c>
      <c r="AA40" t="s">
        <v>437</v>
      </c>
      <c r="AB40" t="s">
        <v>722</v>
      </c>
      <c r="AC40" t="s">
        <v>723</v>
      </c>
      <c r="AD40" t="s">
        <v>433</v>
      </c>
      <c r="AE40" t="s">
        <v>433</v>
      </c>
      <c r="AF40" t="s">
        <v>433</v>
      </c>
      <c r="AG40" t="s">
        <v>433</v>
      </c>
      <c r="AH40">
        <v>33.812214599999997</v>
      </c>
      <c r="AI40">
        <v>-118.1598357</v>
      </c>
      <c r="AJ40" t="s">
        <v>724</v>
      </c>
      <c r="AK40" t="s">
        <v>725</v>
      </c>
      <c r="AM40" t="s">
        <v>726</v>
      </c>
      <c r="AP40" t="s">
        <v>569</v>
      </c>
      <c r="AQ40">
        <v>-480</v>
      </c>
      <c r="AR40" t="s">
        <v>727</v>
      </c>
      <c r="AU40" t="s">
        <v>65</v>
      </c>
    </row>
    <row r="41" spans="1:49" ht="15.75" x14ac:dyDescent="0.25">
      <c r="A41">
        <v>352</v>
      </c>
      <c r="B41" t="s">
        <v>172</v>
      </c>
      <c r="F41" t="s">
        <v>157</v>
      </c>
      <c r="G41" t="s">
        <v>65</v>
      </c>
      <c r="H41" t="s">
        <v>141</v>
      </c>
      <c r="I41" t="s">
        <v>45</v>
      </c>
      <c r="J41" s="24">
        <v>90806</v>
      </c>
      <c r="K41" t="s">
        <v>47</v>
      </c>
      <c r="N41" t="s">
        <v>1353</v>
      </c>
      <c r="O41"/>
      <c r="P41"/>
      <c r="Q41"/>
      <c r="R41"/>
      <c r="S41" t="s">
        <v>432</v>
      </c>
      <c r="U41" t="s">
        <v>433</v>
      </c>
      <c r="X41" t="s">
        <v>761</v>
      </c>
      <c r="Y41" t="s">
        <v>762</v>
      </c>
      <c r="Z41" s="8" t="s">
        <v>172</v>
      </c>
      <c r="AA41" t="s">
        <v>437</v>
      </c>
      <c r="AB41" t="s">
        <v>763</v>
      </c>
      <c r="AC41" t="s">
        <v>703</v>
      </c>
      <c r="AD41" t="s">
        <v>433</v>
      </c>
      <c r="AE41" t="s">
        <v>433</v>
      </c>
      <c r="AF41" t="s">
        <v>433</v>
      </c>
      <c r="AG41" t="s">
        <v>433</v>
      </c>
      <c r="AH41">
        <v>33.812402300000002</v>
      </c>
      <c r="AI41">
        <v>-118.16151259999999</v>
      </c>
      <c r="AJ41" t="s">
        <v>764</v>
      </c>
      <c r="AK41" t="s">
        <v>705</v>
      </c>
      <c r="AL41" t="s">
        <v>765</v>
      </c>
      <c r="AM41" t="s">
        <v>442</v>
      </c>
      <c r="AO41" t="s">
        <v>766</v>
      </c>
      <c r="AP41" t="s">
        <v>444</v>
      </c>
      <c r="AQ41">
        <v>-480</v>
      </c>
      <c r="AR41" t="s">
        <v>708</v>
      </c>
      <c r="AS41" t="s">
        <v>767</v>
      </c>
      <c r="AU41" t="s">
        <v>65</v>
      </c>
    </row>
    <row r="42" spans="1:49" ht="15.75" x14ac:dyDescent="0.25">
      <c r="A42">
        <v>353</v>
      </c>
      <c r="B42" t="s">
        <v>168</v>
      </c>
      <c r="F42" t="s">
        <v>169</v>
      </c>
      <c r="G42" t="s">
        <v>65</v>
      </c>
      <c r="H42" t="s">
        <v>128</v>
      </c>
      <c r="I42" t="s">
        <v>45</v>
      </c>
      <c r="J42" s="24">
        <v>90806</v>
      </c>
      <c r="K42" t="s">
        <v>47</v>
      </c>
      <c r="N42" t="s">
        <v>1491</v>
      </c>
      <c r="O42"/>
      <c r="P42"/>
      <c r="Q42"/>
      <c r="R42"/>
      <c r="S42" t="s">
        <v>432</v>
      </c>
      <c r="U42" t="s">
        <v>433</v>
      </c>
      <c r="X42" t="s">
        <v>739</v>
      </c>
      <c r="Y42" t="s">
        <v>740</v>
      </c>
      <c r="Z42" s="8" t="s">
        <v>741</v>
      </c>
      <c r="AA42" t="s">
        <v>437</v>
      </c>
      <c r="AB42" t="s">
        <v>742</v>
      </c>
      <c r="AC42" t="s">
        <v>743</v>
      </c>
      <c r="AD42" t="s">
        <v>433</v>
      </c>
      <c r="AE42" t="s">
        <v>433</v>
      </c>
      <c r="AF42" t="s">
        <v>433</v>
      </c>
      <c r="AG42" t="s">
        <v>433</v>
      </c>
      <c r="AH42">
        <v>33.812251500000002</v>
      </c>
      <c r="AI42">
        <v>-118.1601986</v>
      </c>
      <c r="AJ42" t="s">
        <v>744</v>
      </c>
      <c r="AK42" t="s">
        <v>745</v>
      </c>
      <c r="AL42" t="s">
        <v>746</v>
      </c>
      <c r="AM42" t="s">
        <v>442</v>
      </c>
      <c r="AO42" t="s">
        <v>747</v>
      </c>
      <c r="AP42" t="s">
        <v>467</v>
      </c>
      <c r="AQ42">
        <v>-480</v>
      </c>
      <c r="AR42" t="s">
        <v>748</v>
      </c>
      <c r="AS42" t="s">
        <v>749</v>
      </c>
      <c r="AT42">
        <v>4.5</v>
      </c>
      <c r="AU42">
        <v>5</v>
      </c>
    </row>
    <row r="43" spans="1:49" ht="15.75" x14ac:dyDescent="0.25">
      <c r="A43">
        <v>354</v>
      </c>
      <c r="B43" t="s">
        <v>1304</v>
      </c>
      <c r="F43" t="s">
        <v>174</v>
      </c>
      <c r="G43" t="s">
        <v>65</v>
      </c>
      <c r="H43" t="s">
        <v>128</v>
      </c>
      <c r="I43" t="s">
        <v>45</v>
      </c>
      <c r="J43" s="24">
        <v>90808</v>
      </c>
      <c r="K43" t="s">
        <v>47</v>
      </c>
      <c r="N43" t="s">
        <v>1331</v>
      </c>
      <c r="O43" t="s">
        <v>1493</v>
      </c>
      <c r="P43"/>
      <c r="Q43"/>
      <c r="R43"/>
      <c r="S43" t="s">
        <v>432</v>
      </c>
      <c r="U43" t="s">
        <v>433</v>
      </c>
      <c r="X43" t="s">
        <v>768</v>
      </c>
      <c r="Y43" t="s">
        <v>769</v>
      </c>
      <c r="Z43" s="8" t="s">
        <v>770</v>
      </c>
      <c r="AA43" t="s">
        <v>437</v>
      </c>
      <c r="AB43" t="s">
        <v>771</v>
      </c>
      <c r="AC43" t="s">
        <v>772</v>
      </c>
      <c r="AD43" t="s">
        <v>433</v>
      </c>
      <c r="AE43" t="s">
        <v>433</v>
      </c>
      <c r="AF43" t="s">
        <v>433</v>
      </c>
      <c r="AG43" t="s">
        <v>433</v>
      </c>
      <c r="AH43">
        <v>33.816121899999999</v>
      </c>
      <c r="AI43">
        <v>-118.14455479999999</v>
      </c>
      <c r="AJ43" t="s">
        <v>773</v>
      </c>
      <c r="AK43" t="s">
        <v>774</v>
      </c>
      <c r="AL43" t="s">
        <v>775</v>
      </c>
      <c r="AM43" t="s">
        <v>442</v>
      </c>
      <c r="AO43" t="s">
        <v>776</v>
      </c>
      <c r="AP43" t="s">
        <v>444</v>
      </c>
      <c r="AQ43">
        <v>-480</v>
      </c>
      <c r="AR43" t="s">
        <v>777</v>
      </c>
      <c r="AS43" t="s">
        <v>778</v>
      </c>
      <c r="AT43">
        <v>4.5</v>
      </c>
      <c r="AU43">
        <v>5</v>
      </c>
    </row>
    <row r="44" spans="1:49" ht="15.75" x14ac:dyDescent="0.25">
      <c r="A44">
        <v>503</v>
      </c>
      <c r="B44" t="s">
        <v>183</v>
      </c>
      <c r="F44" t="s">
        <v>184</v>
      </c>
      <c r="G44" t="s">
        <v>185</v>
      </c>
      <c r="H44" t="s">
        <v>181</v>
      </c>
      <c r="I44" t="s">
        <v>45</v>
      </c>
      <c r="J44" s="24" t="s">
        <v>186</v>
      </c>
      <c r="K44" t="s">
        <v>47</v>
      </c>
      <c r="L44" t="s">
        <v>187</v>
      </c>
      <c r="N44" t="s">
        <v>1331</v>
      </c>
      <c r="O44" t="s">
        <v>1488</v>
      </c>
      <c r="P44"/>
      <c r="Q44"/>
      <c r="R44"/>
      <c r="S44" t="s">
        <v>432</v>
      </c>
      <c r="T44" t="s">
        <v>433</v>
      </c>
      <c r="X44" t="s">
        <v>779</v>
      </c>
      <c r="Y44" t="s">
        <v>780</v>
      </c>
      <c r="Z44" s="8" t="s">
        <v>183</v>
      </c>
      <c r="AA44" t="s">
        <v>437</v>
      </c>
      <c r="AB44" t="s">
        <v>781</v>
      </c>
      <c r="AC44" t="s">
        <v>782</v>
      </c>
      <c r="AD44" t="s">
        <v>664</v>
      </c>
      <c r="AE44" t="s">
        <v>433</v>
      </c>
      <c r="AF44" t="s">
        <v>433</v>
      </c>
      <c r="AG44" t="s">
        <v>664</v>
      </c>
      <c r="AH44">
        <v>37.728957800000003</v>
      </c>
      <c r="AI44">
        <v>-122.21005630000001</v>
      </c>
      <c r="AJ44" t="s">
        <v>783</v>
      </c>
      <c r="AK44" t="s">
        <v>784</v>
      </c>
      <c r="AL44" t="s">
        <v>206</v>
      </c>
      <c r="AM44" t="s">
        <v>442</v>
      </c>
      <c r="AO44" t="s">
        <v>785</v>
      </c>
      <c r="AP44" t="s">
        <v>444</v>
      </c>
      <c r="AQ44">
        <v>-480</v>
      </c>
      <c r="AR44" t="s">
        <v>786</v>
      </c>
      <c r="AS44" t="s">
        <v>787</v>
      </c>
      <c r="AT44">
        <v>4.5</v>
      </c>
      <c r="AU44">
        <v>5</v>
      </c>
    </row>
    <row r="45" spans="1:49" x14ac:dyDescent="0.25">
      <c r="A45">
        <v>504</v>
      </c>
      <c r="B45" s="12" t="s">
        <v>188</v>
      </c>
      <c r="F45" s="12" t="s">
        <v>189</v>
      </c>
      <c r="G45" t="s">
        <v>190</v>
      </c>
      <c r="H45" t="s">
        <v>181</v>
      </c>
      <c r="I45" t="s">
        <v>45</v>
      </c>
      <c r="J45" s="24" t="s">
        <v>182</v>
      </c>
      <c r="K45" t="s">
        <v>47</v>
      </c>
      <c r="M45" s="18" t="s">
        <v>1307</v>
      </c>
      <c r="N45" t="s">
        <v>1331</v>
      </c>
      <c r="O45" t="s">
        <v>1488</v>
      </c>
      <c r="P45"/>
      <c r="Q45"/>
      <c r="R45"/>
      <c r="AV45" t="s">
        <v>1306</v>
      </c>
      <c r="AW45" t="s">
        <v>1305</v>
      </c>
    </row>
    <row r="46" spans="1:49" ht="15.75" x14ac:dyDescent="0.25">
      <c r="A46">
        <v>505</v>
      </c>
      <c r="B46" s="11" t="s">
        <v>191</v>
      </c>
      <c r="F46" t="s">
        <v>192</v>
      </c>
      <c r="H46" t="s">
        <v>181</v>
      </c>
      <c r="I46" t="s">
        <v>45</v>
      </c>
      <c r="J46" s="24" t="s">
        <v>182</v>
      </c>
      <c r="K46" t="s">
        <v>47</v>
      </c>
      <c r="L46" t="s">
        <v>193</v>
      </c>
      <c r="N46" t="s">
        <v>1331</v>
      </c>
      <c r="O46" t="s">
        <v>1488</v>
      </c>
      <c r="P46"/>
      <c r="Q46"/>
      <c r="R46"/>
      <c r="S46" t="s">
        <v>432</v>
      </c>
      <c r="U46" t="s">
        <v>433</v>
      </c>
      <c r="X46" t="s">
        <v>788</v>
      </c>
      <c r="Y46" t="s">
        <v>789</v>
      </c>
      <c r="Z46" s="13" t="s">
        <v>790</v>
      </c>
      <c r="AA46" t="s">
        <v>437</v>
      </c>
      <c r="AB46" t="s">
        <v>791</v>
      </c>
      <c r="AC46" t="s">
        <v>792</v>
      </c>
      <c r="AD46" t="s">
        <v>433</v>
      </c>
      <c r="AE46" t="s">
        <v>433</v>
      </c>
      <c r="AF46" t="s">
        <v>433</v>
      </c>
      <c r="AG46" t="s">
        <v>433</v>
      </c>
      <c r="AH46">
        <v>37.727041700000001</v>
      </c>
      <c r="AI46">
        <v>-122.20510109999999</v>
      </c>
      <c r="AJ46" t="s">
        <v>793</v>
      </c>
      <c r="AK46" t="s">
        <v>794</v>
      </c>
      <c r="AL46" t="s">
        <v>795</v>
      </c>
      <c r="AM46" t="s">
        <v>442</v>
      </c>
      <c r="AO46" t="s">
        <v>796</v>
      </c>
      <c r="AP46" t="s">
        <v>444</v>
      </c>
      <c r="AQ46">
        <v>-480</v>
      </c>
      <c r="AR46" t="s">
        <v>797</v>
      </c>
      <c r="AS46" t="s">
        <v>798</v>
      </c>
      <c r="AT46">
        <v>4.7</v>
      </c>
      <c r="AU46">
        <v>5</v>
      </c>
      <c r="AV46" t="s">
        <v>1308</v>
      </c>
    </row>
    <row r="47" spans="1:49" ht="15.75" x14ac:dyDescent="0.25">
      <c r="A47">
        <v>506</v>
      </c>
      <c r="B47" t="s">
        <v>194</v>
      </c>
      <c r="F47" t="s">
        <v>195</v>
      </c>
      <c r="H47" t="s">
        <v>196</v>
      </c>
      <c r="I47" t="s">
        <v>45</v>
      </c>
      <c r="J47" s="24">
        <v>94621</v>
      </c>
      <c r="K47" t="s">
        <v>47</v>
      </c>
      <c r="L47" t="s">
        <v>197</v>
      </c>
      <c r="N47" t="s">
        <v>1331</v>
      </c>
      <c r="O47" t="s">
        <v>1328</v>
      </c>
      <c r="P47"/>
      <c r="Q47"/>
      <c r="R47"/>
      <c r="S47" t="s">
        <v>432</v>
      </c>
      <c r="U47" t="s">
        <v>433</v>
      </c>
      <c r="X47" t="s">
        <v>799</v>
      </c>
      <c r="Y47" t="s">
        <v>801</v>
      </c>
      <c r="Z47" s="8" t="s">
        <v>802</v>
      </c>
      <c r="AA47" t="s">
        <v>437</v>
      </c>
      <c r="AB47" t="s">
        <v>803</v>
      </c>
      <c r="AC47" t="s">
        <v>804</v>
      </c>
      <c r="AD47" t="s">
        <v>433</v>
      </c>
      <c r="AE47" t="s">
        <v>664</v>
      </c>
      <c r="AF47" t="s">
        <v>433</v>
      </c>
      <c r="AG47" t="s">
        <v>664</v>
      </c>
      <c r="AH47">
        <v>37.741374399999998</v>
      </c>
      <c r="AI47">
        <v>-122.2263353</v>
      </c>
      <c r="AJ47" t="s">
        <v>805</v>
      </c>
      <c r="AK47" t="s">
        <v>806</v>
      </c>
      <c r="AL47" t="s">
        <v>807</v>
      </c>
      <c r="AM47" t="s">
        <v>503</v>
      </c>
      <c r="AO47" t="s">
        <v>808</v>
      </c>
      <c r="AP47" t="s">
        <v>800</v>
      </c>
      <c r="AQ47">
        <v>-480</v>
      </c>
      <c r="AR47" t="s">
        <v>809</v>
      </c>
      <c r="AS47" t="s">
        <v>810</v>
      </c>
      <c r="AT47">
        <v>5</v>
      </c>
      <c r="AU47">
        <v>4</v>
      </c>
    </row>
    <row r="48" spans="1:49" ht="15.75" x14ac:dyDescent="0.25">
      <c r="A48">
        <v>507</v>
      </c>
      <c r="B48" t="s">
        <v>198</v>
      </c>
      <c r="F48" t="s">
        <v>199</v>
      </c>
      <c r="H48" t="s">
        <v>181</v>
      </c>
      <c r="I48" t="s">
        <v>45</v>
      </c>
      <c r="J48" s="24" t="s">
        <v>200</v>
      </c>
      <c r="K48" t="s">
        <v>47</v>
      </c>
      <c r="L48" t="s">
        <v>201</v>
      </c>
      <c r="M48" s="20" t="s">
        <v>202</v>
      </c>
      <c r="N48" t="s">
        <v>1331</v>
      </c>
      <c r="O48" t="s">
        <v>1328</v>
      </c>
      <c r="P48"/>
      <c r="Q48"/>
      <c r="R48"/>
      <c r="S48" t="s">
        <v>432</v>
      </c>
      <c r="T48" t="s">
        <v>433</v>
      </c>
      <c r="X48" t="s">
        <v>811</v>
      </c>
      <c r="Y48" t="s">
        <v>813</v>
      </c>
      <c r="Z48" s="8" t="s">
        <v>814</v>
      </c>
      <c r="AA48" t="s">
        <v>437</v>
      </c>
      <c r="AB48" t="s">
        <v>815</v>
      </c>
      <c r="AC48" t="s">
        <v>816</v>
      </c>
      <c r="AD48" t="s">
        <v>664</v>
      </c>
      <c r="AE48" t="s">
        <v>664</v>
      </c>
      <c r="AF48" t="s">
        <v>433</v>
      </c>
      <c r="AG48" t="s">
        <v>664</v>
      </c>
      <c r="AH48">
        <v>37.871433699999997</v>
      </c>
      <c r="AI48">
        <v>-122.5036855</v>
      </c>
      <c r="AJ48" t="s">
        <v>817</v>
      </c>
      <c r="AK48" t="s">
        <v>818</v>
      </c>
      <c r="AL48" t="s">
        <v>819</v>
      </c>
      <c r="AM48" t="s">
        <v>442</v>
      </c>
      <c r="AO48" t="s">
        <v>820</v>
      </c>
      <c r="AP48" t="s">
        <v>812</v>
      </c>
      <c r="AQ48">
        <v>-480</v>
      </c>
      <c r="AR48" t="s">
        <v>821</v>
      </c>
      <c r="AS48" t="s">
        <v>822</v>
      </c>
      <c r="AU48" t="s">
        <v>65</v>
      </c>
    </row>
    <row r="49" spans="1:50" ht="15.75" x14ac:dyDescent="0.25">
      <c r="A49">
        <v>508</v>
      </c>
      <c r="B49" t="s">
        <v>203</v>
      </c>
      <c r="F49" t="s">
        <v>204</v>
      </c>
      <c r="H49" t="s">
        <v>181</v>
      </c>
      <c r="I49" t="s">
        <v>45</v>
      </c>
      <c r="J49" s="24" t="s">
        <v>205</v>
      </c>
      <c r="K49" t="s">
        <v>47</v>
      </c>
      <c r="L49" t="s">
        <v>206</v>
      </c>
      <c r="M49" s="20" t="s">
        <v>207</v>
      </c>
      <c r="N49" t="s">
        <v>1331</v>
      </c>
      <c r="O49" t="s">
        <v>1328</v>
      </c>
      <c r="P49"/>
      <c r="Q49"/>
      <c r="R49"/>
      <c r="S49" t="s">
        <v>432</v>
      </c>
      <c r="T49" t="s">
        <v>433</v>
      </c>
      <c r="X49" t="s">
        <v>779</v>
      </c>
      <c r="Y49" t="s">
        <v>780</v>
      </c>
      <c r="Z49" s="8" t="s">
        <v>183</v>
      </c>
      <c r="AA49" t="s">
        <v>437</v>
      </c>
      <c r="AB49" t="s">
        <v>781</v>
      </c>
      <c r="AC49" t="s">
        <v>782</v>
      </c>
      <c r="AD49" t="s">
        <v>433</v>
      </c>
      <c r="AE49" t="s">
        <v>433</v>
      </c>
      <c r="AF49" t="s">
        <v>433</v>
      </c>
      <c r="AG49" t="s">
        <v>664</v>
      </c>
      <c r="AH49">
        <v>37.728957800000003</v>
      </c>
      <c r="AI49">
        <v>-122.21005630000001</v>
      </c>
      <c r="AJ49" t="s">
        <v>783</v>
      </c>
      <c r="AK49" t="s">
        <v>784</v>
      </c>
      <c r="AL49" t="s">
        <v>206</v>
      </c>
      <c r="AM49" t="s">
        <v>442</v>
      </c>
      <c r="AO49" t="s">
        <v>785</v>
      </c>
      <c r="AP49" t="s">
        <v>444</v>
      </c>
      <c r="AQ49">
        <v>-480</v>
      </c>
      <c r="AR49" t="s">
        <v>786</v>
      </c>
      <c r="AS49" t="s">
        <v>787</v>
      </c>
      <c r="AT49">
        <v>4.5</v>
      </c>
      <c r="AU49">
        <v>5</v>
      </c>
    </row>
    <row r="50" spans="1:50" ht="15.75" x14ac:dyDescent="0.25">
      <c r="A50">
        <v>590</v>
      </c>
      <c r="B50" t="s">
        <v>210</v>
      </c>
      <c r="C50" s="12" t="s">
        <v>211</v>
      </c>
      <c r="F50" t="s">
        <v>212</v>
      </c>
      <c r="H50" t="s">
        <v>213</v>
      </c>
      <c r="I50" t="s">
        <v>45</v>
      </c>
      <c r="J50" s="24" t="s">
        <v>214</v>
      </c>
      <c r="K50" t="s">
        <v>47</v>
      </c>
      <c r="L50" t="s">
        <v>215</v>
      </c>
      <c r="M50" s="20" t="s">
        <v>833</v>
      </c>
      <c r="N50" t="s">
        <v>1331</v>
      </c>
      <c r="O50" t="s">
        <v>1328</v>
      </c>
      <c r="P50"/>
      <c r="Q50"/>
      <c r="R50"/>
      <c r="S50" t="s">
        <v>432</v>
      </c>
      <c r="T50" t="s">
        <v>433</v>
      </c>
      <c r="X50" t="s">
        <v>823</v>
      </c>
      <c r="Y50" t="s">
        <v>824</v>
      </c>
      <c r="Z50" s="8" t="s">
        <v>825</v>
      </c>
      <c r="AA50" t="s">
        <v>437</v>
      </c>
      <c r="AB50" t="s">
        <v>826</v>
      </c>
      <c r="AC50" t="s">
        <v>827</v>
      </c>
      <c r="AD50" t="s">
        <v>433</v>
      </c>
      <c r="AE50" t="s">
        <v>433</v>
      </c>
      <c r="AF50" t="s">
        <v>433</v>
      </c>
      <c r="AG50" t="s">
        <v>433</v>
      </c>
      <c r="AH50">
        <v>37.338126199999998</v>
      </c>
      <c r="AI50">
        <v>-121.8209428</v>
      </c>
      <c r="AJ50" t="s">
        <v>828</v>
      </c>
      <c r="AK50" t="s">
        <v>829</v>
      </c>
      <c r="AL50" t="s">
        <v>830</v>
      </c>
      <c r="AM50" t="s">
        <v>503</v>
      </c>
      <c r="AO50" t="s">
        <v>831</v>
      </c>
      <c r="AP50" t="s">
        <v>505</v>
      </c>
      <c r="AQ50">
        <v>-480</v>
      </c>
      <c r="AR50" t="s">
        <v>832</v>
      </c>
      <c r="AS50" t="s">
        <v>833</v>
      </c>
      <c r="AT50">
        <v>4.2</v>
      </c>
      <c r="AU50">
        <v>5</v>
      </c>
      <c r="AV50" t="s">
        <v>1309</v>
      </c>
    </row>
    <row r="51" spans="1:50" ht="15.75" x14ac:dyDescent="0.25">
      <c r="A51">
        <v>591</v>
      </c>
      <c r="B51" t="s">
        <v>216</v>
      </c>
      <c r="C51" t="s">
        <v>217</v>
      </c>
      <c r="F51" t="s">
        <v>218</v>
      </c>
      <c r="H51" t="s">
        <v>213</v>
      </c>
      <c r="I51" t="s">
        <v>45</v>
      </c>
      <c r="J51" s="24">
        <v>95148</v>
      </c>
      <c r="K51" t="s">
        <v>47</v>
      </c>
      <c r="L51" t="s">
        <v>219</v>
      </c>
      <c r="N51" t="s">
        <v>1331</v>
      </c>
      <c r="O51" t="s">
        <v>1328</v>
      </c>
      <c r="P51"/>
      <c r="Q51"/>
      <c r="R51"/>
      <c r="S51" t="s">
        <v>432</v>
      </c>
      <c r="T51" t="s">
        <v>433</v>
      </c>
      <c r="X51" t="s">
        <v>834</v>
      </c>
      <c r="Y51" t="s">
        <v>836</v>
      </c>
      <c r="Z51" s="8" t="s">
        <v>837</v>
      </c>
      <c r="AA51" t="s">
        <v>437</v>
      </c>
      <c r="AB51" t="s">
        <v>838</v>
      </c>
      <c r="AC51" t="s">
        <v>839</v>
      </c>
      <c r="AD51" t="s">
        <v>433</v>
      </c>
      <c r="AE51" t="s">
        <v>433</v>
      </c>
      <c r="AF51" t="s">
        <v>433</v>
      </c>
      <c r="AG51" t="s">
        <v>433</v>
      </c>
      <c r="AH51">
        <v>37.336416599999993</v>
      </c>
      <c r="AI51">
        <v>-121.8200971</v>
      </c>
      <c r="AJ51" t="s">
        <v>840</v>
      </c>
      <c r="AK51" t="s">
        <v>841</v>
      </c>
      <c r="AL51" t="s">
        <v>842</v>
      </c>
      <c r="AM51" t="s">
        <v>503</v>
      </c>
      <c r="AO51" t="s">
        <v>843</v>
      </c>
      <c r="AP51" t="s">
        <v>835</v>
      </c>
      <c r="AQ51">
        <v>-480</v>
      </c>
      <c r="AR51" t="s">
        <v>844</v>
      </c>
      <c r="AS51" t="s">
        <v>845</v>
      </c>
      <c r="AT51">
        <v>4.3</v>
      </c>
      <c r="AU51">
        <v>5</v>
      </c>
    </row>
    <row r="52" spans="1:50" ht="15.75" x14ac:dyDescent="0.25">
      <c r="A52">
        <v>592</v>
      </c>
      <c r="B52" t="s">
        <v>220</v>
      </c>
      <c r="C52" t="s">
        <v>221</v>
      </c>
      <c r="F52" t="s">
        <v>222</v>
      </c>
      <c r="H52" t="s">
        <v>213</v>
      </c>
      <c r="I52" t="s">
        <v>45</v>
      </c>
      <c r="J52" s="24">
        <v>95148</v>
      </c>
      <c r="K52" t="s">
        <v>47</v>
      </c>
      <c r="L52" t="s">
        <v>223</v>
      </c>
      <c r="N52" t="s">
        <v>1331</v>
      </c>
      <c r="O52" t="s">
        <v>1328</v>
      </c>
      <c r="P52"/>
      <c r="Q52"/>
      <c r="R52"/>
      <c r="S52" t="s">
        <v>432</v>
      </c>
      <c r="U52" t="s">
        <v>433</v>
      </c>
      <c r="X52" t="s">
        <v>846</v>
      </c>
      <c r="Y52" t="s">
        <v>847</v>
      </c>
      <c r="Z52" s="8" t="s">
        <v>848</v>
      </c>
      <c r="AA52" t="s">
        <v>437</v>
      </c>
      <c r="AB52" t="s">
        <v>849</v>
      </c>
      <c r="AC52" t="s">
        <v>850</v>
      </c>
      <c r="AD52" t="s">
        <v>433</v>
      </c>
      <c r="AE52" t="s">
        <v>433</v>
      </c>
      <c r="AF52" t="s">
        <v>433</v>
      </c>
      <c r="AG52" t="s">
        <v>433</v>
      </c>
      <c r="AH52">
        <v>37.338669400000001</v>
      </c>
      <c r="AI52">
        <v>-121.82005150000001</v>
      </c>
      <c r="AJ52" t="s">
        <v>851</v>
      </c>
      <c r="AK52" t="s">
        <v>852</v>
      </c>
      <c r="AL52" t="s">
        <v>853</v>
      </c>
      <c r="AM52" t="s">
        <v>503</v>
      </c>
      <c r="AO52" t="s">
        <v>854</v>
      </c>
      <c r="AP52" t="s">
        <v>505</v>
      </c>
      <c r="AQ52">
        <v>-480</v>
      </c>
      <c r="AR52" t="s">
        <v>855</v>
      </c>
      <c r="AS52" t="s">
        <v>856</v>
      </c>
      <c r="AT52">
        <v>4.7</v>
      </c>
      <c r="AU52">
        <v>5</v>
      </c>
    </row>
    <row r="53" spans="1:50" ht="15.75" x14ac:dyDescent="0.25">
      <c r="A53">
        <v>593</v>
      </c>
      <c r="B53" t="s">
        <v>224</v>
      </c>
      <c r="C53" t="s">
        <v>225</v>
      </c>
      <c r="F53" t="s">
        <v>222</v>
      </c>
      <c r="H53" t="s">
        <v>213</v>
      </c>
      <c r="I53" t="s">
        <v>45</v>
      </c>
      <c r="J53" s="24">
        <v>95148</v>
      </c>
      <c r="K53" t="s">
        <v>47</v>
      </c>
      <c r="L53" t="s">
        <v>226</v>
      </c>
      <c r="N53" t="s">
        <v>1331</v>
      </c>
      <c r="O53" t="s">
        <v>1489</v>
      </c>
      <c r="P53"/>
      <c r="Q53"/>
      <c r="R53"/>
      <c r="S53" t="s">
        <v>432</v>
      </c>
      <c r="T53" t="s">
        <v>433</v>
      </c>
      <c r="X53" t="s">
        <v>857</v>
      </c>
      <c r="Y53" t="s">
        <v>858</v>
      </c>
      <c r="Z53" s="8" t="s">
        <v>859</v>
      </c>
      <c r="AA53" t="s">
        <v>437</v>
      </c>
      <c r="AB53" t="s">
        <v>860</v>
      </c>
      <c r="AC53" t="s">
        <v>861</v>
      </c>
      <c r="AD53" t="s">
        <v>433</v>
      </c>
      <c r="AE53" t="s">
        <v>433</v>
      </c>
      <c r="AF53" t="s">
        <v>433</v>
      </c>
      <c r="AG53" t="s">
        <v>433</v>
      </c>
      <c r="AH53">
        <v>37.338851300000002</v>
      </c>
      <c r="AI53">
        <v>-121.82004670000001</v>
      </c>
      <c r="AJ53" t="s">
        <v>862</v>
      </c>
      <c r="AK53" t="s">
        <v>863</v>
      </c>
      <c r="AL53" t="s">
        <v>864</v>
      </c>
      <c r="AM53" t="s">
        <v>503</v>
      </c>
      <c r="AO53" t="s">
        <v>865</v>
      </c>
      <c r="AP53" t="s">
        <v>505</v>
      </c>
      <c r="AQ53">
        <v>-480</v>
      </c>
      <c r="AR53" t="s">
        <v>855</v>
      </c>
      <c r="AS53" t="s">
        <v>866</v>
      </c>
      <c r="AU53" t="s">
        <v>65</v>
      </c>
    </row>
    <row r="54" spans="1:50" x14ac:dyDescent="0.25">
      <c r="A54">
        <v>594</v>
      </c>
      <c r="B54" s="12" t="s">
        <v>227</v>
      </c>
      <c r="F54" s="12" t="s">
        <v>228</v>
      </c>
      <c r="H54" t="s">
        <v>229</v>
      </c>
      <c r="I54" t="s">
        <v>45</v>
      </c>
      <c r="J54" s="24" t="s">
        <v>230</v>
      </c>
      <c r="K54" t="s">
        <v>47</v>
      </c>
      <c r="L54" t="s">
        <v>231</v>
      </c>
      <c r="N54" t="s">
        <v>1331</v>
      </c>
      <c r="O54" t="s">
        <v>1328</v>
      </c>
      <c r="P54"/>
      <c r="Q54"/>
      <c r="R54"/>
      <c r="AV54" t="s">
        <v>1310</v>
      </c>
      <c r="AX54" t="s">
        <v>1311</v>
      </c>
    </row>
    <row r="55" spans="1:50" ht="15.75" x14ac:dyDescent="0.25">
      <c r="A55">
        <v>600</v>
      </c>
      <c r="B55" t="s">
        <v>237</v>
      </c>
      <c r="C55" s="12" t="s">
        <v>869</v>
      </c>
      <c r="F55" t="s">
        <v>238</v>
      </c>
      <c r="G55" t="s">
        <v>239</v>
      </c>
      <c r="H55" t="s">
        <v>213</v>
      </c>
      <c r="I55" t="s">
        <v>45</v>
      </c>
      <c r="J55" s="24">
        <v>95110</v>
      </c>
      <c r="K55" t="s">
        <v>47</v>
      </c>
      <c r="N55" t="s">
        <v>1331</v>
      </c>
      <c r="O55" t="s">
        <v>1328</v>
      </c>
      <c r="P55"/>
      <c r="Q55"/>
      <c r="R55"/>
      <c r="S55" t="s">
        <v>432</v>
      </c>
      <c r="U55" t="s">
        <v>433</v>
      </c>
      <c r="X55" t="s">
        <v>867</v>
      </c>
      <c r="Y55" t="s">
        <v>868</v>
      </c>
      <c r="Z55" s="8" t="s">
        <v>869</v>
      </c>
      <c r="AA55" t="s">
        <v>437</v>
      </c>
      <c r="AB55" t="s">
        <v>870</v>
      </c>
      <c r="AC55" t="s">
        <v>871</v>
      </c>
      <c r="AD55" t="s">
        <v>433</v>
      </c>
      <c r="AE55" t="s">
        <v>433</v>
      </c>
      <c r="AF55" t="s">
        <v>433</v>
      </c>
      <c r="AG55" t="s">
        <v>433</v>
      </c>
      <c r="AH55">
        <v>37.357102699999999</v>
      </c>
      <c r="AI55">
        <v>-121.929937</v>
      </c>
      <c r="AJ55" t="s">
        <v>872</v>
      </c>
      <c r="AK55" t="s">
        <v>873</v>
      </c>
      <c r="AL55" t="s">
        <v>874</v>
      </c>
      <c r="AM55" t="s">
        <v>442</v>
      </c>
      <c r="AO55" t="s">
        <v>875</v>
      </c>
      <c r="AP55" t="s">
        <v>467</v>
      </c>
      <c r="AQ55">
        <v>-480</v>
      </c>
      <c r="AR55" t="s">
        <v>876</v>
      </c>
      <c r="AS55" t="s">
        <v>877</v>
      </c>
      <c r="AT55">
        <v>5</v>
      </c>
      <c r="AU55">
        <v>2</v>
      </c>
    </row>
    <row r="56" spans="1:50" ht="15.75" x14ac:dyDescent="0.25">
      <c r="A56">
        <v>601</v>
      </c>
      <c r="B56" t="s">
        <v>245</v>
      </c>
      <c r="F56" t="s">
        <v>238</v>
      </c>
      <c r="G56" t="s">
        <v>246</v>
      </c>
      <c r="H56" t="s">
        <v>213</v>
      </c>
      <c r="I56" t="s">
        <v>45</v>
      </c>
      <c r="J56" s="24">
        <v>95110</v>
      </c>
      <c r="K56" t="s">
        <v>47</v>
      </c>
      <c r="N56" t="s">
        <v>1353</v>
      </c>
      <c r="O56"/>
      <c r="P56"/>
      <c r="Q56"/>
      <c r="R56"/>
      <c r="S56" t="s">
        <v>432</v>
      </c>
      <c r="U56" t="s">
        <v>433</v>
      </c>
      <c r="X56" t="s">
        <v>878</v>
      </c>
      <c r="Y56" t="s">
        <v>880</v>
      </c>
      <c r="Z56" s="8" t="s">
        <v>881</v>
      </c>
      <c r="AA56" t="s">
        <v>437</v>
      </c>
      <c r="AB56" t="s">
        <v>882</v>
      </c>
      <c r="AC56" t="s">
        <v>883</v>
      </c>
      <c r="AD56" t="s">
        <v>433</v>
      </c>
      <c r="AE56" t="s">
        <v>433</v>
      </c>
      <c r="AF56" t="s">
        <v>433</v>
      </c>
      <c r="AG56" t="s">
        <v>433</v>
      </c>
      <c r="AH56">
        <v>37.357102699999999</v>
      </c>
      <c r="AI56">
        <v>-121.929937</v>
      </c>
      <c r="AJ56" t="s">
        <v>884</v>
      </c>
      <c r="AK56" t="s">
        <v>885</v>
      </c>
      <c r="AL56" t="s">
        <v>886</v>
      </c>
      <c r="AM56" t="s">
        <v>465</v>
      </c>
      <c r="AO56" t="s">
        <v>887</v>
      </c>
      <c r="AP56" t="s">
        <v>879</v>
      </c>
      <c r="AQ56">
        <v>-480</v>
      </c>
      <c r="AR56" t="s">
        <v>888</v>
      </c>
      <c r="AS56" t="s">
        <v>889</v>
      </c>
      <c r="AU56" t="s">
        <v>65</v>
      </c>
    </row>
    <row r="57" spans="1:50" ht="15.75" x14ac:dyDescent="0.25">
      <c r="A57">
        <v>602</v>
      </c>
      <c r="B57" t="s">
        <v>247</v>
      </c>
      <c r="F57" t="s">
        <v>248</v>
      </c>
      <c r="H57" t="s">
        <v>249</v>
      </c>
      <c r="I57" t="s">
        <v>45</v>
      </c>
      <c r="J57" s="24">
        <v>92707</v>
      </c>
      <c r="K57" t="s">
        <v>47</v>
      </c>
      <c r="L57" t="s">
        <v>250</v>
      </c>
      <c r="N57" t="s">
        <v>1353</v>
      </c>
      <c r="O57"/>
      <c r="P57"/>
      <c r="Q57"/>
      <c r="R57"/>
      <c r="S57" t="s">
        <v>432</v>
      </c>
      <c r="T57" t="s">
        <v>433</v>
      </c>
      <c r="X57" t="s">
        <v>890</v>
      </c>
      <c r="Y57" t="s">
        <v>891</v>
      </c>
      <c r="Z57" s="8" t="s">
        <v>892</v>
      </c>
      <c r="AA57" t="s">
        <v>437</v>
      </c>
      <c r="AB57" t="s">
        <v>893</v>
      </c>
      <c r="AC57" t="s">
        <v>894</v>
      </c>
      <c r="AD57" t="s">
        <v>433</v>
      </c>
      <c r="AE57" t="s">
        <v>433</v>
      </c>
      <c r="AF57" t="s">
        <v>433</v>
      </c>
      <c r="AG57" t="s">
        <v>433</v>
      </c>
      <c r="AH57">
        <v>33.666455399999997</v>
      </c>
      <c r="AI57">
        <v>-117.8713482</v>
      </c>
      <c r="AJ57" t="s">
        <v>895</v>
      </c>
      <c r="AK57" t="s">
        <v>896</v>
      </c>
      <c r="AL57" t="s">
        <v>897</v>
      </c>
      <c r="AM57" t="s">
        <v>442</v>
      </c>
      <c r="AO57" t="s">
        <v>898</v>
      </c>
      <c r="AP57" t="s">
        <v>444</v>
      </c>
      <c r="AQ57">
        <v>-480</v>
      </c>
      <c r="AR57" t="s">
        <v>899</v>
      </c>
      <c r="AS57" t="s">
        <v>900</v>
      </c>
      <c r="AT57">
        <v>4.5999999999999996</v>
      </c>
      <c r="AU57">
        <v>5</v>
      </c>
    </row>
    <row r="58" spans="1:50" ht="15.75" x14ac:dyDescent="0.25">
      <c r="A58">
        <v>603</v>
      </c>
      <c r="B58" t="s">
        <v>251</v>
      </c>
      <c r="C58" s="12" t="s">
        <v>903</v>
      </c>
      <c r="F58" t="s">
        <v>252</v>
      </c>
      <c r="G58" t="s">
        <v>253</v>
      </c>
      <c r="H58" t="s">
        <v>249</v>
      </c>
      <c r="I58" t="s">
        <v>45</v>
      </c>
      <c r="J58" s="24">
        <v>92707</v>
      </c>
      <c r="K58" t="s">
        <v>47</v>
      </c>
      <c r="L58" t="s">
        <v>254</v>
      </c>
      <c r="N58" t="s">
        <v>1353</v>
      </c>
      <c r="O58"/>
      <c r="P58"/>
      <c r="Q58"/>
      <c r="R58"/>
      <c r="S58" t="s">
        <v>432</v>
      </c>
      <c r="T58" t="s">
        <v>433</v>
      </c>
      <c r="X58" t="s">
        <v>901</v>
      </c>
      <c r="Y58" t="s">
        <v>902</v>
      </c>
      <c r="Z58" s="8" t="s">
        <v>903</v>
      </c>
      <c r="AA58" t="s">
        <v>437</v>
      </c>
      <c r="AB58" t="s">
        <v>904</v>
      </c>
      <c r="AC58" t="s">
        <v>905</v>
      </c>
      <c r="AD58" t="s">
        <v>433</v>
      </c>
      <c r="AE58" t="s">
        <v>433</v>
      </c>
      <c r="AF58" t="s">
        <v>433</v>
      </c>
      <c r="AG58" t="s">
        <v>433</v>
      </c>
      <c r="AH58">
        <v>33.666296500000001</v>
      </c>
      <c r="AI58">
        <v>-117.8713826</v>
      </c>
      <c r="AJ58" t="s">
        <v>906</v>
      </c>
      <c r="AK58" t="s">
        <v>907</v>
      </c>
      <c r="AL58" t="s">
        <v>908</v>
      </c>
      <c r="AM58" t="s">
        <v>503</v>
      </c>
      <c r="AO58" t="s">
        <v>909</v>
      </c>
      <c r="AP58" t="s">
        <v>505</v>
      </c>
      <c r="AQ58">
        <v>-480</v>
      </c>
      <c r="AR58" t="s">
        <v>910</v>
      </c>
      <c r="AS58" t="s">
        <v>911</v>
      </c>
      <c r="AT58">
        <v>4.3</v>
      </c>
      <c r="AU58">
        <v>5</v>
      </c>
    </row>
    <row r="59" spans="1:50" ht="15.75" x14ac:dyDescent="0.25">
      <c r="A59">
        <v>604</v>
      </c>
      <c r="B59" t="s">
        <v>255</v>
      </c>
      <c r="C59" s="12" t="s">
        <v>914</v>
      </c>
      <c r="F59" t="s">
        <v>256</v>
      </c>
      <c r="G59" t="s">
        <v>257</v>
      </c>
      <c r="H59" t="s">
        <v>258</v>
      </c>
      <c r="I59" t="s">
        <v>45</v>
      </c>
      <c r="J59" s="24" t="s">
        <v>259</v>
      </c>
      <c r="K59" t="s">
        <v>47</v>
      </c>
      <c r="L59" t="s">
        <v>260</v>
      </c>
      <c r="N59" t="s">
        <v>1353</v>
      </c>
      <c r="O59"/>
      <c r="P59"/>
      <c r="Q59"/>
      <c r="R59"/>
      <c r="S59" t="s">
        <v>432</v>
      </c>
      <c r="T59" t="s">
        <v>433</v>
      </c>
      <c r="X59" t="s">
        <v>912</v>
      </c>
      <c r="Y59" t="s">
        <v>913</v>
      </c>
      <c r="Z59" s="21" t="s">
        <v>914</v>
      </c>
      <c r="AA59" t="s">
        <v>437</v>
      </c>
      <c r="AB59" t="s">
        <v>915</v>
      </c>
      <c r="AC59" t="s">
        <v>916</v>
      </c>
      <c r="AD59" t="s">
        <v>433</v>
      </c>
      <c r="AE59" t="s">
        <v>433</v>
      </c>
      <c r="AF59" t="s">
        <v>433</v>
      </c>
      <c r="AG59" t="s">
        <v>433</v>
      </c>
      <c r="AH59">
        <v>33.671494799999998</v>
      </c>
      <c r="AI59">
        <v>-117.86677160000001</v>
      </c>
      <c r="AJ59" t="s">
        <v>917</v>
      </c>
      <c r="AK59" t="s">
        <v>918</v>
      </c>
      <c r="AL59" t="s">
        <v>919</v>
      </c>
      <c r="AM59" t="s">
        <v>442</v>
      </c>
      <c r="AO59" t="s">
        <v>920</v>
      </c>
      <c r="AP59" t="s">
        <v>444</v>
      </c>
      <c r="AQ59">
        <v>-480</v>
      </c>
      <c r="AR59" t="s">
        <v>921</v>
      </c>
      <c r="AS59" t="s">
        <v>922</v>
      </c>
      <c r="AT59">
        <v>3.7</v>
      </c>
      <c r="AU59">
        <v>3</v>
      </c>
    </row>
    <row r="60" spans="1:50" ht="15.75" x14ac:dyDescent="0.25">
      <c r="A60">
        <v>606</v>
      </c>
      <c r="B60" t="s">
        <v>265</v>
      </c>
      <c r="C60" t="s">
        <v>925</v>
      </c>
      <c r="F60" t="s">
        <v>256</v>
      </c>
      <c r="G60" t="s">
        <v>266</v>
      </c>
      <c r="H60" t="s">
        <v>258</v>
      </c>
      <c r="I60" t="s">
        <v>45</v>
      </c>
      <c r="J60" s="24" t="s">
        <v>259</v>
      </c>
      <c r="K60" t="s">
        <v>47</v>
      </c>
      <c r="L60" t="s">
        <v>267</v>
      </c>
      <c r="M60" s="20" t="s">
        <v>279</v>
      </c>
      <c r="N60" t="s">
        <v>1495</v>
      </c>
      <c r="O60"/>
      <c r="P60"/>
      <c r="Q60"/>
      <c r="R60"/>
      <c r="S60" t="s">
        <v>432</v>
      </c>
      <c r="T60" t="s">
        <v>433</v>
      </c>
      <c r="X60" t="s">
        <v>923</v>
      </c>
      <c r="Y60" t="s">
        <v>924</v>
      </c>
      <c r="Z60" s="13" t="s">
        <v>925</v>
      </c>
      <c r="AA60" t="s">
        <v>437</v>
      </c>
      <c r="AB60" t="s">
        <v>926</v>
      </c>
      <c r="AC60" t="s">
        <v>927</v>
      </c>
      <c r="AD60" t="s">
        <v>433</v>
      </c>
      <c r="AE60" t="s">
        <v>433</v>
      </c>
      <c r="AF60" t="s">
        <v>433</v>
      </c>
      <c r="AG60" t="s">
        <v>433</v>
      </c>
      <c r="AH60">
        <v>33.671494799999998</v>
      </c>
      <c r="AI60">
        <v>-117.86677160000001</v>
      </c>
      <c r="AJ60" t="s">
        <v>928</v>
      </c>
      <c r="AK60" t="s">
        <v>929</v>
      </c>
      <c r="AL60" t="s">
        <v>278</v>
      </c>
      <c r="AM60" t="s">
        <v>442</v>
      </c>
      <c r="AO60" t="s">
        <v>930</v>
      </c>
      <c r="AP60" t="s">
        <v>444</v>
      </c>
      <c r="AQ60">
        <v>-480</v>
      </c>
      <c r="AR60" t="s">
        <v>931</v>
      </c>
      <c r="AS60" t="s">
        <v>932</v>
      </c>
      <c r="AT60">
        <v>5</v>
      </c>
      <c r="AU60">
        <v>1</v>
      </c>
    </row>
    <row r="61" spans="1:50" ht="15.75" x14ac:dyDescent="0.25">
      <c r="A61">
        <v>607</v>
      </c>
      <c r="B61" t="s">
        <v>268</v>
      </c>
      <c r="F61" t="s">
        <v>256</v>
      </c>
      <c r="G61" t="s">
        <v>263</v>
      </c>
      <c r="H61" t="s">
        <v>258</v>
      </c>
      <c r="I61" t="s">
        <v>45</v>
      </c>
      <c r="J61" s="24" t="s">
        <v>259</v>
      </c>
      <c r="K61" t="s">
        <v>47</v>
      </c>
      <c r="L61" t="s">
        <v>269</v>
      </c>
      <c r="N61" t="s">
        <v>1496</v>
      </c>
      <c r="O61"/>
      <c r="P61"/>
      <c r="Q61"/>
      <c r="R61"/>
      <c r="S61" t="s">
        <v>432</v>
      </c>
      <c r="T61" t="s">
        <v>433</v>
      </c>
      <c r="X61" t="s">
        <v>933</v>
      </c>
      <c r="Y61" t="s">
        <v>934</v>
      </c>
      <c r="Z61" s="8" t="s">
        <v>935</v>
      </c>
      <c r="AA61" t="s">
        <v>437</v>
      </c>
      <c r="AB61" t="s">
        <v>936</v>
      </c>
      <c r="AC61" t="s">
        <v>937</v>
      </c>
      <c r="AD61" t="s">
        <v>433</v>
      </c>
      <c r="AE61" t="s">
        <v>433</v>
      </c>
      <c r="AF61" t="s">
        <v>433</v>
      </c>
      <c r="AG61" t="s">
        <v>433</v>
      </c>
      <c r="AH61">
        <v>33.670752100000001</v>
      </c>
      <c r="AI61">
        <v>-117.8660132</v>
      </c>
      <c r="AJ61" t="s">
        <v>938</v>
      </c>
      <c r="AK61" t="s">
        <v>939</v>
      </c>
      <c r="AL61" t="s">
        <v>282</v>
      </c>
      <c r="AM61" t="s">
        <v>442</v>
      </c>
      <c r="AO61" t="s">
        <v>940</v>
      </c>
      <c r="AP61" t="s">
        <v>444</v>
      </c>
      <c r="AQ61">
        <v>-480</v>
      </c>
      <c r="AR61" t="s">
        <v>941</v>
      </c>
      <c r="AS61" t="s">
        <v>942</v>
      </c>
      <c r="AU61" t="s">
        <v>65</v>
      </c>
    </row>
    <row r="62" spans="1:50" ht="15.75" x14ac:dyDescent="0.25">
      <c r="A62">
        <v>608</v>
      </c>
      <c r="B62" t="s">
        <v>270</v>
      </c>
      <c r="F62" t="s">
        <v>262</v>
      </c>
      <c r="G62" t="s">
        <v>263</v>
      </c>
      <c r="H62" t="s">
        <v>258</v>
      </c>
      <c r="I62" t="s">
        <v>45</v>
      </c>
      <c r="J62" s="24" t="s">
        <v>259</v>
      </c>
      <c r="K62" t="s">
        <v>47</v>
      </c>
      <c r="L62" t="s">
        <v>271</v>
      </c>
      <c r="N62" t="s">
        <v>1327</v>
      </c>
      <c r="O62" t="s">
        <v>1353</v>
      </c>
      <c r="P62" t="s">
        <v>1331</v>
      </c>
      <c r="Q62"/>
      <c r="R62"/>
      <c r="S62" t="s">
        <v>432</v>
      </c>
      <c r="T62" t="s">
        <v>433</v>
      </c>
      <c r="X62" t="s">
        <v>943</v>
      </c>
      <c r="Y62" t="s">
        <v>944</v>
      </c>
      <c r="Z62" s="8" t="s">
        <v>284</v>
      </c>
      <c r="AA62" t="s">
        <v>437</v>
      </c>
      <c r="AB62" t="s">
        <v>945</v>
      </c>
      <c r="AC62" t="s">
        <v>946</v>
      </c>
      <c r="AD62" t="s">
        <v>433</v>
      </c>
      <c r="AE62" t="s">
        <v>433</v>
      </c>
      <c r="AF62" t="s">
        <v>433</v>
      </c>
      <c r="AG62" t="s">
        <v>433</v>
      </c>
      <c r="AH62">
        <v>33.665552599999998</v>
      </c>
      <c r="AI62">
        <v>-117.8726473</v>
      </c>
      <c r="AJ62" t="s">
        <v>947</v>
      </c>
      <c r="AK62" t="s">
        <v>948</v>
      </c>
      <c r="AL62" t="s">
        <v>287</v>
      </c>
      <c r="AM62" t="s">
        <v>442</v>
      </c>
      <c r="AO62" t="s">
        <v>949</v>
      </c>
      <c r="AP62" t="s">
        <v>444</v>
      </c>
      <c r="AQ62">
        <v>-480</v>
      </c>
      <c r="AR62" t="s">
        <v>950</v>
      </c>
      <c r="AS62" t="s">
        <v>951</v>
      </c>
      <c r="AT62">
        <v>4.8</v>
      </c>
      <c r="AU62">
        <v>5</v>
      </c>
    </row>
    <row r="63" spans="1:50" x14ac:dyDescent="0.25">
      <c r="A63">
        <v>609</v>
      </c>
      <c r="B63" t="s">
        <v>272</v>
      </c>
      <c r="F63" s="12" t="s">
        <v>273</v>
      </c>
      <c r="H63" t="s">
        <v>258</v>
      </c>
      <c r="I63" t="s">
        <v>45</v>
      </c>
      <c r="J63" s="24" t="s">
        <v>259</v>
      </c>
      <c r="K63" t="s">
        <v>47</v>
      </c>
      <c r="L63" t="s">
        <v>274</v>
      </c>
      <c r="M63" s="20" t="s">
        <v>275</v>
      </c>
      <c r="N63" t="s">
        <v>1331</v>
      </c>
      <c r="O63" t="s">
        <v>1328</v>
      </c>
      <c r="P63"/>
      <c r="Q63"/>
      <c r="R63"/>
    </row>
    <row r="64" spans="1:50" ht="15.75" x14ac:dyDescent="0.25">
      <c r="A64">
        <v>611</v>
      </c>
      <c r="B64" t="s">
        <v>268</v>
      </c>
      <c r="F64" t="s">
        <v>280</v>
      </c>
      <c r="H64" t="s">
        <v>258</v>
      </c>
      <c r="I64" t="s">
        <v>45</v>
      </c>
      <c r="J64" s="24" t="s">
        <v>281</v>
      </c>
      <c r="K64" t="s">
        <v>47</v>
      </c>
      <c r="L64" t="s">
        <v>282</v>
      </c>
      <c r="M64" s="20" t="s">
        <v>283</v>
      </c>
      <c r="N64" t="s">
        <v>1490</v>
      </c>
      <c r="O64"/>
      <c r="P64"/>
      <c r="Q64"/>
      <c r="R64"/>
      <c r="S64" t="s">
        <v>432</v>
      </c>
      <c r="T64" t="s">
        <v>433</v>
      </c>
      <c r="X64" t="s">
        <v>933</v>
      </c>
      <c r="Y64" t="s">
        <v>934</v>
      </c>
      <c r="Z64" s="8" t="s">
        <v>935</v>
      </c>
      <c r="AA64" t="s">
        <v>437</v>
      </c>
      <c r="AB64" t="s">
        <v>936</v>
      </c>
      <c r="AC64" t="s">
        <v>937</v>
      </c>
      <c r="AD64" t="s">
        <v>433</v>
      </c>
      <c r="AE64" t="s">
        <v>433</v>
      </c>
      <c r="AF64" t="s">
        <v>433</v>
      </c>
      <c r="AG64" t="s">
        <v>433</v>
      </c>
      <c r="AH64">
        <v>33.670752100000001</v>
      </c>
      <c r="AI64">
        <v>-117.8660132</v>
      </c>
      <c r="AJ64" t="s">
        <v>938</v>
      </c>
      <c r="AK64" t="s">
        <v>939</v>
      </c>
      <c r="AL64" t="s">
        <v>282</v>
      </c>
      <c r="AM64" t="s">
        <v>442</v>
      </c>
      <c r="AO64" t="s">
        <v>940</v>
      </c>
      <c r="AP64" t="s">
        <v>444</v>
      </c>
      <c r="AQ64">
        <v>-480</v>
      </c>
      <c r="AR64" t="s">
        <v>941</v>
      </c>
      <c r="AS64" t="s">
        <v>942</v>
      </c>
      <c r="AU64" t="s">
        <v>65</v>
      </c>
    </row>
    <row r="65" spans="1:47" ht="15.75" x14ac:dyDescent="0.25">
      <c r="A65">
        <v>612</v>
      </c>
      <c r="B65" t="s">
        <v>284</v>
      </c>
      <c r="F65" t="s">
        <v>1312</v>
      </c>
      <c r="G65" t="s">
        <v>1313</v>
      </c>
      <c r="H65" t="s">
        <v>258</v>
      </c>
      <c r="I65" t="s">
        <v>45</v>
      </c>
      <c r="J65" s="24" t="s">
        <v>286</v>
      </c>
      <c r="K65" t="s">
        <v>47</v>
      </c>
      <c r="L65" t="s">
        <v>287</v>
      </c>
      <c r="M65" s="20" t="s">
        <v>288</v>
      </c>
      <c r="N65" t="s">
        <v>1490</v>
      </c>
      <c r="O65"/>
      <c r="P65"/>
      <c r="Q65"/>
      <c r="R65"/>
      <c r="S65" t="s">
        <v>432</v>
      </c>
      <c r="T65" t="s">
        <v>433</v>
      </c>
      <c r="X65" t="s">
        <v>943</v>
      </c>
      <c r="Y65" t="s">
        <v>944</v>
      </c>
      <c r="Z65" s="8" t="s">
        <v>284</v>
      </c>
      <c r="AA65" t="s">
        <v>437</v>
      </c>
      <c r="AB65" t="s">
        <v>945</v>
      </c>
      <c r="AC65" t="s">
        <v>946</v>
      </c>
      <c r="AD65" t="s">
        <v>433</v>
      </c>
      <c r="AE65" t="s">
        <v>433</v>
      </c>
      <c r="AF65" t="s">
        <v>433</v>
      </c>
      <c r="AG65" t="s">
        <v>433</v>
      </c>
      <c r="AH65">
        <v>33.665552599999998</v>
      </c>
      <c r="AI65">
        <v>-117.8726473</v>
      </c>
      <c r="AJ65" t="s">
        <v>947</v>
      </c>
      <c r="AK65" t="s">
        <v>948</v>
      </c>
      <c r="AL65" t="s">
        <v>287</v>
      </c>
      <c r="AM65" t="s">
        <v>442</v>
      </c>
      <c r="AO65" t="s">
        <v>949</v>
      </c>
      <c r="AP65" t="s">
        <v>444</v>
      </c>
      <c r="AQ65">
        <v>-480</v>
      </c>
      <c r="AR65" t="s">
        <v>950</v>
      </c>
      <c r="AS65" t="s">
        <v>951</v>
      </c>
      <c r="AT65">
        <v>4.8</v>
      </c>
      <c r="AU65">
        <v>5</v>
      </c>
    </row>
    <row r="66" spans="1:47" ht="15.75" x14ac:dyDescent="0.25">
      <c r="A66">
        <v>614</v>
      </c>
      <c r="B66" t="s">
        <v>289</v>
      </c>
      <c r="C66" t="s">
        <v>954</v>
      </c>
      <c r="F66" t="s">
        <v>290</v>
      </c>
      <c r="G66" t="s">
        <v>65</v>
      </c>
      <c r="H66" t="s">
        <v>249</v>
      </c>
      <c r="I66" t="s">
        <v>45</v>
      </c>
      <c r="J66" s="24">
        <v>92707</v>
      </c>
      <c r="K66" t="s">
        <v>47</v>
      </c>
      <c r="M66" s="18" t="s">
        <v>1314</v>
      </c>
      <c r="N66" t="s">
        <v>1490</v>
      </c>
      <c r="O66"/>
      <c r="P66"/>
      <c r="Q66"/>
      <c r="R66"/>
      <c r="S66" t="s">
        <v>432</v>
      </c>
      <c r="U66" t="s">
        <v>433</v>
      </c>
      <c r="X66" t="s">
        <v>952</v>
      </c>
      <c r="Y66" t="s">
        <v>953</v>
      </c>
      <c r="Z66" s="8" t="s">
        <v>954</v>
      </c>
      <c r="AA66" t="s">
        <v>437</v>
      </c>
      <c r="AB66" t="s">
        <v>955</v>
      </c>
      <c r="AC66" t="s">
        <v>956</v>
      </c>
      <c r="AD66" t="s">
        <v>433</v>
      </c>
      <c r="AE66" t="s">
        <v>433</v>
      </c>
      <c r="AF66" t="s">
        <v>433</v>
      </c>
      <c r="AG66" t="s">
        <v>433</v>
      </c>
      <c r="AH66">
        <v>33.674228599999999</v>
      </c>
      <c r="AI66">
        <v>-117.87282329999999</v>
      </c>
      <c r="AJ66" t="s">
        <v>957</v>
      </c>
      <c r="AK66" t="s">
        <v>958</v>
      </c>
      <c r="AL66" t="s">
        <v>959</v>
      </c>
      <c r="AM66" t="s">
        <v>442</v>
      </c>
      <c r="AO66" t="s">
        <v>960</v>
      </c>
      <c r="AP66" t="s">
        <v>467</v>
      </c>
      <c r="AQ66">
        <v>-480</v>
      </c>
      <c r="AR66" t="s">
        <v>961</v>
      </c>
      <c r="AS66" t="s">
        <v>962</v>
      </c>
      <c r="AT66">
        <v>4.8</v>
      </c>
      <c r="AU66">
        <v>5</v>
      </c>
    </row>
    <row r="67" spans="1:47" ht="15.75" x14ac:dyDescent="0.25">
      <c r="A67">
        <v>615</v>
      </c>
      <c r="B67" t="s">
        <v>291</v>
      </c>
      <c r="F67" t="s">
        <v>292</v>
      </c>
      <c r="G67" t="s">
        <v>65</v>
      </c>
      <c r="H67" t="s">
        <v>249</v>
      </c>
      <c r="I67" t="s">
        <v>45</v>
      </c>
      <c r="J67" s="24">
        <v>92707</v>
      </c>
      <c r="K67" t="s">
        <v>47</v>
      </c>
      <c r="N67" t="s">
        <v>1490</v>
      </c>
      <c r="O67"/>
      <c r="P67"/>
      <c r="Q67"/>
      <c r="R67"/>
      <c r="S67" t="s">
        <v>432</v>
      </c>
      <c r="U67" t="s">
        <v>433</v>
      </c>
      <c r="X67" t="s">
        <v>963</v>
      </c>
      <c r="Y67" t="s">
        <v>964</v>
      </c>
      <c r="Z67" s="8" t="s">
        <v>965</v>
      </c>
      <c r="AA67" t="s">
        <v>437</v>
      </c>
      <c r="AB67" t="s">
        <v>966</v>
      </c>
      <c r="AC67" t="s">
        <v>967</v>
      </c>
      <c r="AE67" t="s">
        <v>433</v>
      </c>
      <c r="AF67" t="s">
        <v>433</v>
      </c>
      <c r="AG67" t="s">
        <v>433</v>
      </c>
      <c r="AH67">
        <v>33.666092800000001</v>
      </c>
      <c r="AI67">
        <v>-117.8718956</v>
      </c>
      <c r="AJ67" t="s">
        <v>968</v>
      </c>
      <c r="AK67" t="s">
        <v>969</v>
      </c>
      <c r="AL67" t="s">
        <v>970</v>
      </c>
      <c r="AM67" t="s">
        <v>465</v>
      </c>
      <c r="AO67" t="s">
        <v>971</v>
      </c>
      <c r="AP67" t="s">
        <v>467</v>
      </c>
      <c r="AQ67">
        <v>-480</v>
      </c>
      <c r="AR67" t="s">
        <v>972</v>
      </c>
      <c r="AS67" t="s">
        <v>973</v>
      </c>
      <c r="AT67">
        <v>3.9</v>
      </c>
      <c r="AU67">
        <v>5</v>
      </c>
    </row>
    <row r="68" spans="1:47" ht="15.75" x14ac:dyDescent="0.25">
      <c r="A68">
        <v>617</v>
      </c>
      <c r="B68" t="s">
        <v>293</v>
      </c>
      <c r="F68" t="s">
        <v>294</v>
      </c>
      <c r="G68" t="s">
        <v>65</v>
      </c>
      <c r="H68" t="s">
        <v>258</v>
      </c>
      <c r="I68" t="s">
        <v>45</v>
      </c>
      <c r="J68" s="24">
        <v>92707</v>
      </c>
      <c r="K68" t="s">
        <v>47</v>
      </c>
      <c r="N68" t="s">
        <v>1327</v>
      </c>
      <c r="O68"/>
      <c r="P68"/>
      <c r="Q68"/>
      <c r="R68"/>
      <c r="S68" t="s">
        <v>432</v>
      </c>
      <c r="U68" t="s">
        <v>433</v>
      </c>
      <c r="X68" t="s">
        <v>974</v>
      </c>
      <c r="Y68" t="s">
        <v>975</v>
      </c>
      <c r="Z68" s="8" t="s">
        <v>976</v>
      </c>
      <c r="AA68" t="s">
        <v>437</v>
      </c>
      <c r="AB68" t="s">
        <v>977</v>
      </c>
      <c r="AC68" t="s">
        <v>978</v>
      </c>
      <c r="AE68" t="s">
        <v>433</v>
      </c>
      <c r="AF68" t="s">
        <v>433</v>
      </c>
      <c r="AG68" t="s">
        <v>433</v>
      </c>
      <c r="AH68">
        <v>33.6744828</v>
      </c>
      <c r="AI68">
        <v>-117.8724982</v>
      </c>
      <c r="AJ68" t="s">
        <v>979</v>
      </c>
      <c r="AK68" t="s">
        <v>980</v>
      </c>
      <c r="AL68" t="s">
        <v>981</v>
      </c>
      <c r="AM68" t="s">
        <v>442</v>
      </c>
      <c r="AO68" t="s">
        <v>982</v>
      </c>
      <c r="AP68" t="s">
        <v>444</v>
      </c>
      <c r="AQ68">
        <v>-480</v>
      </c>
      <c r="AR68" t="s">
        <v>983</v>
      </c>
      <c r="AS68" t="s">
        <v>984</v>
      </c>
      <c r="AT68">
        <v>3.2</v>
      </c>
      <c r="AU68">
        <v>5</v>
      </c>
    </row>
    <row r="69" spans="1:47" ht="15.75" x14ac:dyDescent="0.25">
      <c r="A69">
        <v>618</v>
      </c>
      <c r="B69" t="s">
        <v>291</v>
      </c>
      <c r="F69" t="s">
        <v>292</v>
      </c>
      <c r="G69" t="s">
        <v>65</v>
      </c>
      <c r="H69" t="s">
        <v>249</v>
      </c>
      <c r="I69" t="s">
        <v>45</v>
      </c>
      <c r="J69" s="24">
        <v>92707</v>
      </c>
      <c r="K69" t="s">
        <v>47</v>
      </c>
      <c r="N69" s="26" t="s">
        <v>1353</v>
      </c>
      <c r="O69" s="26"/>
      <c r="P69" s="26"/>
      <c r="Q69" s="26"/>
      <c r="R69" s="26"/>
      <c r="S69" t="s">
        <v>432</v>
      </c>
      <c r="U69" t="s">
        <v>433</v>
      </c>
      <c r="X69" t="s">
        <v>963</v>
      </c>
      <c r="Y69" t="s">
        <v>964</v>
      </c>
      <c r="Z69" s="8" t="s">
        <v>965</v>
      </c>
      <c r="AA69" t="s">
        <v>437</v>
      </c>
      <c r="AB69" t="s">
        <v>966</v>
      </c>
      <c r="AC69" t="s">
        <v>967</v>
      </c>
      <c r="AE69" t="s">
        <v>433</v>
      </c>
      <c r="AF69" t="s">
        <v>433</v>
      </c>
      <c r="AG69" t="s">
        <v>433</v>
      </c>
      <c r="AH69">
        <v>33.666092800000001</v>
      </c>
      <c r="AI69">
        <v>-117.8718956</v>
      </c>
      <c r="AJ69" t="s">
        <v>968</v>
      </c>
      <c r="AK69" t="s">
        <v>969</v>
      </c>
      <c r="AL69" t="s">
        <v>970</v>
      </c>
      <c r="AM69" t="s">
        <v>465</v>
      </c>
      <c r="AO69" t="s">
        <v>971</v>
      </c>
      <c r="AP69" t="s">
        <v>467</v>
      </c>
      <c r="AQ69">
        <v>-480</v>
      </c>
      <c r="AR69" t="s">
        <v>972</v>
      </c>
      <c r="AS69" t="s">
        <v>973</v>
      </c>
      <c r="AT69">
        <v>3.9</v>
      </c>
      <c r="AU69">
        <v>5</v>
      </c>
    </row>
    <row r="70" spans="1:47" ht="15.75" x14ac:dyDescent="0.25">
      <c r="A70">
        <v>619</v>
      </c>
      <c r="B70" t="s">
        <v>295</v>
      </c>
      <c r="F70" t="s">
        <v>296</v>
      </c>
      <c r="G70" t="s">
        <v>65</v>
      </c>
      <c r="H70" t="s">
        <v>297</v>
      </c>
      <c r="I70" t="s">
        <v>45</v>
      </c>
      <c r="J70" s="24">
        <v>90405</v>
      </c>
      <c r="K70" t="s">
        <v>47</v>
      </c>
      <c r="M70" s="20" t="s">
        <v>995</v>
      </c>
      <c r="N70" s="1" t="s">
        <v>1331</v>
      </c>
      <c r="O70" s="1" t="s">
        <v>1488</v>
      </c>
      <c r="P70" s="1"/>
      <c r="Q70" s="1"/>
      <c r="R70" s="1"/>
      <c r="S70" t="s">
        <v>432</v>
      </c>
      <c r="U70" t="s">
        <v>433</v>
      </c>
      <c r="X70" t="s">
        <v>985</v>
      </c>
      <c r="Y70" t="s">
        <v>986</v>
      </c>
      <c r="Z70" s="8" t="s">
        <v>987</v>
      </c>
      <c r="AA70" t="s">
        <v>437</v>
      </c>
      <c r="AB70" t="s">
        <v>988</v>
      </c>
      <c r="AC70" t="s">
        <v>989</v>
      </c>
      <c r="AD70" t="s">
        <v>433</v>
      </c>
      <c r="AE70" t="s">
        <v>433</v>
      </c>
      <c r="AF70" t="s">
        <v>433</v>
      </c>
      <c r="AG70" t="s">
        <v>433</v>
      </c>
      <c r="AH70">
        <v>34.012643099999998</v>
      </c>
      <c r="AI70">
        <v>-118.4522867</v>
      </c>
      <c r="AJ70" t="s">
        <v>990</v>
      </c>
      <c r="AK70" t="s">
        <v>991</v>
      </c>
      <c r="AL70" t="s">
        <v>992</v>
      </c>
      <c r="AM70" t="s">
        <v>442</v>
      </c>
      <c r="AO70" t="s">
        <v>993</v>
      </c>
      <c r="AP70" t="s">
        <v>444</v>
      </c>
      <c r="AQ70">
        <v>-480</v>
      </c>
      <c r="AR70" t="s">
        <v>994</v>
      </c>
      <c r="AS70" t="s">
        <v>995</v>
      </c>
      <c r="AT70">
        <v>5</v>
      </c>
      <c r="AU70">
        <v>4</v>
      </c>
    </row>
    <row r="71" spans="1:47" ht="15.75" x14ac:dyDescent="0.25">
      <c r="A71">
        <v>661</v>
      </c>
      <c r="B71" t="s">
        <v>345</v>
      </c>
      <c r="F71" t="s">
        <v>346</v>
      </c>
      <c r="H71" t="s">
        <v>305</v>
      </c>
      <c r="I71" t="s">
        <v>45</v>
      </c>
      <c r="J71" s="24" t="s">
        <v>306</v>
      </c>
      <c r="K71" t="s">
        <v>47</v>
      </c>
      <c r="L71" t="s">
        <v>347</v>
      </c>
      <c r="M71" s="20" t="s">
        <v>348</v>
      </c>
      <c r="N71" s="1" t="s">
        <v>1331</v>
      </c>
      <c r="O71" s="1" t="s">
        <v>1488</v>
      </c>
      <c r="P71" s="1"/>
      <c r="Q71" s="1"/>
      <c r="R71" s="1"/>
      <c r="S71" t="s">
        <v>432</v>
      </c>
      <c r="T71" t="s">
        <v>433</v>
      </c>
      <c r="X71" t="s">
        <v>1122</v>
      </c>
      <c r="Y71" t="s">
        <v>1123</v>
      </c>
      <c r="Z71" s="8" t="s">
        <v>1124</v>
      </c>
      <c r="AA71" t="s">
        <v>437</v>
      </c>
      <c r="AB71" t="s">
        <v>1125</v>
      </c>
      <c r="AC71" t="s">
        <v>1126</v>
      </c>
      <c r="AD71" t="s">
        <v>664</v>
      </c>
      <c r="AE71" t="s">
        <v>433</v>
      </c>
      <c r="AF71" t="s">
        <v>433</v>
      </c>
      <c r="AG71" t="s">
        <v>433</v>
      </c>
      <c r="AH71">
        <v>34.205508100000003</v>
      </c>
      <c r="AI71">
        <v>-118.4942037</v>
      </c>
      <c r="AJ71" t="s">
        <v>1127</v>
      </c>
      <c r="AK71" t="s">
        <v>1128</v>
      </c>
      <c r="AL71" t="s">
        <v>347</v>
      </c>
      <c r="AM71" t="s">
        <v>442</v>
      </c>
      <c r="AO71" t="s">
        <v>1129</v>
      </c>
      <c r="AP71" t="s">
        <v>444</v>
      </c>
      <c r="AQ71">
        <v>-480</v>
      </c>
      <c r="AR71" t="s">
        <v>1130</v>
      </c>
      <c r="AS71" t="s">
        <v>1131</v>
      </c>
      <c r="AT71">
        <v>5</v>
      </c>
      <c r="AU71">
        <v>2</v>
      </c>
    </row>
    <row r="72" spans="1:47" ht="15.75" x14ac:dyDescent="0.25">
      <c r="A72">
        <v>682</v>
      </c>
      <c r="B72" t="s">
        <v>402</v>
      </c>
      <c r="F72" t="s">
        <v>403</v>
      </c>
      <c r="G72" t="s">
        <v>65</v>
      </c>
      <c r="H72" t="s">
        <v>300</v>
      </c>
      <c r="I72" t="s">
        <v>45</v>
      </c>
      <c r="J72" s="24">
        <v>91406</v>
      </c>
      <c r="K72" t="s">
        <v>47</v>
      </c>
      <c r="N72" s="1" t="s">
        <v>1331</v>
      </c>
      <c r="O72" s="1" t="s">
        <v>1328</v>
      </c>
      <c r="P72" s="1"/>
      <c r="Q72" s="1"/>
      <c r="R72" s="1"/>
      <c r="S72" t="s">
        <v>432</v>
      </c>
      <c r="U72" t="s">
        <v>433</v>
      </c>
      <c r="X72" t="s">
        <v>1214</v>
      </c>
      <c r="Y72" t="s">
        <v>1191</v>
      </c>
      <c r="Z72" s="8" t="s">
        <v>1192</v>
      </c>
      <c r="AA72" t="s">
        <v>437</v>
      </c>
      <c r="AB72" t="s">
        <v>1193</v>
      </c>
      <c r="AC72" t="s">
        <v>1194</v>
      </c>
      <c r="AE72" t="s">
        <v>433</v>
      </c>
      <c r="AF72" t="s">
        <v>433</v>
      </c>
      <c r="AG72" t="s">
        <v>433</v>
      </c>
      <c r="AH72">
        <v>34.203666200000001</v>
      </c>
      <c r="AI72">
        <v>-118.4922816</v>
      </c>
      <c r="AJ72" t="s">
        <v>1195</v>
      </c>
      <c r="AK72" t="s">
        <v>1196</v>
      </c>
      <c r="AL72" t="s">
        <v>1197</v>
      </c>
      <c r="AM72" t="s">
        <v>442</v>
      </c>
      <c r="AO72" t="s">
        <v>1198</v>
      </c>
      <c r="AP72" t="s">
        <v>467</v>
      </c>
      <c r="AQ72">
        <v>-480</v>
      </c>
      <c r="AR72" t="s">
        <v>1199</v>
      </c>
      <c r="AS72" t="s">
        <v>1200</v>
      </c>
      <c r="AU72" t="s">
        <v>65</v>
      </c>
    </row>
    <row r="73" spans="1:47" ht="15.75" x14ac:dyDescent="0.25">
      <c r="A73">
        <v>688</v>
      </c>
      <c r="B73" t="s">
        <v>413</v>
      </c>
      <c r="F73" t="s">
        <v>414</v>
      </c>
      <c r="G73" t="s">
        <v>65</v>
      </c>
      <c r="H73" t="s">
        <v>300</v>
      </c>
      <c r="I73" t="s">
        <v>45</v>
      </c>
      <c r="J73" s="24">
        <v>91406</v>
      </c>
      <c r="K73" t="s">
        <v>47</v>
      </c>
      <c r="N73" s="1" t="s">
        <v>1331</v>
      </c>
      <c r="O73" s="1" t="s">
        <v>1328</v>
      </c>
      <c r="P73" s="1"/>
      <c r="Q73" s="1"/>
      <c r="R73" s="1"/>
      <c r="S73" t="s">
        <v>432</v>
      </c>
      <c r="U73" t="s">
        <v>433</v>
      </c>
      <c r="X73" t="s">
        <v>1247</v>
      </c>
      <c r="Y73" t="s">
        <v>1248</v>
      </c>
      <c r="Z73" s="8" t="s">
        <v>1249</v>
      </c>
      <c r="AA73" t="s">
        <v>437</v>
      </c>
      <c r="AB73" t="s">
        <v>1250</v>
      </c>
      <c r="AC73" t="s">
        <v>1251</v>
      </c>
      <c r="AD73" t="s">
        <v>433</v>
      </c>
      <c r="AE73" t="s">
        <v>433</v>
      </c>
      <c r="AF73" t="s">
        <v>433</v>
      </c>
      <c r="AG73" t="s">
        <v>433</v>
      </c>
      <c r="AH73">
        <v>34.195292500000001</v>
      </c>
      <c r="AI73">
        <v>-118.49263209999999</v>
      </c>
      <c r="AJ73" t="s">
        <v>1252</v>
      </c>
      <c r="AK73" t="s">
        <v>1253</v>
      </c>
      <c r="AL73" t="s">
        <v>1254</v>
      </c>
      <c r="AM73" t="s">
        <v>465</v>
      </c>
      <c r="AO73" t="s">
        <v>1255</v>
      </c>
      <c r="AP73" t="s">
        <v>1142</v>
      </c>
      <c r="AQ73">
        <v>-480</v>
      </c>
      <c r="AR73" t="s">
        <v>1256</v>
      </c>
      <c r="AS73" t="s">
        <v>1257</v>
      </c>
      <c r="AT73">
        <v>5</v>
      </c>
      <c r="AU73">
        <v>4</v>
      </c>
    </row>
    <row r="74" spans="1:47" ht="15.75" x14ac:dyDescent="0.25">
      <c r="A74">
        <v>662</v>
      </c>
      <c r="B74" s="12" t="s">
        <v>349</v>
      </c>
      <c r="F74" t="s">
        <v>350</v>
      </c>
      <c r="H74" t="s">
        <v>305</v>
      </c>
      <c r="I74" t="s">
        <v>45</v>
      </c>
      <c r="J74" s="24" t="s">
        <v>351</v>
      </c>
      <c r="K74" t="s">
        <v>47</v>
      </c>
      <c r="L74" t="s">
        <v>352</v>
      </c>
      <c r="M74" s="20" t="s">
        <v>353</v>
      </c>
      <c r="N74" s="1" t="s">
        <v>1331</v>
      </c>
      <c r="O74" s="1" t="s">
        <v>1328</v>
      </c>
      <c r="P74" s="1"/>
      <c r="Q74" s="1"/>
      <c r="R74" s="1"/>
      <c r="S74" t="s">
        <v>432</v>
      </c>
      <c r="T74" t="s">
        <v>433</v>
      </c>
      <c r="X74" t="s">
        <v>1132</v>
      </c>
      <c r="Y74" t="s">
        <v>1133</v>
      </c>
      <c r="Z74" s="8" t="s">
        <v>1134</v>
      </c>
      <c r="AA74" t="s">
        <v>437</v>
      </c>
      <c r="AB74" t="s">
        <v>1135</v>
      </c>
      <c r="AC74" t="s">
        <v>1136</v>
      </c>
      <c r="AD74" t="s">
        <v>664</v>
      </c>
      <c r="AE74" t="s">
        <v>433</v>
      </c>
      <c r="AF74" t="s">
        <v>433</v>
      </c>
      <c r="AG74" t="s">
        <v>433</v>
      </c>
      <c r="AH74">
        <v>34.208528200000003</v>
      </c>
      <c r="AI74">
        <v>-118.4921351</v>
      </c>
      <c r="AJ74" t="s">
        <v>1137</v>
      </c>
      <c r="AK74" t="s">
        <v>1138</v>
      </c>
      <c r="AL74" t="s">
        <v>352</v>
      </c>
      <c r="AM74" t="s">
        <v>442</v>
      </c>
      <c r="AO74" t="s">
        <v>1061</v>
      </c>
      <c r="AP74" t="s">
        <v>444</v>
      </c>
      <c r="AQ74">
        <v>-480</v>
      </c>
      <c r="AR74" t="s">
        <v>1139</v>
      </c>
      <c r="AS74" t="s">
        <v>1140</v>
      </c>
      <c r="AT74">
        <v>5</v>
      </c>
      <c r="AU74">
        <v>1</v>
      </c>
    </row>
    <row r="75" spans="1:47" ht="15.75" x14ac:dyDescent="0.25">
      <c r="A75">
        <v>663</v>
      </c>
      <c r="B75" t="s">
        <v>354</v>
      </c>
      <c r="F75" t="s">
        <v>355</v>
      </c>
      <c r="H75" t="s">
        <v>305</v>
      </c>
      <c r="I75" t="s">
        <v>45</v>
      </c>
      <c r="J75" s="24" t="s">
        <v>356</v>
      </c>
      <c r="K75" t="s">
        <v>47</v>
      </c>
      <c r="L75" t="s">
        <v>357</v>
      </c>
      <c r="M75" s="20" t="s">
        <v>358</v>
      </c>
      <c r="N75" s="1" t="s">
        <v>1331</v>
      </c>
      <c r="O75" s="1" t="s">
        <v>1328</v>
      </c>
      <c r="P75" s="1"/>
      <c r="Q75" s="1"/>
      <c r="R75" s="1"/>
      <c r="S75" t="s">
        <v>432</v>
      </c>
      <c r="T75" t="s">
        <v>433</v>
      </c>
      <c r="X75" t="s">
        <v>1007</v>
      </c>
      <c r="Y75" t="s">
        <v>1008</v>
      </c>
      <c r="Z75" s="8" t="s">
        <v>1009</v>
      </c>
      <c r="AA75" t="s">
        <v>437</v>
      </c>
      <c r="AB75" t="s">
        <v>1010</v>
      </c>
      <c r="AC75" t="s">
        <v>1011</v>
      </c>
      <c r="AD75" t="s">
        <v>433</v>
      </c>
      <c r="AE75" t="s">
        <v>433</v>
      </c>
      <c r="AF75" t="s">
        <v>433</v>
      </c>
      <c r="AG75" t="s">
        <v>433</v>
      </c>
      <c r="AH75">
        <v>34.20003779999999</v>
      </c>
      <c r="AI75">
        <v>-118.49208400000001</v>
      </c>
      <c r="AJ75" t="s">
        <v>1012</v>
      </c>
      <c r="AK75" t="s">
        <v>1013</v>
      </c>
      <c r="AL75" t="s">
        <v>357</v>
      </c>
      <c r="AM75" t="s">
        <v>442</v>
      </c>
      <c r="AO75" t="s">
        <v>1014</v>
      </c>
      <c r="AP75" t="s">
        <v>444</v>
      </c>
      <c r="AQ75">
        <v>-480</v>
      </c>
      <c r="AR75" t="s">
        <v>1015</v>
      </c>
      <c r="AS75" t="s">
        <v>1016</v>
      </c>
      <c r="AU75" t="s">
        <v>65</v>
      </c>
    </row>
    <row r="76" spans="1:47" ht="15.75" x14ac:dyDescent="0.25">
      <c r="A76">
        <v>646</v>
      </c>
      <c r="B76" t="s">
        <v>302</v>
      </c>
      <c r="F76" t="s">
        <v>303</v>
      </c>
      <c r="G76" t="s">
        <v>304</v>
      </c>
      <c r="H76" t="s">
        <v>305</v>
      </c>
      <c r="I76" t="s">
        <v>45</v>
      </c>
      <c r="J76" s="24">
        <v>91406</v>
      </c>
      <c r="K76" t="s">
        <v>47</v>
      </c>
      <c r="L76" t="s">
        <v>307</v>
      </c>
      <c r="N76" s="1" t="s">
        <v>1490</v>
      </c>
      <c r="O76" s="1"/>
      <c r="P76" s="1"/>
      <c r="Q76" s="1"/>
      <c r="R76" s="1"/>
      <c r="S76" t="s">
        <v>432</v>
      </c>
      <c r="T76" t="s">
        <v>433</v>
      </c>
      <c r="X76" t="s">
        <v>1007</v>
      </c>
      <c r="Y76" t="s">
        <v>1008</v>
      </c>
      <c r="Z76" s="8" t="s">
        <v>1009</v>
      </c>
      <c r="AA76" t="s">
        <v>437</v>
      </c>
      <c r="AB76" t="s">
        <v>1010</v>
      </c>
      <c r="AC76" t="s">
        <v>1011</v>
      </c>
      <c r="AD76" t="s">
        <v>433</v>
      </c>
      <c r="AE76" t="s">
        <v>433</v>
      </c>
      <c r="AF76" t="s">
        <v>433</v>
      </c>
      <c r="AG76" t="s">
        <v>433</v>
      </c>
      <c r="AH76">
        <v>34.20003779999999</v>
      </c>
      <c r="AI76">
        <v>-118.49208400000001</v>
      </c>
      <c r="AJ76" t="s">
        <v>1012</v>
      </c>
      <c r="AK76" t="s">
        <v>1013</v>
      </c>
      <c r="AL76" t="s">
        <v>357</v>
      </c>
      <c r="AM76" t="s">
        <v>442</v>
      </c>
      <c r="AO76" t="s">
        <v>1014</v>
      </c>
      <c r="AP76" t="s">
        <v>444</v>
      </c>
      <c r="AQ76">
        <v>-480</v>
      </c>
      <c r="AR76" t="s">
        <v>1015</v>
      </c>
      <c r="AS76" t="s">
        <v>1016</v>
      </c>
      <c r="AU76" t="s">
        <v>65</v>
      </c>
    </row>
    <row r="77" spans="1:47" ht="15.75" x14ac:dyDescent="0.25">
      <c r="A77">
        <v>664</v>
      </c>
      <c r="B77" t="s">
        <v>359</v>
      </c>
      <c r="F77" t="s">
        <v>360</v>
      </c>
      <c r="H77" t="s">
        <v>305</v>
      </c>
      <c r="I77" t="s">
        <v>45</v>
      </c>
      <c r="J77" s="24" t="s">
        <v>361</v>
      </c>
      <c r="K77" t="s">
        <v>47</v>
      </c>
      <c r="L77" t="s">
        <v>362</v>
      </c>
      <c r="M77" s="20" t="s">
        <v>363</v>
      </c>
      <c r="N77" s="1" t="s">
        <v>1490</v>
      </c>
      <c r="O77" s="1"/>
      <c r="P77" s="1"/>
      <c r="Q77" s="1"/>
      <c r="R77" s="1"/>
      <c r="S77" t="s">
        <v>432</v>
      </c>
      <c r="T77" t="s">
        <v>433</v>
      </c>
      <c r="X77" t="s">
        <v>1017</v>
      </c>
      <c r="Y77" t="s">
        <v>1018</v>
      </c>
      <c r="Z77" s="8" t="s">
        <v>1019</v>
      </c>
      <c r="AA77" t="s">
        <v>437</v>
      </c>
      <c r="AB77" t="s">
        <v>1020</v>
      </c>
      <c r="AC77" t="s">
        <v>1021</v>
      </c>
      <c r="AD77" t="s">
        <v>433</v>
      </c>
      <c r="AE77" t="s">
        <v>433</v>
      </c>
      <c r="AF77" t="s">
        <v>433</v>
      </c>
      <c r="AG77" t="s">
        <v>433</v>
      </c>
      <c r="AH77">
        <v>34.205997900000007</v>
      </c>
      <c r="AI77">
        <v>-118.4864597</v>
      </c>
      <c r="AJ77" t="s">
        <v>1022</v>
      </c>
      <c r="AK77" t="s">
        <v>1023</v>
      </c>
      <c r="AL77" t="s">
        <v>362</v>
      </c>
      <c r="AM77" t="s">
        <v>442</v>
      </c>
      <c r="AO77" t="s">
        <v>1024</v>
      </c>
      <c r="AP77" t="s">
        <v>467</v>
      </c>
      <c r="AQ77">
        <v>-480</v>
      </c>
      <c r="AR77" t="s">
        <v>1025</v>
      </c>
      <c r="AS77" t="s">
        <v>1026</v>
      </c>
      <c r="AT77">
        <v>3.9</v>
      </c>
      <c r="AU77">
        <v>5</v>
      </c>
    </row>
    <row r="78" spans="1:47" ht="15.75" x14ac:dyDescent="0.25">
      <c r="A78">
        <v>648</v>
      </c>
      <c r="B78" t="s">
        <v>179</v>
      </c>
      <c r="F78" t="s">
        <v>309</v>
      </c>
      <c r="H78" t="s">
        <v>305</v>
      </c>
      <c r="I78" t="s">
        <v>45</v>
      </c>
      <c r="J78" s="24" t="s">
        <v>306</v>
      </c>
      <c r="K78" t="s">
        <v>47</v>
      </c>
      <c r="L78" t="s">
        <v>310</v>
      </c>
      <c r="N78" s="1" t="s">
        <v>1353</v>
      </c>
      <c r="O78" s="1"/>
      <c r="P78" s="1"/>
      <c r="Q78" s="1"/>
      <c r="R78" s="1"/>
      <c r="S78" t="s">
        <v>432</v>
      </c>
      <c r="T78" t="s">
        <v>433</v>
      </c>
      <c r="X78" t="s">
        <v>1017</v>
      </c>
      <c r="Y78" t="s">
        <v>1018</v>
      </c>
      <c r="Z78" s="8" t="s">
        <v>1019</v>
      </c>
      <c r="AA78" t="s">
        <v>437</v>
      </c>
      <c r="AB78" t="s">
        <v>1020</v>
      </c>
      <c r="AC78" t="s">
        <v>1021</v>
      </c>
      <c r="AD78" t="s">
        <v>433</v>
      </c>
      <c r="AE78" t="s">
        <v>433</v>
      </c>
      <c r="AF78" t="s">
        <v>433</v>
      </c>
      <c r="AG78" t="s">
        <v>433</v>
      </c>
      <c r="AH78">
        <v>34.205997900000007</v>
      </c>
      <c r="AI78">
        <v>-118.4864597</v>
      </c>
      <c r="AJ78" t="s">
        <v>1022</v>
      </c>
      <c r="AK78" t="s">
        <v>1023</v>
      </c>
      <c r="AL78" t="s">
        <v>362</v>
      </c>
      <c r="AM78" t="s">
        <v>442</v>
      </c>
      <c r="AO78" t="s">
        <v>1024</v>
      </c>
      <c r="AP78" t="s">
        <v>467</v>
      </c>
      <c r="AQ78">
        <v>-480</v>
      </c>
      <c r="AR78" t="s">
        <v>1025</v>
      </c>
      <c r="AS78" t="s">
        <v>1026</v>
      </c>
      <c r="AT78">
        <v>3.9</v>
      </c>
      <c r="AU78">
        <v>5</v>
      </c>
    </row>
    <row r="79" spans="1:47" ht="15.75" x14ac:dyDescent="0.25">
      <c r="A79">
        <v>649</v>
      </c>
      <c r="B79" t="s">
        <v>311</v>
      </c>
      <c r="F79" t="s">
        <v>312</v>
      </c>
      <c r="G79" t="s">
        <v>94</v>
      </c>
      <c r="H79" t="s">
        <v>305</v>
      </c>
      <c r="I79" t="s">
        <v>45</v>
      </c>
      <c r="J79" s="24" t="s">
        <v>306</v>
      </c>
      <c r="K79" t="s">
        <v>47</v>
      </c>
      <c r="L79" t="s">
        <v>313</v>
      </c>
      <c r="N79" s="1" t="s">
        <v>1353</v>
      </c>
      <c r="O79" s="1"/>
      <c r="P79" s="1"/>
      <c r="Q79" s="1"/>
      <c r="R79" s="1"/>
      <c r="S79" t="s">
        <v>432</v>
      </c>
      <c r="T79" t="s">
        <v>433</v>
      </c>
      <c r="X79" t="s">
        <v>1027</v>
      </c>
      <c r="Y79" t="s">
        <v>1028</v>
      </c>
      <c r="Z79" s="8" t="s">
        <v>311</v>
      </c>
      <c r="AA79" t="s">
        <v>437</v>
      </c>
      <c r="AB79" t="s">
        <v>1029</v>
      </c>
      <c r="AC79" t="s">
        <v>1030</v>
      </c>
      <c r="AD79" t="s">
        <v>433</v>
      </c>
      <c r="AE79" t="s">
        <v>433</v>
      </c>
      <c r="AF79" t="s">
        <v>433</v>
      </c>
      <c r="AG79" t="s">
        <v>433</v>
      </c>
      <c r="AH79">
        <v>34.201490000000007</v>
      </c>
      <c r="AI79">
        <v>-118.49177899999999</v>
      </c>
      <c r="AJ79" t="s">
        <v>1031</v>
      </c>
      <c r="AK79" t="s">
        <v>1032</v>
      </c>
      <c r="AL79" t="s">
        <v>365</v>
      </c>
      <c r="AM79" t="s">
        <v>442</v>
      </c>
      <c r="AO79" t="s">
        <v>1033</v>
      </c>
      <c r="AP79" t="s">
        <v>444</v>
      </c>
      <c r="AQ79">
        <v>-480</v>
      </c>
      <c r="AR79" t="s">
        <v>1034</v>
      </c>
      <c r="AS79" t="s">
        <v>366</v>
      </c>
      <c r="AT79">
        <v>5</v>
      </c>
      <c r="AU79">
        <v>2</v>
      </c>
    </row>
    <row r="80" spans="1:47" ht="15.75" x14ac:dyDescent="0.25">
      <c r="A80">
        <v>665</v>
      </c>
      <c r="B80" t="s">
        <v>311</v>
      </c>
      <c r="F80" t="s">
        <v>364</v>
      </c>
      <c r="H80" t="s">
        <v>305</v>
      </c>
      <c r="I80" t="s">
        <v>45</v>
      </c>
      <c r="J80" s="24" t="s">
        <v>306</v>
      </c>
      <c r="K80" t="s">
        <v>47</v>
      </c>
      <c r="L80" t="s">
        <v>365</v>
      </c>
      <c r="M80" s="20" t="s">
        <v>366</v>
      </c>
      <c r="N80" s="1" t="s">
        <v>1353</v>
      </c>
      <c r="O80" s="1"/>
      <c r="P80" s="1"/>
      <c r="Q80" s="1"/>
      <c r="R80" s="1"/>
      <c r="S80" t="s">
        <v>432</v>
      </c>
      <c r="T80" t="s">
        <v>433</v>
      </c>
      <c r="X80" t="s">
        <v>1027</v>
      </c>
      <c r="Y80" t="s">
        <v>1028</v>
      </c>
      <c r="Z80" s="8" t="s">
        <v>311</v>
      </c>
      <c r="AA80" t="s">
        <v>437</v>
      </c>
      <c r="AB80" t="s">
        <v>1029</v>
      </c>
      <c r="AC80" t="s">
        <v>1030</v>
      </c>
      <c r="AD80" t="s">
        <v>664</v>
      </c>
      <c r="AE80" t="s">
        <v>433</v>
      </c>
      <c r="AF80" t="s">
        <v>433</v>
      </c>
      <c r="AG80" t="s">
        <v>433</v>
      </c>
      <c r="AH80">
        <v>34.201490000000007</v>
      </c>
      <c r="AI80">
        <v>-118.49177899999999</v>
      </c>
      <c r="AJ80" t="s">
        <v>1031</v>
      </c>
      <c r="AK80" t="s">
        <v>1032</v>
      </c>
      <c r="AL80" t="s">
        <v>365</v>
      </c>
      <c r="AM80" t="s">
        <v>442</v>
      </c>
      <c r="AO80" t="s">
        <v>1033</v>
      </c>
      <c r="AP80" t="s">
        <v>444</v>
      </c>
      <c r="AQ80">
        <v>-480</v>
      </c>
      <c r="AR80" t="s">
        <v>1034</v>
      </c>
      <c r="AS80" t="s">
        <v>366</v>
      </c>
      <c r="AT80">
        <v>5</v>
      </c>
      <c r="AU80">
        <v>2</v>
      </c>
    </row>
    <row r="81" spans="1:47" ht="15.75" x14ac:dyDescent="0.25">
      <c r="A81">
        <v>697</v>
      </c>
      <c r="B81" t="s">
        <v>430</v>
      </c>
      <c r="F81" t="s">
        <v>431</v>
      </c>
      <c r="G81" t="s">
        <v>65</v>
      </c>
      <c r="H81" t="s">
        <v>300</v>
      </c>
      <c r="I81" t="s">
        <v>45</v>
      </c>
      <c r="J81" s="24">
        <v>91406</v>
      </c>
      <c r="K81" t="s">
        <v>47</v>
      </c>
      <c r="N81" s="1" t="s">
        <v>1353</v>
      </c>
      <c r="O81" s="1"/>
      <c r="P81" s="1"/>
      <c r="Q81" s="1"/>
      <c r="R81" s="1"/>
      <c r="S81" t="s">
        <v>432</v>
      </c>
      <c r="U81" t="s">
        <v>433</v>
      </c>
      <c r="X81" t="s">
        <v>1290</v>
      </c>
      <c r="Y81" t="s">
        <v>1291</v>
      </c>
      <c r="Z81" s="8" t="s">
        <v>1292</v>
      </c>
      <c r="AA81" t="s">
        <v>437</v>
      </c>
      <c r="AB81" t="s">
        <v>1293</v>
      </c>
      <c r="AC81" t="s">
        <v>1294</v>
      </c>
      <c r="AD81" t="s">
        <v>433</v>
      </c>
      <c r="AE81" t="s">
        <v>433</v>
      </c>
      <c r="AF81" t="s">
        <v>433</v>
      </c>
      <c r="AG81" t="s">
        <v>433</v>
      </c>
      <c r="AH81">
        <v>34.2158011</v>
      </c>
      <c r="AI81">
        <v>-118.4842428</v>
      </c>
      <c r="AJ81" t="s">
        <v>1295</v>
      </c>
      <c r="AK81" t="s">
        <v>1296</v>
      </c>
      <c r="AL81" t="s">
        <v>1297</v>
      </c>
      <c r="AM81" t="s">
        <v>442</v>
      </c>
      <c r="AO81" t="s">
        <v>1298</v>
      </c>
      <c r="AP81" t="s">
        <v>444</v>
      </c>
      <c r="AQ81">
        <v>-480</v>
      </c>
      <c r="AR81" t="s">
        <v>1299</v>
      </c>
      <c r="AS81" t="s">
        <v>1300</v>
      </c>
      <c r="AT81">
        <v>5</v>
      </c>
      <c r="AU81">
        <v>1</v>
      </c>
    </row>
    <row r="82" spans="1:47" ht="15.75" x14ac:dyDescent="0.25">
      <c r="A82">
        <v>666</v>
      </c>
      <c r="B82" t="s">
        <v>367</v>
      </c>
      <c r="F82" t="s">
        <v>368</v>
      </c>
      <c r="H82" t="s">
        <v>305</v>
      </c>
      <c r="I82" t="s">
        <v>45</v>
      </c>
      <c r="J82" s="24" t="s">
        <v>306</v>
      </c>
      <c r="K82" t="s">
        <v>47</v>
      </c>
      <c r="L82" t="s">
        <v>369</v>
      </c>
      <c r="N82" s="1" t="s">
        <v>1353</v>
      </c>
      <c r="O82" s="1"/>
      <c r="P82" s="1"/>
      <c r="Q82" s="1"/>
      <c r="R82" s="1"/>
      <c r="S82" t="s">
        <v>432</v>
      </c>
      <c r="T82" t="s">
        <v>433</v>
      </c>
      <c r="X82" t="s">
        <v>1141</v>
      </c>
      <c r="Y82" t="s">
        <v>1143</v>
      </c>
      <c r="Z82" s="8" t="s">
        <v>1144</v>
      </c>
      <c r="AA82" t="s">
        <v>437</v>
      </c>
      <c r="AB82" t="s">
        <v>1145</v>
      </c>
      <c r="AC82" t="s">
        <v>1146</v>
      </c>
      <c r="AD82" t="s">
        <v>433</v>
      </c>
      <c r="AE82" t="s">
        <v>433</v>
      </c>
      <c r="AF82" t="s">
        <v>433</v>
      </c>
      <c r="AG82" t="s">
        <v>433</v>
      </c>
      <c r="AH82">
        <v>34.208191800000009</v>
      </c>
      <c r="AI82">
        <v>-118.48447779999999</v>
      </c>
      <c r="AJ82" t="s">
        <v>1147</v>
      </c>
      <c r="AK82" t="s">
        <v>1148</v>
      </c>
      <c r="AL82" t="s">
        <v>369</v>
      </c>
      <c r="AM82" t="s">
        <v>465</v>
      </c>
      <c r="AO82" t="s">
        <v>1149</v>
      </c>
      <c r="AP82" t="s">
        <v>1142</v>
      </c>
      <c r="AQ82">
        <v>-480</v>
      </c>
      <c r="AR82" t="s">
        <v>1150</v>
      </c>
      <c r="AS82" t="s">
        <v>1151</v>
      </c>
      <c r="AT82">
        <v>5</v>
      </c>
      <c r="AU82">
        <v>2</v>
      </c>
    </row>
    <row r="83" spans="1:47" ht="15.75" x14ac:dyDescent="0.25">
      <c r="A83">
        <v>681</v>
      </c>
      <c r="B83" t="s">
        <v>401</v>
      </c>
      <c r="F83" t="s">
        <v>368</v>
      </c>
      <c r="G83" t="s">
        <v>65</v>
      </c>
      <c r="H83" t="s">
        <v>305</v>
      </c>
      <c r="I83" t="s">
        <v>45</v>
      </c>
      <c r="J83" s="24">
        <v>91406</v>
      </c>
      <c r="K83" t="s">
        <v>47</v>
      </c>
      <c r="N83" s="1" t="s">
        <v>1491</v>
      </c>
      <c r="O83" s="1"/>
      <c r="P83" s="1"/>
      <c r="Q83" s="1"/>
      <c r="R83" s="1"/>
      <c r="S83" t="s">
        <v>432</v>
      </c>
      <c r="U83" t="s">
        <v>433</v>
      </c>
      <c r="X83" t="s">
        <v>1211</v>
      </c>
      <c r="Y83" t="s">
        <v>1212</v>
      </c>
      <c r="Z83" s="8" t="s">
        <v>1144</v>
      </c>
      <c r="AA83" t="s">
        <v>437</v>
      </c>
      <c r="AB83" t="s">
        <v>1145</v>
      </c>
      <c r="AC83" t="s">
        <v>1213</v>
      </c>
      <c r="AD83" t="s">
        <v>433</v>
      </c>
      <c r="AE83" t="s">
        <v>433</v>
      </c>
      <c r="AF83" t="s">
        <v>433</v>
      </c>
      <c r="AG83" t="s">
        <v>433</v>
      </c>
      <c r="AH83">
        <v>34.208191800000002</v>
      </c>
      <c r="AI83">
        <v>-118.48447779999999</v>
      </c>
      <c r="AJ83" t="s">
        <v>1147</v>
      </c>
      <c r="AK83" t="s">
        <v>1148</v>
      </c>
      <c r="AL83" t="s">
        <v>369</v>
      </c>
      <c r="AM83" t="s">
        <v>465</v>
      </c>
      <c r="AO83" t="s">
        <v>1149</v>
      </c>
      <c r="AP83" t="s">
        <v>1142</v>
      </c>
      <c r="AQ83">
        <v>-480</v>
      </c>
      <c r="AR83" t="s">
        <v>1150</v>
      </c>
      <c r="AS83" t="s">
        <v>1151</v>
      </c>
      <c r="AT83">
        <v>5</v>
      </c>
      <c r="AU83">
        <v>2</v>
      </c>
    </row>
    <row r="84" spans="1:47" ht="15.75" x14ac:dyDescent="0.25">
      <c r="A84">
        <v>650</v>
      </c>
      <c r="B84" t="s">
        <v>314</v>
      </c>
      <c r="F84" t="s">
        <v>315</v>
      </c>
      <c r="G84" t="s">
        <v>316</v>
      </c>
      <c r="H84" t="s">
        <v>305</v>
      </c>
      <c r="I84" t="s">
        <v>45</v>
      </c>
      <c r="J84" s="24" t="s">
        <v>306</v>
      </c>
      <c r="K84" t="s">
        <v>47</v>
      </c>
      <c r="N84" s="1" t="s">
        <v>1353</v>
      </c>
      <c r="O84" s="1"/>
      <c r="P84" s="1"/>
      <c r="Q84" s="1"/>
      <c r="R84" s="1"/>
      <c r="S84" t="s">
        <v>432</v>
      </c>
      <c r="U84" t="s">
        <v>433</v>
      </c>
      <c r="X84" t="s">
        <v>1035</v>
      </c>
      <c r="Y84" t="s">
        <v>1036</v>
      </c>
      <c r="Z84" s="8" t="s">
        <v>1037</v>
      </c>
      <c r="AA84" t="s">
        <v>437</v>
      </c>
      <c r="AB84" t="s">
        <v>1038</v>
      </c>
      <c r="AC84" t="s">
        <v>1039</v>
      </c>
      <c r="AD84" t="s">
        <v>664</v>
      </c>
      <c r="AE84" t="s">
        <v>433</v>
      </c>
      <c r="AF84" t="s">
        <v>433</v>
      </c>
      <c r="AG84" t="s">
        <v>433</v>
      </c>
      <c r="AH84">
        <v>34.206030599999998</v>
      </c>
      <c r="AI84">
        <v>-118.4927402</v>
      </c>
      <c r="AJ84" t="s">
        <v>1040</v>
      </c>
      <c r="AK84" t="s">
        <v>1041</v>
      </c>
      <c r="AL84" t="s">
        <v>1042</v>
      </c>
      <c r="AM84" t="s">
        <v>442</v>
      </c>
      <c r="AO84" t="s">
        <v>1043</v>
      </c>
      <c r="AP84" t="s">
        <v>444</v>
      </c>
      <c r="AQ84">
        <v>-480</v>
      </c>
      <c r="AR84" t="s">
        <v>1044</v>
      </c>
      <c r="AS84" t="s">
        <v>1045</v>
      </c>
      <c r="AT84">
        <v>5</v>
      </c>
      <c r="AU84">
        <v>1</v>
      </c>
    </row>
    <row r="85" spans="1:47" ht="15.75" x14ac:dyDescent="0.25">
      <c r="A85">
        <v>686</v>
      </c>
      <c r="B85" t="s">
        <v>409</v>
      </c>
      <c r="F85" t="s">
        <v>410</v>
      </c>
      <c r="G85" t="s">
        <v>65</v>
      </c>
      <c r="H85" t="s">
        <v>300</v>
      </c>
      <c r="I85" t="s">
        <v>45</v>
      </c>
      <c r="J85" s="24">
        <v>91406</v>
      </c>
      <c r="K85" t="s">
        <v>47</v>
      </c>
      <c r="N85" s="27" t="s">
        <v>1353</v>
      </c>
      <c r="O85" s="27"/>
      <c r="P85" s="27"/>
      <c r="Q85" s="27"/>
      <c r="R85" s="27"/>
      <c r="S85" t="s">
        <v>432</v>
      </c>
      <c r="U85" t="s">
        <v>433</v>
      </c>
      <c r="X85" t="s">
        <v>1226</v>
      </c>
      <c r="Y85" t="s">
        <v>1228</v>
      </c>
      <c r="Z85" s="8" t="s">
        <v>1229</v>
      </c>
      <c r="AA85" t="s">
        <v>437</v>
      </c>
      <c r="AB85" t="s">
        <v>1230</v>
      </c>
      <c r="AC85" t="s">
        <v>1231</v>
      </c>
      <c r="AD85" t="s">
        <v>433</v>
      </c>
      <c r="AE85" t="s">
        <v>433</v>
      </c>
      <c r="AF85" t="s">
        <v>433</v>
      </c>
      <c r="AG85" t="s">
        <v>433</v>
      </c>
      <c r="AH85">
        <v>34.215257000000001</v>
      </c>
      <c r="AI85">
        <v>-118.487668</v>
      </c>
      <c r="AJ85" t="s">
        <v>1232</v>
      </c>
      <c r="AK85" t="s">
        <v>1233</v>
      </c>
      <c r="AL85" t="s">
        <v>1053</v>
      </c>
      <c r="AM85" t="s">
        <v>442</v>
      </c>
      <c r="AO85" t="s">
        <v>1054</v>
      </c>
      <c r="AP85" t="s">
        <v>1227</v>
      </c>
      <c r="AQ85">
        <v>-480</v>
      </c>
      <c r="AR85" t="s">
        <v>1055</v>
      </c>
      <c r="AS85" t="s">
        <v>1234</v>
      </c>
      <c r="AT85">
        <v>4.0999999999999996</v>
      </c>
      <c r="AU85">
        <v>5</v>
      </c>
    </row>
    <row r="86" spans="1:47" ht="15.75" x14ac:dyDescent="0.25">
      <c r="A86">
        <v>651</v>
      </c>
      <c r="B86" s="12" t="s">
        <v>317</v>
      </c>
      <c r="F86" t="s">
        <v>318</v>
      </c>
      <c r="H86" t="s">
        <v>305</v>
      </c>
      <c r="I86" t="s">
        <v>45</v>
      </c>
      <c r="J86" s="24" t="s">
        <v>306</v>
      </c>
      <c r="K86" t="s">
        <v>47</v>
      </c>
      <c r="L86" t="s">
        <v>319</v>
      </c>
      <c r="N86" s="27" t="s">
        <v>1353</v>
      </c>
      <c r="O86" s="27"/>
      <c r="P86" s="27"/>
      <c r="Q86" s="27"/>
      <c r="R86" s="27"/>
      <c r="S86" t="s">
        <v>432</v>
      </c>
      <c r="T86" t="s">
        <v>433</v>
      </c>
      <c r="X86" t="s">
        <v>1046</v>
      </c>
      <c r="Y86" t="s">
        <v>1047</v>
      </c>
      <c r="Z86" s="9" t="s">
        <v>1048</v>
      </c>
      <c r="AA86" t="s">
        <v>437</v>
      </c>
      <c r="AB86" t="s">
        <v>1049</v>
      </c>
      <c r="AC86" t="s">
        <v>1050</v>
      </c>
      <c r="AD86" t="s">
        <v>433</v>
      </c>
      <c r="AE86" t="s">
        <v>433</v>
      </c>
      <c r="AF86" t="s">
        <v>433</v>
      </c>
      <c r="AG86" t="s">
        <v>433</v>
      </c>
      <c r="AH86">
        <v>34.215312900000001</v>
      </c>
      <c r="AI86">
        <v>-118.487628</v>
      </c>
      <c r="AJ86" t="s">
        <v>1051</v>
      </c>
      <c r="AK86" t="s">
        <v>1052</v>
      </c>
      <c r="AL86" t="s">
        <v>1053</v>
      </c>
      <c r="AM86" t="s">
        <v>442</v>
      </c>
      <c r="AO86" t="s">
        <v>1054</v>
      </c>
      <c r="AP86" t="s">
        <v>444</v>
      </c>
      <c r="AQ86">
        <v>-480</v>
      </c>
      <c r="AR86" t="s">
        <v>1055</v>
      </c>
      <c r="AU86" t="s">
        <v>65</v>
      </c>
    </row>
    <row r="87" spans="1:47" ht="15.75" x14ac:dyDescent="0.25">
      <c r="A87">
        <v>652</v>
      </c>
      <c r="B87" s="12" t="s">
        <v>320</v>
      </c>
      <c r="F87" s="12" t="s">
        <v>1326</v>
      </c>
      <c r="H87" t="s">
        <v>305</v>
      </c>
      <c r="I87" t="s">
        <v>45</v>
      </c>
      <c r="J87" s="24" t="s">
        <v>306</v>
      </c>
      <c r="K87" t="s">
        <v>47</v>
      </c>
      <c r="L87" t="s">
        <v>322</v>
      </c>
      <c r="N87" s="1" t="s">
        <v>1331</v>
      </c>
      <c r="O87" s="1" t="s">
        <v>1493</v>
      </c>
      <c r="P87" s="1"/>
      <c r="Q87" s="1"/>
      <c r="R87" s="1"/>
      <c r="S87" t="s">
        <v>432</v>
      </c>
      <c r="U87" t="s">
        <v>433</v>
      </c>
      <c r="X87" t="s">
        <v>1056</v>
      </c>
      <c r="Y87" t="s">
        <v>1057</v>
      </c>
      <c r="Z87" s="22" t="s">
        <v>349</v>
      </c>
      <c r="AA87" t="s">
        <v>437</v>
      </c>
      <c r="AB87" t="s">
        <v>1058</v>
      </c>
      <c r="AC87" t="s">
        <v>1039</v>
      </c>
      <c r="AD87" t="s">
        <v>433</v>
      </c>
      <c r="AE87" t="s">
        <v>433</v>
      </c>
      <c r="AF87" t="s">
        <v>433</v>
      </c>
      <c r="AG87" t="s">
        <v>433</v>
      </c>
      <c r="AH87">
        <v>34.206006199999997</v>
      </c>
      <c r="AI87">
        <v>-118.49255669999999</v>
      </c>
      <c r="AJ87" t="s">
        <v>1059</v>
      </c>
      <c r="AK87" t="s">
        <v>1060</v>
      </c>
      <c r="AL87" t="s">
        <v>352</v>
      </c>
      <c r="AM87" t="s">
        <v>442</v>
      </c>
      <c r="AO87" t="s">
        <v>1061</v>
      </c>
      <c r="AP87" t="s">
        <v>444</v>
      </c>
      <c r="AQ87">
        <v>-480</v>
      </c>
      <c r="AR87" t="s">
        <v>1044</v>
      </c>
      <c r="AS87" t="s">
        <v>1062</v>
      </c>
      <c r="AT87">
        <v>4.5999999999999996</v>
      </c>
      <c r="AU87">
        <v>5</v>
      </c>
    </row>
    <row r="88" spans="1:47" ht="15.75" x14ac:dyDescent="0.25">
      <c r="A88">
        <v>653</v>
      </c>
      <c r="B88" t="s">
        <v>323</v>
      </c>
      <c r="F88" t="s">
        <v>324</v>
      </c>
      <c r="H88" t="s">
        <v>305</v>
      </c>
      <c r="I88" t="s">
        <v>45</v>
      </c>
      <c r="J88" s="24" t="s">
        <v>306</v>
      </c>
      <c r="K88" t="s">
        <v>47</v>
      </c>
      <c r="L88" t="s">
        <v>325</v>
      </c>
      <c r="N88" s="1" t="s">
        <v>1331</v>
      </c>
      <c r="O88" s="1" t="s">
        <v>1488</v>
      </c>
      <c r="P88" s="1"/>
      <c r="Q88" s="1"/>
      <c r="R88" s="1"/>
      <c r="S88" t="s">
        <v>432</v>
      </c>
      <c r="T88" t="s">
        <v>433</v>
      </c>
      <c r="X88" t="s">
        <v>1063</v>
      </c>
      <c r="Y88" t="s">
        <v>1064</v>
      </c>
      <c r="Z88" s="8" t="s">
        <v>1065</v>
      </c>
      <c r="AA88" t="s">
        <v>437</v>
      </c>
      <c r="AB88" t="s">
        <v>1066</v>
      </c>
      <c r="AC88" t="s">
        <v>1067</v>
      </c>
      <c r="AD88" t="s">
        <v>664</v>
      </c>
      <c r="AE88" t="s">
        <v>664</v>
      </c>
      <c r="AF88" t="s">
        <v>664</v>
      </c>
      <c r="AG88" t="s">
        <v>664</v>
      </c>
      <c r="AH88">
        <v>33.621288299999989</v>
      </c>
      <c r="AI88">
        <v>-111.9241632</v>
      </c>
      <c r="AJ88" t="s">
        <v>1068</v>
      </c>
      <c r="AK88" t="s">
        <v>1069</v>
      </c>
      <c r="AL88" t="s">
        <v>1070</v>
      </c>
      <c r="AM88" t="s">
        <v>442</v>
      </c>
      <c r="AO88" t="s">
        <v>1071</v>
      </c>
      <c r="AP88" t="s">
        <v>444</v>
      </c>
      <c r="AQ88">
        <v>-420</v>
      </c>
      <c r="AR88" t="s">
        <v>1072</v>
      </c>
      <c r="AS88" t="s">
        <v>1073</v>
      </c>
      <c r="AU88" t="s">
        <v>65</v>
      </c>
    </row>
    <row r="89" spans="1:47" x14ac:dyDescent="0.25">
      <c r="A89">
        <v>677</v>
      </c>
      <c r="B89" t="s">
        <v>392</v>
      </c>
      <c r="F89" s="12" t="s">
        <v>393</v>
      </c>
      <c r="G89" t="s">
        <v>394</v>
      </c>
      <c r="H89" t="s">
        <v>300</v>
      </c>
      <c r="I89" t="s">
        <v>45</v>
      </c>
      <c r="J89" s="24">
        <v>91406</v>
      </c>
      <c r="K89" t="s">
        <v>47</v>
      </c>
      <c r="M89" s="20" t="s">
        <v>1482</v>
      </c>
      <c r="N89" s="1" t="s">
        <v>1331</v>
      </c>
      <c r="O89" s="1" t="s">
        <v>1488</v>
      </c>
      <c r="P89" s="1"/>
      <c r="Q89" s="1"/>
      <c r="R89" s="1"/>
    </row>
    <row r="90" spans="1:47" ht="15.75" x14ac:dyDescent="0.25">
      <c r="A90">
        <v>667</v>
      </c>
      <c r="B90" t="s">
        <v>370</v>
      </c>
      <c r="F90" t="s">
        <v>371</v>
      </c>
      <c r="H90" t="s">
        <v>305</v>
      </c>
      <c r="I90" t="s">
        <v>45</v>
      </c>
      <c r="J90" s="24" t="s">
        <v>306</v>
      </c>
      <c r="K90" t="s">
        <v>47</v>
      </c>
      <c r="L90" t="s">
        <v>372</v>
      </c>
      <c r="M90" s="20" t="s">
        <v>373</v>
      </c>
      <c r="N90" s="1" t="s">
        <v>1331</v>
      </c>
      <c r="O90" s="1" t="s">
        <v>1489</v>
      </c>
      <c r="P90" s="1"/>
      <c r="Q90" s="1"/>
      <c r="R90" s="1"/>
      <c r="S90" t="s">
        <v>432</v>
      </c>
      <c r="T90" t="s">
        <v>433</v>
      </c>
      <c r="X90" t="s">
        <v>1152</v>
      </c>
      <c r="Y90" t="s">
        <v>1153</v>
      </c>
      <c r="Z90" s="8" t="s">
        <v>1154</v>
      </c>
      <c r="AA90" t="s">
        <v>437</v>
      </c>
      <c r="AB90" t="s">
        <v>1155</v>
      </c>
      <c r="AC90" t="s">
        <v>1156</v>
      </c>
      <c r="AD90" t="s">
        <v>664</v>
      </c>
      <c r="AE90" t="s">
        <v>433</v>
      </c>
      <c r="AF90" t="s">
        <v>433</v>
      </c>
      <c r="AG90" t="s">
        <v>433</v>
      </c>
      <c r="AH90">
        <v>34.2193483</v>
      </c>
      <c r="AI90">
        <v>-118.49613840000001</v>
      </c>
      <c r="AJ90" t="s">
        <v>1157</v>
      </c>
      <c r="AK90" t="s">
        <v>1158</v>
      </c>
      <c r="AL90" t="s">
        <v>372</v>
      </c>
      <c r="AM90" t="s">
        <v>442</v>
      </c>
      <c r="AO90" t="s">
        <v>1159</v>
      </c>
      <c r="AP90" t="s">
        <v>444</v>
      </c>
      <c r="AQ90">
        <v>-480</v>
      </c>
      <c r="AR90" t="s">
        <v>1160</v>
      </c>
      <c r="AS90" t="s">
        <v>1161</v>
      </c>
      <c r="AT90">
        <v>5</v>
      </c>
      <c r="AU90">
        <v>1</v>
      </c>
    </row>
    <row r="91" spans="1:47" ht="15.75" x14ac:dyDescent="0.25">
      <c r="A91">
        <v>668</v>
      </c>
      <c r="B91" t="s">
        <v>370</v>
      </c>
      <c r="F91" t="s">
        <v>371</v>
      </c>
      <c r="H91" t="s">
        <v>305</v>
      </c>
      <c r="I91" t="s">
        <v>45</v>
      </c>
      <c r="J91" s="24" t="s">
        <v>306</v>
      </c>
      <c r="K91" t="s">
        <v>47</v>
      </c>
      <c r="L91" t="s">
        <v>372</v>
      </c>
      <c r="M91" s="20" t="s">
        <v>373</v>
      </c>
      <c r="N91" s="1" t="s">
        <v>1331</v>
      </c>
      <c r="O91" s="1" t="s">
        <v>1328</v>
      </c>
      <c r="P91" s="1"/>
      <c r="Q91" s="1"/>
      <c r="R91" s="1"/>
      <c r="S91" t="s">
        <v>432</v>
      </c>
      <c r="T91" t="s">
        <v>433</v>
      </c>
      <c r="X91" t="s">
        <v>1152</v>
      </c>
      <c r="Y91" t="s">
        <v>1153</v>
      </c>
      <c r="Z91" s="8" t="s">
        <v>1154</v>
      </c>
      <c r="AA91" t="s">
        <v>437</v>
      </c>
      <c r="AB91" t="s">
        <v>1155</v>
      </c>
      <c r="AC91" t="s">
        <v>1156</v>
      </c>
      <c r="AD91" t="s">
        <v>664</v>
      </c>
      <c r="AE91" t="s">
        <v>433</v>
      </c>
      <c r="AF91" t="s">
        <v>433</v>
      </c>
      <c r="AG91" t="s">
        <v>433</v>
      </c>
      <c r="AH91">
        <v>34.2193483</v>
      </c>
      <c r="AI91">
        <v>-118.49613840000001</v>
      </c>
      <c r="AJ91" t="s">
        <v>1157</v>
      </c>
      <c r="AK91" t="s">
        <v>1158</v>
      </c>
      <c r="AL91" t="s">
        <v>372</v>
      </c>
      <c r="AM91" t="s">
        <v>442</v>
      </c>
      <c r="AO91" t="s">
        <v>1159</v>
      </c>
      <c r="AP91" t="s">
        <v>444</v>
      </c>
      <c r="AQ91">
        <v>-480</v>
      </c>
      <c r="AR91" t="s">
        <v>1160</v>
      </c>
      <c r="AS91" t="s">
        <v>1161</v>
      </c>
      <c r="AT91">
        <v>5</v>
      </c>
      <c r="AU91">
        <v>1</v>
      </c>
    </row>
    <row r="92" spans="1:47" ht="15.75" x14ac:dyDescent="0.25">
      <c r="A92">
        <v>687</v>
      </c>
      <c r="B92" t="s">
        <v>411</v>
      </c>
      <c r="F92" t="s">
        <v>412</v>
      </c>
      <c r="G92" t="s">
        <v>65</v>
      </c>
      <c r="H92" t="s">
        <v>300</v>
      </c>
      <c r="I92" t="s">
        <v>45</v>
      </c>
      <c r="J92" s="24">
        <v>91406</v>
      </c>
      <c r="K92" t="s">
        <v>47</v>
      </c>
      <c r="N92" s="1" t="s">
        <v>1331</v>
      </c>
      <c r="O92" s="1" t="s">
        <v>1328</v>
      </c>
      <c r="P92" s="1"/>
      <c r="Q92" s="1"/>
      <c r="R92" s="1"/>
      <c r="S92" t="s">
        <v>432</v>
      </c>
      <c r="U92" t="s">
        <v>433</v>
      </c>
      <c r="X92" t="s">
        <v>1235</v>
      </c>
      <c r="Y92" t="s">
        <v>1237</v>
      </c>
      <c r="Z92" s="8" t="s">
        <v>1238</v>
      </c>
      <c r="AA92" t="s">
        <v>437</v>
      </c>
      <c r="AB92" t="s">
        <v>1239</v>
      </c>
      <c r="AC92" t="s">
        <v>1240</v>
      </c>
      <c r="AD92" t="s">
        <v>433</v>
      </c>
      <c r="AE92" t="s">
        <v>433</v>
      </c>
      <c r="AF92" t="s">
        <v>433</v>
      </c>
      <c r="AG92" t="s">
        <v>433</v>
      </c>
      <c r="AH92">
        <v>34.203686400000002</v>
      </c>
      <c r="AI92">
        <v>-118.48455970000001</v>
      </c>
      <c r="AJ92" t="s">
        <v>1241</v>
      </c>
      <c r="AK92" t="s">
        <v>1242</v>
      </c>
      <c r="AL92" t="s">
        <v>1243</v>
      </c>
      <c r="AM92" t="s">
        <v>442</v>
      </c>
      <c r="AO92" t="s">
        <v>1244</v>
      </c>
      <c r="AP92" t="s">
        <v>1236</v>
      </c>
      <c r="AQ92">
        <v>-480</v>
      </c>
      <c r="AR92" t="s">
        <v>1245</v>
      </c>
      <c r="AS92" t="s">
        <v>1246</v>
      </c>
      <c r="AU92" t="s">
        <v>65</v>
      </c>
    </row>
    <row r="93" spans="1:47" ht="15.75" x14ac:dyDescent="0.25">
      <c r="A93">
        <v>645</v>
      </c>
      <c r="B93" t="s">
        <v>298</v>
      </c>
      <c r="F93" t="s">
        <v>299</v>
      </c>
      <c r="G93" t="s">
        <v>1315</v>
      </c>
      <c r="H93" t="s">
        <v>300</v>
      </c>
      <c r="I93" t="s">
        <v>45</v>
      </c>
      <c r="J93" s="24">
        <v>91406</v>
      </c>
      <c r="K93" t="s">
        <v>47</v>
      </c>
      <c r="L93" t="s">
        <v>301</v>
      </c>
      <c r="N93" s="1" t="s">
        <v>1331</v>
      </c>
      <c r="O93" s="1" t="s">
        <v>1493</v>
      </c>
      <c r="P93" s="1"/>
      <c r="Q93" s="1"/>
      <c r="R93" s="1"/>
      <c r="S93" t="s">
        <v>432</v>
      </c>
      <c r="T93" t="s">
        <v>433</v>
      </c>
      <c r="X93" t="s">
        <v>996</v>
      </c>
      <c r="Y93" t="s">
        <v>997</v>
      </c>
      <c r="Z93" s="14" t="s">
        <v>998</v>
      </c>
      <c r="AA93" t="s">
        <v>437</v>
      </c>
      <c r="AB93" t="s">
        <v>999</v>
      </c>
      <c r="AC93" t="s">
        <v>1000</v>
      </c>
      <c r="AD93" t="s">
        <v>664</v>
      </c>
      <c r="AE93" t="s">
        <v>433</v>
      </c>
      <c r="AF93" t="s">
        <v>433</v>
      </c>
      <c r="AG93" t="s">
        <v>433</v>
      </c>
      <c r="AH93">
        <v>34.204097599999997</v>
      </c>
      <c r="AI93">
        <v>-118.4921482</v>
      </c>
      <c r="AJ93" t="s">
        <v>1001</v>
      </c>
      <c r="AK93" t="s">
        <v>1002</v>
      </c>
      <c r="AL93" t="s">
        <v>1003</v>
      </c>
      <c r="AM93" t="s">
        <v>503</v>
      </c>
      <c r="AO93" t="s">
        <v>1004</v>
      </c>
      <c r="AP93" t="s">
        <v>505</v>
      </c>
      <c r="AQ93">
        <v>-480</v>
      </c>
      <c r="AR93" t="s">
        <v>1005</v>
      </c>
      <c r="AS93" t="s">
        <v>1006</v>
      </c>
      <c r="AT93">
        <v>4.7</v>
      </c>
      <c r="AU93">
        <v>5</v>
      </c>
    </row>
    <row r="94" spans="1:47" ht="15.75" x14ac:dyDescent="0.25">
      <c r="A94">
        <v>679</v>
      </c>
      <c r="B94" t="s">
        <v>398</v>
      </c>
      <c r="F94" t="s">
        <v>399</v>
      </c>
      <c r="G94" t="s">
        <v>65</v>
      </c>
      <c r="H94" t="s">
        <v>300</v>
      </c>
      <c r="I94" t="s">
        <v>45</v>
      </c>
      <c r="J94" s="24">
        <v>91406</v>
      </c>
      <c r="K94" t="s">
        <v>47</v>
      </c>
      <c r="N94" s="1" t="s">
        <v>1331</v>
      </c>
      <c r="O94" s="1" t="s">
        <v>1488</v>
      </c>
      <c r="P94" s="1"/>
      <c r="Q94" s="1"/>
      <c r="R94" s="1"/>
      <c r="S94" t="s">
        <v>432</v>
      </c>
      <c r="U94" t="s">
        <v>433</v>
      </c>
      <c r="X94" t="s">
        <v>1190</v>
      </c>
      <c r="Y94" t="s">
        <v>1191</v>
      </c>
      <c r="Z94" s="8" t="s">
        <v>1192</v>
      </c>
      <c r="AA94" t="s">
        <v>437</v>
      </c>
      <c r="AB94" t="s">
        <v>1193</v>
      </c>
      <c r="AC94" t="s">
        <v>1194</v>
      </c>
      <c r="AE94" t="s">
        <v>433</v>
      </c>
      <c r="AF94" t="s">
        <v>433</v>
      </c>
      <c r="AG94" t="s">
        <v>433</v>
      </c>
      <c r="AH94">
        <v>34.203666200000001</v>
      </c>
      <c r="AI94">
        <v>-118.4922816</v>
      </c>
      <c r="AJ94" t="s">
        <v>1195</v>
      </c>
      <c r="AK94" t="s">
        <v>1196</v>
      </c>
      <c r="AL94" t="s">
        <v>1197</v>
      </c>
      <c r="AM94" t="s">
        <v>442</v>
      </c>
      <c r="AO94" t="s">
        <v>1198</v>
      </c>
      <c r="AP94" t="s">
        <v>467</v>
      </c>
      <c r="AQ94">
        <v>-480</v>
      </c>
      <c r="AR94" t="s">
        <v>1199</v>
      </c>
      <c r="AS94" t="s">
        <v>1200</v>
      </c>
      <c r="AU94" t="s">
        <v>65</v>
      </c>
    </row>
    <row r="95" spans="1:47" ht="15.75" x14ac:dyDescent="0.25">
      <c r="A95">
        <v>654</v>
      </c>
      <c r="B95" t="s">
        <v>326</v>
      </c>
      <c r="F95" t="s">
        <v>321</v>
      </c>
      <c r="G95" t="s">
        <v>327</v>
      </c>
      <c r="H95" t="s">
        <v>305</v>
      </c>
      <c r="I95" t="s">
        <v>45</v>
      </c>
      <c r="J95" s="24" t="s">
        <v>306</v>
      </c>
      <c r="K95" t="s">
        <v>47</v>
      </c>
      <c r="L95" t="s">
        <v>328</v>
      </c>
      <c r="N95" s="1" t="s">
        <v>1490</v>
      </c>
      <c r="O95" s="1"/>
      <c r="P95" s="1"/>
      <c r="Q95" s="1"/>
      <c r="R95" s="1"/>
      <c r="S95" t="s">
        <v>432</v>
      </c>
      <c r="T95" t="s">
        <v>433</v>
      </c>
      <c r="X95" t="s">
        <v>1074</v>
      </c>
      <c r="Y95" t="s">
        <v>1075</v>
      </c>
      <c r="Z95" s="8" t="s">
        <v>1076</v>
      </c>
      <c r="AA95" t="s">
        <v>437</v>
      </c>
      <c r="AB95" t="s">
        <v>1077</v>
      </c>
      <c r="AC95" t="s">
        <v>1078</v>
      </c>
      <c r="AD95" t="s">
        <v>433</v>
      </c>
      <c r="AE95" t="s">
        <v>433</v>
      </c>
      <c r="AF95" t="s">
        <v>433</v>
      </c>
      <c r="AG95" t="s">
        <v>433</v>
      </c>
      <c r="AH95">
        <v>34.2052859</v>
      </c>
      <c r="AI95">
        <v>-118.4927249</v>
      </c>
      <c r="AJ95" t="s">
        <v>1079</v>
      </c>
      <c r="AK95" t="s">
        <v>1060</v>
      </c>
      <c r="AL95" t="s">
        <v>1080</v>
      </c>
      <c r="AM95" t="s">
        <v>442</v>
      </c>
      <c r="AO95" t="s">
        <v>1081</v>
      </c>
      <c r="AP95" t="s">
        <v>444</v>
      </c>
      <c r="AQ95">
        <v>-480</v>
      </c>
      <c r="AR95" t="s">
        <v>1044</v>
      </c>
      <c r="AS95" t="s">
        <v>1082</v>
      </c>
      <c r="AU95" t="s">
        <v>65</v>
      </c>
    </row>
    <row r="96" spans="1:47" ht="15.75" x14ac:dyDescent="0.25">
      <c r="A96">
        <v>669</v>
      </c>
      <c r="B96" t="s">
        <v>374</v>
      </c>
      <c r="F96" t="s">
        <v>375</v>
      </c>
      <c r="H96" t="s">
        <v>305</v>
      </c>
      <c r="I96" t="s">
        <v>45</v>
      </c>
      <c r="J96" s="24" t="s">
        <v>376</v>
      </c>
      <c r="K96" t="s">
        <v>47</v>
      </c>
      <c r="L96" t="s">
        <v>377</v>
      </c>
      <c r="M96" s="20" t="s">
        <v>378</v>
      </c>
      <c r="N96" s="1" t="s">
        <v>1353</v>
      </c>
      <c r="O96" s="1"/>
      <c r="P96" s="1"/>
      <c r="Q96" s="1"/>
      <c r="R96" s="1"/>
      <c r="S96" t="s">
        <v>432</v>
      </c>
      <c r="T96" t="s">
        <v>433</v>
      </c>
      <c r="X96" t="s">
        <v>1162</v>
      </c>
      <c r="Y96" t="s">
        <v>1163</v>
      </c>
      <c r="Z96" s="8" t="s">
        <v>374</v>
      </c>
      <c r="AA96" t="s">
        <v>437</v>
      </c>
      <c r="AB96" t="s">
        <v>1164</v>
      </c>
      <c r="AC96" t="s">
        <v>1165</v>
      </c>
      <c r="AD96" t="s">
        <v>433</v>
      </c>
      <c r="AE96" t="s">
        <v>433</v>
      </c>
      <c r="AF96" t="s">
        <v>433</v>
      </c>
      <c r="AG96" t="s">
        <v>433</v>
      </c>
      <c r="AH96">
        <v>34.209631199999997</v>
      </c>
      <c r="AI96">
        <v>-118.4858351</v>
      </c>
      <c r="AJ96" t="s">
        <v>1166</v>
      </c>
      <c r="AK96" t="s">
        <v>1167</v>
      </c>
      <c r="AL96" t="s">
        <v>377</v>
      </c>
      <c r="AM96" t="s">
        <v>442</v>
      </c>
      <c r="AO96" t="s">
        <v>1168</v>
      </c>
      <c r="AP96" t="s">
        <v>444</v>
      </c>
      <c r="AQ96">
        <v>-480</v>
      </c>
      <c r="AR96" t="s">
        <v>1169</v>
      </c>
      <c r="AS96" t="s">
        <v>1170</v>
      </c>
      <c r="AU96" t="s">
        <v>65</v>
      </c>
    </row>
    <row r="97" spans="1:47" ht="15.75" x14ac:dyDescent="0.25">
      <c r="A97">
        <v>680</v>
      </c>
      <c r="B97" t="s">
        <v>400</v>
      </c>
      <c r="F97" t="s">
        <v>391</v>
      </c>
      <c r="G97" t="s">
        <v>65</v>
      </c>
      <c r="H97" t="s">
        <v>300</v>
      </c>
      <c r="I97" t="s">
        <v>45</v>
      </c>
      <c r="J97" s="24">
        <v>91406</v>
      </c>
      <c r="K97" t="s">
        <v>47</v>
      </c>
      <c r="N97" s="1" t="s">
        <v>1353</v>
      </c>
      <c r="O97" s="1"/>
      <c r="P97" s="1"/>
      <c r="Q97" s="1"/>
      <c r="R97" s="1"/>
      <c r="S97" t="s">
        <v>432</v>
      </c>
      <c r="U97" t="s">
        <v>433</v>
      </c>
      <c r="X97" t="s">
        <v>1201</v>
      </c>
      <c r="Y97" t="s">
        <v>1202</v>
      </c>
      <c r="Z97" s="8" t="s">
        <v>1203</v>
      </c>
      <c r="AA97" t="s">
        <v>437</v>
      </c>
      <c r="AB97" t="s">
        <v>1204</v>
      </c>
      <c r="AC97" t="s">
        <v>1205</v>
      </c>
      <c r="AD97" t="s">
        <v>433</v>
      </c>
      <c r="AE97" t="s">
        <v>433</v>
      </c>
      <c r="AF97" t="s">
        <v>433</v>
      </c>
      <c r="AG97" t="s">
        <v>433</v>
      </c>
      <c r="AH97">
        <v>34.2104936</v>
      </c>
      <c r="AI97">
        <v>-118.4851898</v>
      </c>
      <c r="AJ97" t="s">
        <v>1206</v>
      </c>
      <c r="AK97" t="s">
        <v>1207</v>
      </c>
      <c r="AL97" t="s">
        <v>1208</v>
      </c>
      <c r="AM97" t="s">
        <v>442</v>
      </c>
      <c r="AO97" t="s">
        <v>1209</v>
      </c>
      <c r="AP97" t="s">
        <v>444</v>
      </c>
      <c r="AQ97">
        <v>-480</v>
      </c>
      <c r="AR97" t="s">
        <v>1210</v>
      </c>
      <c r="AT97">
        <v>1</v>
      </c>
      <c r="AU97">
        <v>1</v>
      </c>
    </row>
    <row r="98" spans="1:47" x14ac:dyDescent="0.25">
      <c r="A98">
        <v>685</v>
      </c>
      <c r="B98" s="20" t="s">
        <v>407</v>
      </c>
      <c r="C98" s="12" t="s">
        <v>1479</v>
      </c>
      <c r="F98" s="12" t="s">
        <v>1478</v>
      </c>
      <c r="G98" t="s">
        <v>65</v>
      </c>
      <c r="H98" t="s">
        <v>300</v>
      </c>
      <c r="I98" t="s">
        <v>45</v>
      </c>
      <c r="J98" s="24">
        <v>91406</v>
      </c>
      <c r="K98" t="s">
        <v>47</v>
      </c>
      <c r="N98" s="1" t="s">
        <v>1353</v>
      </c>
      <c r="O98" s="1"/>
      <c r="P98" s="1"/>
      <c r="Q98" s="1"/>
      <c r="R98" s="1"/>
    </row>
    <row r="99" spans="1:47" ht="15.75" x14ac:dyDescent="0.25">
      <c r="A99">
        <v>655</v>
      </c>
      <c r="B99" s="12" t="s">
        <v>329</v>
      </c>
      <c r="F99" t="s">
        <v>330</v>
      </c>
      <c r="H99" t="s">
        <v>305</v>
      </c>
      <c r="I99" t="s">
        <v>45</v>
      </c>
      <c r="J99" s="24" t="s">
        <v>306</v>
      </c>
      <c r="K99" t="s">
        <v>47</v>
      </c>
      <c r="L99" t="s">
        <v>331</v>
      </c>
      <c r="N99" s="1" t="s">
        <v>1353</v>
      </c>
      <c r="O99" s="1"/>
      <c r="P99" s="1"/>
      <c r="Q99" s="1"/>
      <c r="R99" s="1"/>
      <c r="S99" t="s">
        <v>432</v>
      </c>
      <c r="T99" t="s">
        <v>433</v>
      </c>
      <c r="X99" t="s">
        <v>1083</v>
      </c>
      <c r="Y99" t="s">
        <v>1084</v>
      </c>
      <c r="Z99" s="8" t="s">
        <v>1085</v>
      </c>
      <c r="AA99" t="s">
        <v>437</v>
      </c>
      <c r="AB99" t="s">
        <v>1086</v>
      </c>
      <c r="AC99" t="s">
        <v>1087</v>
      </c>
      <c r="AD99" t="s">
        <v>664</v>
      </c>
      <c r="AE99" t="s">
        <v>433</v>
      </c>
      <c r="AF99" t="s">
        <v>433</v>
      </c>
      <c r="AG99" t="s">
        <v>433</v>
      </c>
      <c r="AH99">
        <v>34.214811399999988</v>
      </c>
      <c r="AI99">
        <v>-118.4861216</v>
      </c>
      <c r="AJ99" t="s">
        <v>1088</v>
      </c>
      <c r="AK99" t="s">
        <v>1089</v>
      </c>
      <c r="AL99" t="s">
        <v>1090</v>
      </c>
      <c r="AM99" t="s">
        <v>442</v>
      </c>
      <c r="AO99" t="s">
        <v>1091</v>
      </c>
      <c r="AP99" t="s">
        <v>444</v>
      </c>
      <c r="AQ99">
        <v>-480</v>
      </c>
      <c r="AR99" t="s">
        <v>1092</v>
      </c>
      <c r="AS99" t="s">
        <v>1093</v>
      </c>
      <c r="AU99" t="s">
        <v>65</v>
      </c>
    </row>
    <row r="100" spans="1:47" ht="15.75" x14ac:dyDescent="0.25">
      <c r="A100">
        <v>656</v>
      </c>
      <c r="B100" t="s">
        <v>332</v>
      </c>
      <c r="F100" t="s">
        <v>321</v>
      </c>
      <c r="G100" t="s">
        <v>333</v>
      </c>
      <c r="H100" t="s">
        <v>305</v>
      </c>
      <c r="I100" t="s">
        <v>45</v>
      </c>
      <c r="J100" s="24" t="s">
        <v>306</v>
      </c>
      <c r="K100" t="s">
        <v>47</v>
      </c>
      <c r="L100" t="s">
        <v>334</v>
      </c>
      <c r="N100" s="1" t="s">
        <v>1353</v>
      </c>
      <c r="O100" s="1"/>
      <c r="P100" s="1"/>
      <c r="Q100" s="1"/>
      <c r="R100" s="1"/>
      <c r="S100" t="s">
        <v>432</v>
      </c>
      <c r="U100" t="s">
        <v>433</v>
      </c>
      <c r="X100" t="s">
        <v>1094</v>
      </c>
      <c r="Y100" t="s">
        <v>1095</v>
      </c>
      <c r="Z100" s="8" t="s">
        <v>332</v>
      </c>
      <c r="AA100" t="s">
        <v>437</v>
      </c>
      <c r="AB100" t="s">
        <v>1096</v>
      </c>
      <c r="AC100" t="s">
        <v>1097</v>
      </c>
      <c r="AD100" t="s">
        <v>433</v>
      </c>
      <c r="AE100" t="s">
        <v>664</v>
      </c>
      <c r="AF100" t="s">
        <v>433</v>
      </c>
      <c r="AG100" t="s">
        <v>433</v>
      </c>
      <c r="AH100">
        <v>34.206030599999998</v>
      </c>
      <c r="AI100">
        <v>-118.4927402</v>
      </c>
      <c r="AJ100" t="s">
        <v>1098</v>
      </c>
      <c r="AK100" t="s">
        <v>1099</v>
      </c>
      <c r="AL100" t="s">
        <v>1100</v>
      </c>
      <c r="AM100" t="s">
        <v>442</v>
      </c>
      <c r="AO100" t="s">
        <v>1101</v>
      </c>
      <c r="AP100" t="s">
        <v>444</v>
      </c>
      <c r="AQ100">
        <v>-480</v>
      </c>
      <c r="AR100" t="s">
        <v>1102</v>
      </c>
      <c r="AS100" t="s">
        <v>1103</v>
      </c>
      <c r="AU100" t="s">
        <v>65</v>
      </c>
    </row>
    <row r="101" spans="1:47" ht="15.75" x14ac:dyDescent="0.25">
      <c r="A101">
        <v>695</v>
      </c>
      <c r="B101" t="s">
        <v>427</v>
      </c>
      <c r="F101" t="s">
        <v>428</v>
      </c>
      <c r="G101" t="s">
        <v>65</v>
      </c>
      <c r="H101" t="s">
        <v>300</v>
      </c>
      <c r="I101" t="s">
        <v>45</v>
      </c>
      <c r="J101" s="24">
        <v>91406</v>
      </c>
      <c r="K101" t="s">
        <v>47</v>
      </c>
      <c r="N101" s="1" t="s">
        <v>1353</v>
      </c>
      <c r="O101" s="1"/>
      <c r="P101" s="1"/>
      <c r="Q101" s="1"/>
      <c r="R101" s="1"/>
      <c r="S101" t="s">
        <v>432</v>
      </c>
      <c r="U101" t="s">
        <v>433</v>
      </c>
      <c r="X101" t="s">
        <v>1278</v>
      </c>
      <c r="Y101" t="s">
        <v>1280</v>
      </c>
      <c r="Z101" s="8" t="s">
        <v>1281</v>
      </c>
      <c r="AA101" t="s">
        <v>437</v>
      </c>
      <c r="AB101" t="s">
        <v>1282</v>
      </c>
      <c r="AC101" t="s">
        <v>1283</v>
      </c>
      <c r="AD101" t="s">
        <v>433</v>
      </c>
      <c r="AE101" t="s">
        <v>433</v>
      </c>
      <c r="AF101" t="s">
        <v>433</v>
      </c>
      <c r="AG101" t="s">
        <v>433</v>
      </c>
      <c r="AH101">
        <v>34.208073599999999</v>
      </c>
      <c r="AI101">
        <v>-118.48491060000001</v>
      </c>
      <c r="AJ101" t="s">
        <v>1284</v>
      </c>
      <c r="AK101" t="s">
        <v>1285</v>
      </c>
      <c r="AL101" t="s">
        <v>1286</v>
      </c>
      <c r="AM101" t="s">
        <v>442</v>
      </c>
      <c r="AO101" t="s">
        <v>1287</v>
      </c>
      <c r="AP101" t="s">
        <v>1279</v>
      </c>
      <c r="AQ101">
        <v>-480</v>
      </c>
      <c r="AR101" t="s">
        <v>1288</v>
      </c>
      <c r="AS101" t="s">
        <v>1289</v>
      </c>
      <c r="AT101">
        <v>3.7</v>
      </c>
      <c r="AU101">
        <v>5</v>
      </c>
    </row>
    <row r="102" spans="1:47" ht="15.75" x14ac:dyDescent="0.25">
      <c r="A102">
        <v>683</v>
      </c>
      <c r="B102" t="s">
        <v>404</v>
      </c>
      <c r="F102" t="s">
        <v>405</v>
      </c>
      <c r="G102" t="s">
        <v>406</v>
      </c>
      <c r="H102" t="s">
        <v>305</v>
      </c>
      <c r="I102" t="s">
        <v>45</v>
      </c>
      <c r="J102" s="24">
        <v>91406</v>
      </c>
      <c r="K102" t="s">
        <v>47</v>
      </c>
      <c r="N102" s="1" t="s">
        <v>1353</v>
      </c>
      <c r="O102" s="1"/>
      <c r="P102" s="1"/>
      <c r="Q102" s="1"/>
      <c r="R102" s="1"/>
      <c r="S102" t="s">
        <v>432</v>
      </c>
      <c r="U102" t="s">
        <v>433</v>
      </c>
      <c r="X102" t="s">
        <v>1215</v>
      </c>
      <c r="Y102" t="s">
        <v>1216</v>
      </c>
      <c r="Z102" s="8" t="s">
        <v>1217</v>
      </c>
      <c r="AA102" t="s">
        <v>437</v>
      </c>
      <c r="AB102" t="s">
        <v>1218</v>
      </c>
      <c r="AC102" t="s">
        <v>1219</v>
      </c>
      <c r="AD102" t="s">
        <v>433</v>
      </c>
      <c r="AE102" t="s">
        <v>433</v>
      </c>
      <c r="AF102" t="s">
        <v>433</v>
      </c>
      <c r="AG102" t="s">
        <v>433</v>
      </c>
      <c r="AH102">
        <v>34.200599699999998</v>
      </c>
      <c r="AI102">
        <v>-118.4873475</v>
      </c>
      <c r="AJ102" t="s">
        <v>1220</v>
      </c>
      <c r="AK102" t="s">
        <v>1221</v>
      </c>
      <c r="AL102" t="s">
        <v>1222</v>
      </c>
      <c r="AM102" t="s">
        <v>442</v>
      </c>
      <c r="AO102" t="s">
        <v>1223</v>
      </c>
      <c r="AP102" t="s">
        <v>467</v>
      </c>
      <c r="AQ102">
        <v>-480</v>
      </c>
      <c r="AR102" t="s">
        <v>1224</v>
      </c>
      <c r="AS102" t="s">
        <v>1225</v>
      </c>
      <c r="AU102" t="s">
        <v>65</v>
      </c>
    </row>
    <row r="103" spans="1:47" ht="15.75" x14ac:dyDescent="0.25">
      <c r="A103">
        <v>692</v>
      </c>
      <c r="B103" t="s">
        <v>419</v>
      </c>
      <c r="F103" t="s">
        <v>420</v>
      </c>
      <c r="G103" t="s">
        <v>65</v>
      </c>
      <c r="H103" t="s">
        <v>300</v>
      </c>
      <c r="I103" t="s">
        <v>45</v>
      </c>
      <c r="J103" s="24">
        <v>91406</v>
      </c>
      <c r="K103" t="s">
        <v>47</v>
      </c>
      <c r="N103" s="1" t="s">
        <v>1353</v>
      </c>
      <c r="O103" s="1"/>
      <c r="P103" s="1"/>
      <c r="Q103" s="1"/>
      <c r="R103" s="1"/>
      <c r="S103" t="s">
        <v>432</v>
      </c>
      <c r="U103" t="s">
        <v>433</v>
      </c>
      <c r="X103" t="s">
        <v>1258</v>
      </c>
      <c r="Y103" t="s">
        <v>1259</v>
      </c>
      <c r="Z103" s="8" t="s">
        <v>1260</v>
      </c>
      <c r="AA103" t="s">
        <v>437</v>
      </c>
      <c r="AB103" t="s">
        <v>1261</v>
      </c>
      <c r="AC103" t="s">
        <v>1262</v>
      </c>
      <c r="AD103" t="s">
        <v>433</v>
      </c>
      <c r="AE103" t="s">
        <v>433</v>
      </c>
      <c r="AF103" t="s">
        <v>433</v>
      </c>
      <c r="AG103" t="s">
        <v>433</v>
      </c>
      <c r="AH103">
        <v>34.198185000000002</v>
      </c>
      <c r="AI103">
        <v>-118.4871381</v>
      </c>
      <c r="AJ103" t="s">
        <v>1263</v>
      </c>
      <c r="AK103" t="s">
        <v>1264</v>
      </c>
      <c r="AL103" t="s">
        <v>1265</v>
      </c>
      <c r="AM103" t="s">
        <v>442</v>
      </c>
      <c r="AO103" t="s">
        <v>1266</v>
      </c>
      <c r="AP103" t="s">
        <v>444</v>
      </c>
      <c r="AQ103">
        <v>-480</v>
      </c>
      <c r="AR103" t="s">
        <v>1267</v>
      </c>
      <c r="AS103" t="s">
        <v>1268</v>
      </c>
      <c r="AT103">
        <v>5</v>
      </c>
      <c r="AU103">
        <v>2</v>
      </c>
    </row>
    <row r="104" spans="1:47" ht="15.75" x14ac:dyDescent="0.25">
      <c r="A104">
        <v>670</v>
      </c>
      <c r="B104" t="s">
        <v>379</v>
      </c>
      <c r="F104" t="s">
        <v>350</v>
      </c>
      <c r="H104" t="s">
        <v>305</v>
      </c>
      <c r="I104" t="s">
        <v>45</v>
      </c>
      <c r="J104" s="24" t="s">
        <v>351</v>
      </c>
      <c r="K104" t="s">
        <v>47</v>
      </c>
      <c r="L104" t="s">
        <v>380</v>
      </c>
      <c r="M104" s="20" t="s">
        <v>381</v>
      </c>
      <c r="N104" s="1" t="s">
        <v>1353</v>
      </c>
      <c r="O104" s="1"/>
      <c r="P104" s="1"/>
      <c r="Q104" s="1"/>
      <c r="R104" s="1"/>
      <c r="S104" t="s">
        <v>432</v>
      </c>
      <c r="T104" t="s">
        <v>433</v>
      </c>
      <c r="X104" t="s">
        <v>1104</v>
      </c>
      <c r="Y104" t="s">
        <v>1105</v>
      </c>
      <c r="Z104" s="8" t="s">
        <v>1106</v>
      </c>
      <c r="AA104" t="s">
        <v>437</v>
      </c>
      <c r="AB104" t="s">
        <v>1107</v>
      </c>
      <c r="AC104" t="s">
        <v>1078</v>
      </c>
      <c r="AD104" t="s">
        <v>433</v>
      </c>
      <c r="AE104" t="s">
        <v>433</v>
      </c>
      <c r="AF104" t="s">
        <v>433</v>
      </c>
      <c r="AG104" t="s">
        <v>433</v>
      </c>
      <c r="AH104">
        <v>34.2052859</v>
      </c>
      <c r="AI104">
        <v>-118.4927249</v>
      </c>
      <c r="AJ104" t="s">
        <v>1108</v>
      </c>
      <c r="AK104" t="s">
        <v>1060</v>
      </c>
      <c r="AL104" t="s">
        <v>380</v>
      </c>
      <c r="AM104" t="s">
        <v>442</v>
      </c>
      <c r="AO104" t="s">
        <v>1109</v>
      </c>
      <c r="AP104" t="s">
        <v>444</v>
      </c>
      <c r="AQ104">
        <v>-480</v>
      </c>
      <c r="AR104" t="s">
        <v>1044</v>
      </c>
      <c r="AS104" t="s">
        <v>1110</v>
      </c>
      <c r="AU104" t="s">
        <v>65</v>
      </c>
    </row>
    <row r="105" spans="1:47" ht="15.75" x14ac:dyDescent="0.25">
      <c r="A105">
        <v>657</v>
      </c>
      <c r="B105" t="s">
        <v>335</v>
      </c>
      <c r="F105" t="s">
        <v>321</v>
      </c>
      <c r="H105" t="s">
        <v>305</v>
      </c>
      <c r="I105" t="s">
        <v>45</v>
      </c>
      <c r="J105" s="24" t="s">
        <v>306</v>
      </c>
      <c r="K105" t="s">
        <v>47</v>
      </c>
      <c r="L105" t="s">
        <v>336</v>
      </c>
      <c r="N105" s="1" t="s">
        <v>1353</v>
      </c>
      <c r="O105" s="1"/>
      <c r="P105" s="1"/>
      <c r="Q105" s="1"/>
      <c r="R105" s="1"/>
      <c r="S105" t="s">
        <v>432</v>
      </c>
      <c r="T105" t="s">
        <v>433</v>
      </c>
      <c r="X105" t="s">
        <v>1104</v>
      </c>
      <c r="Y105" t="s">
        <v>1105</v>
      </c>
      <c r="Z105" s="8" t="s">
        <v>1106</v>
      </c>
      <c r="AA105" t="s">
        <v>437</v>
      </c>
      <c r="AB105" t="s">
        <v>1107</v>
      </c>
      <c r="AC105" t="s">
        <v>1078</v>
      </c>
      <c r="AD105" t="s">
        <v>433</v>
      </c>
      <c r="AE105" t="s">
        <v>433</v>
      </c>
      <c r="AF105" t="s">
        <v>433</v>
      </c>
      <c r="AG105" t="s">
        <v>433</v>
      </c>
      <c r="AH105">
        <v>34.2052859</v>
      </c>
      <c r="AI105">
        <v>-118.4927249</v>
      </c>
      <c r="AJ105" t="s">
        <v>1108</v>
      </c>
      <c r="AK105" t="s">
        <v>1060</v>
      </c>
      <c r="AL105" t="s">
        <v>380</v>
      </c>
      <c r="AM105" t="s">
        <v>442</v>
      </c>
      <c r="AO105" t="s">
        <v>1109</v>
      </c>
      <c r="AP105" t="s">
        <v>444</v>
      </c>
      <c r="AQ105">
        <v>-480</v>
      </c>
      <c r="AR105" t="s">
        <v>1044</v>
      </c>
      <c r="AS105" t="s">
        <v>1110</v>
      </c>
      <c r="AU105" t="s">
        <v>65</v>
      </c>
    </row>
    <row r="106" spans="1:47" ht="15.75" x14ac:dyDescent="0.25">
      <c r="A106">
        <v>673</v>
      </c>
      <c r="B106" t="s">
        <v>387</v>
      </c>
      <c r="F106" t="s">
        <v>388</v>
      </c>
      <c r="G106" t="s">
        <v>65</v>
      </c>
      <c r="H106" t="s">
        <v>300</v>
      </c>
      <c r="I106" t="s">
        <v>45</v>
      </c>
      <c r="J106" s="24">
        <v>91406</v>
      </c>
      <c r="K106" t="s">
        <v>47</v>
      </c>
      <c r="N106" s="1" t="s">
        <v>1353</v>
      </c>
      <c r="O106" s="1"/>
      <c r="P106" s="1"/>
      <c r="Q106" s="1"/>
      <c r="R106" s="1"/>
      <c r="S106" t="s">
        <v>432</v>
      </c>
      <c r="U106" t="s">
        <v>433</v>
      </c>
      <c r="X106" t="s">
        <v>1179</v>
      </c>
      <c r="Y106" t="s">
        <v>1180</v>
      </c>
      <c r="Z106" s="8" t="s">
        <v>1181</v>
      </c>
      <c r="AA106" t="s">
        <v>437</v>
      </c>
      <c r="AB106" t="s">
        <v>1182</v>
      </c>
      <c r="AC106" t="s">
        <v>1183</v>
      </c>
      <c r="AD106" t="s">
        <v>433</v>
      </c>
      <c r="AE106" t="s">
        <v>433</v>
      </c>
      <c r="AF106" t="s">
        <v>433</v>
      </c>
      <c r="AG106" t="s">
        <v>433</v>
      </c>
      <c r="AH106">
        <v>34.206969200000003</v>
      </c>
      <c r="AI106">
        <v>-118.4937886</v>
      </c>
      <c r="AJ106" t="s">
        <v>1184</v>
      </c>
      <c r="AK106" t="s">
        <v>1185</v>
      </c>
      <c r="AL106" t="s">
        <v>1186</v>
      </c>
      <c r="AM106" t="s">
        <v>442</v>
      </c>
      <c r="AO106" t="s">
        <v>1187</v>
      </c>
      <c r="AP106" t="s">
        <v>467</v>
      </c>
      <c r="AQ106">
        <v>-480</v>
      </c>
      <c r="AR106" t="s">
        <v>1188</v>
      </c>
      <c r="AS106" t="s">
        <v>1189</v>
      </c>
      <c r="AT106">
        <v>5</v>
      </c>
      <c r="AU106">
        <v>3</v>
      </c>
    </row>
    <row r="107" spans="1:47" ht="15.75" x14ac:dyDescent="0.25">
      <c r="A107">
        <v>690</v>
      </c>
      <c r="B107" t="s">
        <v>387</v>
      </c>
      <c r="F107" t="s">
        <v>388</v>
      </c>
      <c r="G107" t="s">
        <v>65</v>
      </c>
      <c r="H107" t="s">
        <v>300</v>
      </c>
      <c r="I107" t="s">
        <v>45</v>
      </c>
      <c r="J107" s="24">
        <v>91406</v>
      </c>
      <c r="K107" t="s">
        <v>47</v>
      </c>
      <c r="N107" s="1" t="s">
        <v>1353</v>
      </c>
      <c r="O107" s="1"/>
      <c r="P107" s="1"/>
      <c r="Q107" s="1"/>
      <c r="R107" s="1"/>
      <c r="S107" t="s">
        <v>432</v>
      </c>
      <c r="U107" t="s">
        <v>433</v>
      </c>
      <c r="X107" t="s">
        <v>1179</v>
      </c>
      <c r="Y107" t="s">
        <v>1180</v>
      </c>
      <c r="Z107" s="8" t="s">
        <v>1181</v>
      </c>
      <c r="AA107" t="s">
        <v>437</v>
      </c>
      <c r="AB107" t="s">
        <v>1182</v>
      </c>
      <c r="AC107" t="s">
        <v>1183</v>
      </c>
      <c r="AD107" t="s">
        <v>433</v>
      </c>
      <c r="AE107" t="s">
        <v>433</v>
      </c>
      <c r="AF107" t="s">
        <v>433</v>
      </c>
      <c r="AG107" t="s">
        <v>433</v>
      </c>
      <c r="AH107">
        <v>34.206969200000003</v>
      </c>
      <c r="AI107">
        <v>-118.4937886</v>
      </c>
      <c r="AJ107" t="s">
        <v>1184</v>
      </c>
      <c r="AK107" t="s">
        <v>1185</v>
      </c>
      <c r="AL107" t="s">
        <v>1186</v>
      </c>
      <c r="AM107" t="s">
        <v>442</v>
      </c>
      <c r="AO107" t="s">
        <v>1187</v>
      </c>
      <c r="AP107" t="s">
        <v>467</v>
      </c>
      <c r="AQ107">
        <v>-480</v>
      </c>
      <c r="AR107" t="s">
        <v>1188</v>
      </c>
      <c r="AS107" t="s">
        <v>1189</v>
      </c>
      <c r="AT107">
        <v>5</v>
      </c>
      <c r="AU107">
        <v>3</v>
      </c>
    </row>
    <row r="108" spans="1:47" ht="15.75" x14ac:dyDescent="0.25">
      <c r="A108">
        <v>658</v>
      </c>
      <c r="B108" t="s">
        <v>337</v>
      </c>
      <c r="F108" t="s">
        <v>315</v>
      </c>
      <c r="G108" t="s">
        <v>338</v>
      </c>
      <c r="H108" t="s">
        <v>305</v>
      </c>
      <c r="I108" t="s">
        <v>45</v>
      </c>
      <c r="J108" s="24" t="s">
        <v>306</v>
      </c>
      <c r="K108" t="s">
        <v>47</v>
      </c>
      <c r="L108" t="s">
        <v>339</v>
      </c>
      <c r="N108" s="1" t="s">
        <v>1353</v>
      </c>
      <c r="O108" s="1"/>
      <c r="P108" s="1"/>
      <c r="Q108" s="1"/>
      <c r="R108" s="1"/>
      <c r="S108" t="s">
        <v>432</v>
      </c>
      <c r="T108" t="s">
        <v>433</v>
      </c>
      <c r="X108" t="s">
        <v>1111</v>
      </c>
      <c r="Y108" t="s">
        <v>1112</v>
      </c>
      <c r="Z108" s="8" t="s">
        <v>1113</v>
      </c>
      <c r="AA108" t="s">
        <v>437</v>
      </c>
      <c r="AB108" t="s">
        <v>1114</v>
      </c>
      <c r="AC108" t="s">
        <v>1115</v>
      </c>
      <c r="AD108" t="s">
        <v>664</v>
      </c>
      <c r="AE108" t="s">
        <v>664</v>
      </c>
      <c r="AF108" t="s">
        <v>433</v>
      </c>
      <c r="AG108" t="s">
        <v>664</v>
      </c>
      <c r="AH108">
        <v>34.016634699999997</v>
      </c>
      <c r="AI108">
        <v>-118.4530628</v>
      </c>
      <c r="AJ108" t="s">
        <v>1116</v>
      </c>
      <c r="AK108" t="s">
        <v>1117</v>
      </c>
      <c r="AL108" t="s">
        <v>1118</v>
      </c>
      <c r="AM108" t="s">
        <v>442</v>
      </c>
      <c r="AO108" t="s">
        <v>1119</v>
      </c>
      <c r="AP108" t="s">
        <v>444</v>
      </c>
      <c r="AQ108">
        <v>-480</v>
      </c>
      <c r="AR108" t="s">
        <v>1120</v>
      </c>
      <c r="AS108" t="s">
        <v>1121</v>
      </c>
      <c r="AU108" t="s">
        <v>65</v>
      </c>
    </row>
    <row r="109" spans="1:47" ht="15.75" x14ac:dyDescent="0.25">
      <c r="A109">
        <v>671</v>
      </c>
      <c r="B109" t="s">
        <v>382</v>
      </c>
      <c r="F109" t="s">
        <v>383</v>
      </c>
      <c r="H109" t="s">
        <v>305</v>
      </c>
      <c r="I109" t="s">
        <v>45</v>
      </c>
      <c r="J109" s="24" t="s">
        <v>306</v>
      </c>
      <c r="K109" t="s">
        <v>47</v>
      </c>
      <c r="L109" t="s">
        <v>384</v>
      </c>
      <c r="M109" s="20" t="s">
        <v>385</v>
      </c>
      <c r="N109" s="1" t="s">
        <v>1353</v>
      </c>
      <c r="O109" s="1"/>
      <c r="P109" s="1"/>
      <c r="Q109" s="1"/>
      <c r="R109" s="1"/>
      <c r="S109" t="s">
        <v>432</v>
      </c>
      <c r="T109" t="s">
        <v>433</v>
      </c>
      <c r="X109" t="s">
        <v>1171</v>
      </c>
      <c r="Y109" t="s">
        <v>1173</v>
      </c>
      <c r="Z109" s="8" t="s">
        <v>1174</v>
      </c>
      <c r="AA109" t="s">
        <v>437</v>
      </c>
      <c r="AB109" t="s">
        <v>1175</v>
      </c>
      <c r="AC109" t="s">
        <v>1087</v>
      </c>
      <c r="AD109" t="s">
        <v>664</v>
      </c>
      <c r="AE109" t="s">
        <v>433</v>
      </c>
      <c r="AF109" t="s">
        <v>433</v>
      </c>
      <c r="AG109" t="s">
        <v>433</v>
      </c>
      <c r="AH109">
        <v>34.2151031</v>
      </c>
      <c r="AI109">
        <v>-118.48840989999999</v>
      </c>
      <c r="AJ109" t="s">
        <v>1176</v>
      </c>
      <c r="AK109" t="s">
        <v>1089</v>
      </c>
      <c r="AL109" t="s">
        <v>384</v>
      </c>
      <c r="AM109" t="s">
        <v>442</v>
      </c>
      <c r="AO109" t="s">
        <v>1177</v>
      </c>
      <c r="AP109" t="s">
        <v>1172</v>
      </c>
      <c r="AQ109">
        <v>-480</v>
      </c>
      <c r="AR109" t="s">
        <v>1092</v>
      </c>
      <c r="AS109" t="s">
        <v>1178</v>
      </c>
      <c r="AT109">
        <v>4.7</v>
      </c>
      <c r="AU109">
        <v>5</v>
      </c>
    </row>
    <row r="110" spans="1:47" ht="15.75" x14ac:dyDescent="0.25">
      <c r="A110">
        <v>659</v>
      </c>
      <c r="B110" t="s">
        <v>340</v>
      </c>
      <c r="F110" t="s">
        <v>324</v>
      </c>
      <c r="H110" t="s">
        <v>305</v>
      </c>
      <c r="I110" t="s">
        <v>45</v>
      </c>
      <c r="J110" s="24" t="s">
        <v>306</v>
      </c>
      <c r="K110" t="s">
        <v>47</v>
      </c>
      <c r="L110" t="s">
        <v>325</v>
      </c>
      <c r="N110" s="1" t="s">
        <v>1495</v>
      </c>
      <c r="O110" s="1"/>
      <c r="P110" s="1"/>
      <c r="Q110" s="1"/>
      <c r="R110" s="1"/>
      <c r="S110" t="s">
        <v>432</v>
      </c>
      <c r="T110" t="s">
        <v>433</v>
      </c>
      <c r="X110" t="s">
        <v>1063</v>
      </c>
      <c r="Y110" t="s">
        <v>1064</v>
      </c>
      <c r="Z110" s="13" t="s">
        <v>1065</v>
      </c>
      <c r="AA110" t="s">
        <v>437</v>
      </c>
      <c r="AB110" t="s">
        <v>1066</v>
      </c>
      <c r="AC110" t="s">
        <v>1067</v>
      </c>
      <c r="AD110" t="s">
        <v>664</v>
      </c>
      <c r="AE110" t="s">
        <v>664</v>
      </c>
      <c r="AF110" t="s">
        <v>664</v>
      </c>
      <c r="AG110" t="s">
        <v>664</v>
      </c>
      <c r="AH110">
        <v>33.621288299999989</v>
      </c>
      <c r="AI110">
        <v>-111.9241632</v>
      </c>
      <c r="AJ110" t="s">
        <v>1068</v>
      </c>
      <c r="AK110" t="s">
        <v>1069</v>
      </c>
      <c r="AL110" t="s">
        <v>1070</v>
      </c>
      <c r="AM110" t="s">
        <v>442</v>
      </c>
      <c r="AO110" t="s">
        <v>1071</v>
      </c>
      <c r="AP110" t="s">
        <v>444</v>
      </c>
      <c r="AQ110">
        <v>-420</v>
      </c>
      <c r="AR110" t="s">
        <v>1072</v>
      </c>
      <c r="AS110" t="s">
        <v>1073</v>
      </c>
      <c r="AU110" t="s">
        <v>65</v>
      </c>
    </row>
    <row r="111" spans="1:47" ht="15.75" x14ac:dyDescent="0.25">
      <c r="A111">
        <v>694</v>
      </c>
      <c r="B111" t="s">
        <v>424</v>
      </c>
      <c r="F111" t="s">
        <v>425</v>
      </c>
      <c r="G111" t="s">
        <v>426</v>
      </c>
      <c r="H111" t="s">
        <v>300</v>
      </c>
      <c r="I111" t="s">
        <v>45</v>
      </c>
      <c r="J111" s="24">
        <v>91406</v>
      </c>
      <c r="K111" t="s">
        <v>47</v>
      </c>
      <c r="N111" s="1" t="s">
        <v>1381</v>
      </c>
      <c r="O111" s="1"/>
      <c r="P111" s="1"/>
      <c r="Q111" s="1"/>
      <c r="R111" s="1"/>
      <c r="S111" t="s">
        <v>432</v>
      </c>
      <c r="U111" t="s">
        <v>433</v>
      </c>
      <c r="X111" t="s">
        <v>1269</v>
      </c>
      <c r="Y111" t="s">
        <v>1270</v>
      </c>
      <c r="Z111" s="8" t="s">
        <v>1271</v>
      </c>
      <c r="AA111" t="s">
        <v>437</v>
      </c>
      <c r="AB111" t="s">
        <v>1272</v>
      </c>
      <c r="AC111" t="s">
        <v>1273</v>
      </c>
      <c r="AD111" t="s">
        <v>433</v>
      </c>
      <c r="AE111" t="s">
        <v>433</v>
      </c>
      <c r="AF111" t="s">
        <v>433</v>
      </c>
      <c r="AG111" t="s">
        <v>433</v>
      </c>
      <c r="AH111">
        <v>34.209591699999997</v>
      </c>
      <c r="AI111">
        <v>-118.4859476</v>
      </c>
      <c r="AJ111" t="s">
        <v>1274</v>
      </c>
      <c r="AK111" t="s">
        <v>1167</v>
      </c>
      <c r="AL111" t="s">
        <v>1275</v>
      </c>
      <c r="AM111" t="s">
        <v>442</v>
      </c>
      <c r="AO111" t="s">
        <v>1276</v>
      </c>
      <c r="AP111" t="s">
        <v>444</v>
      </c>
      <c r="AQ111">
        <v>-480</v>
      </c>
      <c r="AR111" t="s">
        <v>1169</v>
      </c>
      <c r="AS111" t="s">
        <v>1277</v>
      </c>
      <c r="AT111">
        <v>4.3</v>
      </c>
      <c r="AU111">
        <v>5</v>
      </c>
    </row>
    <row r="112" spans="1:47" x14ac:dyDescent="0.25">
      <c r="N112" s="1" t="s">
        <v>1327</v>
      </c>
      <c r="O112" s="1"/>
      <c r="P112" s="1"/>
      <c r="Q112" s="1"/>
      <c r="R112" s="1"/>
      <c r="S112">
        <f>COUNTIF(S2:S111, "=YES")</f>
        <v>101</v>
      </c>
      <c r="T112">
        <f>COUNTIF(T2:T111, "=X")</f>
        <v>53</v>
      </c>
      <c r="U112">
        <f>COUNTIF(U2:U111, "=X")</f>
        <v>48</v>
      </c>
      <c r="V112">
        <f>COUNTIF(V2:V111, "=X")</f>
        <v>0</v>
      </c>
      <c r="W112">
        <f>COUNTIF(W2:W111, "=X")</f>
        <v>0</v>
      </c>
      <c r="Z112">
        <f>SUM(T112:Y112)</f>
        <v>101</v>
      </c>
      <c r="AD112">
        <f>COUNTIF(AD2:AD111, "=X")</f>
        <v>74</v>
      </c>
      <c r="AE112">
        <f>COUNTIF(AE2:AE111, "=X")</f>
        <v>81</v>
      </c>
      <c r="AF112">
        <f>COUNTIF(AF2:AF111, "=X")</f>
        <v>97</v>
      </c>
      <c r="AG112">
        <f>COUNTIF(AG2:AG111, "=X")</f>
        <v>89</v>
      </c>
    </row>
    <row r="113" spans="14:33" x14ac:dyDescent="0.25">
      <c r="N113" s="1" t="s">
        <v>1353</v>
      </c>
      <c r="O113" s="1"/>
      <c r="P113" s="1"/>
      <c r="Q113" s="1"/>
      <c r="R113" s="1"/>
      <c r="Z113" s="10">
        <f>116/147</f>
        <v>0.78911564625850339</v>
      </c>
      <c r="AA113" s="10"/>
      <c r="AB113" s="10"/>
      <c r="AC113" s="10"/>
      <c r="AD113" s="10">
        <f>AD112/$Z$112</f>
        <v>0.73267326732673266</v>
      </c>
      <c r="AE113" s="10">
        <f t="shared" ref="AE113:AG113" si="0">AE112/$Z$112</f>
        <v>0.80198019801980203</v>
      </c>
      <c r="AF113" s="10">
        <f t="shared" si="0"/>
        <v>0.96039603960396036</v>
      </c>
      <c r="AG113" s="10">
        <f t="shared" si="0"/>
        <v>0.88118811881188119</v>
      </c>
    </row>
    <row r="114" spans="14:33" x14ac:dyDescent="0.25">
      <c r="N114" s="1" t="s">
        <v>1327</v>
      </c>
      <c r="O114" s="1" t="s">
        <v>1353</v>
      </c>
      <c r="P114" s="1" t="s">
        <v>1331</v>
      </c>
      <c r="Q114" s="1"/>
      <c r="R114" s="1"/>
    </row>
    <row r="115" spans="14:33" x14ac:dyDescent="0.25">
      <c r="N115" s="1" t="s">
        <v>1353</v>
      </c>
      <c r="O115" s="1"/>
      <c r="P115" s="1"/>
      <c r="Q115" s="1"/>
      <c r="R115" s="1"/>
    </row>
    <row r="116" spans="14:33" x14ac:dyDescent="0.25">
      <c r="N116" s="1" t="s">
        <v>1331</v>
      </c>
      <c r="O116" s="1" t="s">
        <v>1439</v>
      </c>
      <c r="P116" s="1"/>
      <c r="Q116" s="1"/>
      <c r="R116" s="1"/>
    </row>
    <row r="117" spans="14:33" x14ac:dyDescent="0.25">
      <c r="N117" s="1" t="s">
        <v>1331</v>
      </c>
      <c r="O117" s="1"/>
      <c r="P117" s="1"/>
      <c r="Q117" s="1"/>
      <c r="R117" s="1"/>
    </row>
    <row r="118" spans="14:33" x14ac:dyDescent="0.25">
      <c r="N118" s="1" t="s">
        <v>1331</v>
      </c>
      <c r="O118" s="1"/>
      <c r="P118" s="1"/>
      <c r="Q118" s="1"/>
      <c r="R118" s="1"/>
    </row>
    <row r="119" spans="14:33" x14ac:dyDescent="0.25">
      <c r="N119" s="1" t="s">
        <v>1491</v>
      </c>
      <c r="O119" s="1"/>
      <c r="P119" s="1"/>
      <c r="Q119" s="1"/>
      <c r="R119" s="1"/>
    </row>
    <row r="120" spans="14:33" x14ac:dyDescent="0.25">
      <c r="N120" s="27" t="s">
        <v>1353</v>
      </c>
      <c r="O120" s="27"/>
      <c r="P120" s="27"/>
      <c r="Q120" s="27"/>
      <c r="R120" s="27"/>
    </row>
    <row r="121" spans="14:33" x14ac:dyDescent="0.25">
      <c r="N121" s="28" t="s">
        <v>1497</v>
      </c>
      <c r="O121" s="28"/>
      <c r="P121" s="28"/>
      <c r="Q121" s="28"/>
      <c r="R121" s="28"/>
    </row>
    <row r="122" spans="14:33" x14ac:dyDescent="0.25">
      <c r="N122" s="1" t="s">
        <v>1331</v>
      </c>
      <c r="O122" s="1" t="s">
        <v>1488</v>
      </c>
      <c r="P122" s="1"/>
      <c r="Q122" s="1"/>
      <c r="R122" s="1"/>
    </row>
    <row r="123" spans="14:33" x14ac:dyDescent="0.25">
      <c r="N123" s="1" t="s">
        <v>1331</v>
      </c>
      <c r="O123" s="1" t="s">
        <v>1488</v>
      </c>
      <c r="P123" s="1"/>
      <c r="Q123" s="1"/>
      <c r="R123" s="1"/>
    </row>
    <row r="124" spans="14:33" x14ac:dyDescent="0.25">
      <c r="N124" s="1" t="s">
        <v>1331</v>
      </c>
      <c r="O124" s="1" t="s">
        <v>1489</v>
      </c>
      <c r="P124" s="1"/>
      <c r="Q124" s="1"/>
      <c r="R124" s="1"/>
    </row>
    <row r="125" spans="14:33" x14ac:dyDescent="0.25">
      <c r="N125" s="1" t="s">
        <v>1331</v>
      </c>
      <c r="O125" s="1" t="s">
        <v>1489</v>
      </c>
      <c r="P125" s="1"/>
      <c r="Q125" s="1"/>
      <c r="R125" s="1"/>
    </row>
    <row r="126" spans="14:33" x14ac:dyDescent="0.25">
      <c r="N126" s="1" t="s">
        <v>1331</v>
      </c>
      <c r="O126" s="1" t="s">
        <v>1328</v>
      </c>
      <c r="P126" s="1"/>
      <c r="Q126" s="1"/>
      <c r="R126" s="1"/>
    </row>
    <row r="127" spans="14:33" x14ac:dyDescent="0.25">
      <c r="N127" s="1" t="s">
        <v>1331</v>
      </c>
      <c r="O127" s="1" t="s">
        <v>1328</v>
      </c>
      <c r="P127" s="1"/>
      <c r="Q127" s="1"/>
      <c r="R127" s="1"/>
    </row>
    <row r="128" spans="14:33" x14ac:dyDescent="0.25">
      <c r="N128" s="1" t="s">
        <v>1331</v>
      </c>
      <c r="O128" s="1" t="s">
        <v>1328</v>
      </c>
      <c r="P128" s="1"/>
      <c r="Q128" s="1"/>
      <c r="R128" s="1"/>
    </row>
    <row r="129" spans="14:18" x14ac:dyDescent="0.25">
      <c r="N129" s="1" t="s">
        <v>1331</v>
      </c>
      <c r="O129" s="1" t="s">
        <v>1328</v>
      </c>
      <c r="P129" s="1"/>
      <c r="Q129" s="1"/>
      <c r="R129" s="1"/>
    </row>
    <row r="130" spans="14:18" x14ac:dyDescent="0.25">
      <c r="N130" s="1" t="s">
        <v>1331</v>
      </c>
      <c r="O130" s="1" t="s">
        <v>1328</v>
      </c>
      <c r="P130" s="1"/>
      <c r="Q130" s="1"/>
      <c r="R130" s="1"/>
    </row>
    <row r="131" spans="14:18" x14ac:dyDescent="0.25">
      <c r="N131" s="1" t="s">
        <v>1331</v>
      </c>
      <c r="O131" s="1" t="s">
        <v>1328</v>
      </c>
      <c r="P131" s="1"/>
      <c r="Q131" s="1"/>
      <c r="R131" s="1"/>
    </row>
    <row r="132" spans="14:18" x14ac:dyDescent="0.25">
      <c r="N132" s="1" t="s">
        <v>1331</v>
      </c>
      <c r="O132" s="1" t="s">
        <v>1328</v>
      </c>
      <c r="P132" s="1"/>
      <c r="Q132" s="1"/>
      <c r="R132" s="1"/>
    </row>
    <row r="133" spans="14:18" x14ac:dyDescent="0.25">
      <c r="N133" s="1" t="s">
        <v>1331</v>
      </c>
      <c r="O133" s="1" t="s">
        <v>1328</v>
      </c>
      <c r="P133" s="1"/>
      <c r="Q133" s="1"/>
      <c r="R133" s="1"/>
    </row>
    <row r="134" spans="14:18" x14ac:dyDescent="0.25">
      <c r="N134" s="1" t="s">
        <v>1331</v>
      </c>
      <c r="O134" s="1" t="s">
        <v>1328</v>
      </c>
      <c r="P134" s="1"/>
      <c r="Q134" s="1"/>
      <c r="R134" s="1"/>
    </row>
    <row r="135" spans="14:18" x14ac:dyDescent="0.25">
      <c r="N135" s="1" t="s">
        <v>1331</v>
      </c>
      <c r="O135" s="1" t="s">
        <v>1328</v>
      </c>
      <c r="P135" s="1"/>
      <c r="Q135" s="1"/>
      <c r="R135" s="1"/>
    </row>
    <row r="136" spans="14:18" x14ac:dyDescent="0.25">
      <c r="N136" s="1" t="s">
        <v>1331</v>
      </c>
      <c r="O136" s="1" t="s">
        <v>1328</v>
      </c>
      <c r="P136" s="1"/>
      <c r="Q136" s="1"/>
      <c r="R136" s="1"/>
    </row>
    <row r="137" spans="14:18" x14ac:dyDescent="0.25">
      <c r="N137" s="1" t="s">
        <v>1331</v>
      </c>
      <c r="O137" s="1" t="s">
        <v>1328</v>
      </c>
      <c r="P137" s="1"/>
      <c r="Q137" s="1"/>
      <c r="R137" s="1"/>
    </row>
    <row r="138" spans="14:18" x14ac:dyDescent="0.25">
      <c r="N138" s="1" t="s">
        <v>1331</v>
      </c>
      <c r="O138" s="1" t="s">
        <v>1328</v>
      </c>
      <c r="P138" s="1"/>
      <c r="Q138" s="1"/>
      <c r="R138" s="1"/>
    </row>
    <row r="139" spans="14:18" x14ac:dyDescent="0.25">
      <c r="N139" s="1" t="s">
        <v>1331</v>
      </c>
      <c r="O139" s="1" t="s">
        <v>1328</v>
      </c>
      <c r="P139" s="1"/>
      <c r="Q139" s="1"/>
      <c r="R139" s="1"/>
    </row>
    <row r="140" spans="14:18" x14ac:dyDescent="0.25">
      <c r="N140" s="1" t="s">
        <v>1331</v>
      </c>
      <c r="O140" s="1" t="s">
        <v>1328</v>
      </c>
      <c r="P140" s="1"/>
      <c r="Q140" s="1"/>
      <c r="R140" s="1"/>
    </row>
    <row r="141" spans="14:18" x14ac:dyDescent="0.25">
      <c r="N141" s="1" t="s">
        <v>1331</v>
      </c>
      <c r="O141" s="1" t="s">
        <v>1328</v>
      </c>
      <c r="P141" s="1"/>
      <c r="Q141" s="1"/>
      <c r="R141" s="1"/>
    </row>
    <row r="142" spans="14:18" x14ac:dyDescent="0.25">
      <c r="N142" s="1" t="s">
        <v>1331</v>
      </c>
      <c r="O142" s="1" t="s">
        <v>1328</v>
      </c>
      <c r="P142" s="1"/>
      <c r="Q142" s="1"/>
      <c r="R142" s="1"/>
    </row>
    <row r="143" spans="14:18" x14ac:dyDescent="0.25">
      <c r="N143" s="1" t="s">
        <v>1331</v>
      </c>
      <c r="O143" s="1" t="s">
        <v>1328</v>
      </c>
      <c r="P143" s="1"/>
      <c r="Q143" s="1"/>
      <c r="R143" s="1"/>
    </row>
    <row r="144" spans="14:18" x14ac:dyDescent="0.25">
      <c r="N144" s="1" t="s">
        <v>1331</v>
      </c>
      <c r="O144" s="1" t="s">
        <v>1328</v>
      </c>
      <c r="P144" s="1"/>
      <c r="Q144" s="1"/>
      <c r="R144" s="1"/>
    </row>
    <row r="145" spans="14:18" x14ac:dyDescent="0.25">
      <c r="N145" s="1" t="s">
        <v>1331</v>
      </c>
      <c r="O145" s="1" t="s">
        <v>1328</v>
      </c>
      <c r="P145" s="1"/>
      <c r="Q145" s="1"/>
      <c r="R145" s="1"/>
    </row>
    <row r="146" spans="14:18" x14ac:dyDescent="0.25">
      <c r="N146" s="1" t="s">
        <v>1331</v>
      </c>
      <c r="O146" s="1" t="s">
        <v>1328</v>
      </c>
      <c r="P146" s="1"/>
      <c r="Q146" s="1"/>
      <c r="R146" s="1"/>
    </row>
    <row r="147" spans="14:18" x14ac:dyDescent="0.25">
      <c r="N147" s="1" t="s">
        <v>1331</v>
      </c>
      <c r="O147" s="1" t="s">
        <v>1328</v>
      </c>
      <c r="P147" s="1"/>
      <c r="Q147" s="1"/>
      <c r="R147" s="1"/>
    </row>
    <row r="148" spans="14:18" x14ac:dyDescent="0.25">
      <c r="N148"/>
      <c r="O148"/>
      <c r="P148"/>
      <c r="Q148"/>
      <c r="R148"/>
    </row>
    <row r="149" spans="14:18" x14ac:dyDescent="0.25">
      <c r="N149"/>
      <c r="O149"/>
      <c r="P149"/>
      <c r="Q149"/>
      <c r="R149"/>
    </row>
    <row r="150" spans="14:18" x14ac:dyDescent="0.25">
      <c r="N150"/>
      <c r="O150"/>
      <c r="P150"/>
      <c r="Q150"/>
      <c r="R150"/>
    </row>
    <row r="151" spans="14:18" x14ac:dyDescent="0.25">
      <c r="N151"/>
      <c r="O151"/>
      <c r="P151"/>
      <c r="Q151"/>
      <c r="R151"/>
    </row>
    <row r="152" spans="14:18" x14ac:dyDescent="0.25">
      <c r="N152"/>
      <c r="O152"/>
      <c r="P152"/>
      <c r="Q152"/>
      <c r="R152"/>
    </row>
    <row r="153" spans="14:18" x14ac:dyDescent="0.25">
      <c r="N153"/>
      <c r="O153"/>
      <c r="P153"/>
      <c r="Q153"/>
      <c r="R153"/>
    </row>
    <row r="154" spans="14:18" x14ac:dyDescent="0.25">
      <c r="N154"/>
      <c r="O154"/>
      <c r="P154"/>
      <c r="Q154"/>
      <c r="R154"/>
    </row>
    <row r="155" spans="14:18" x14ac:dyDescent="0.25">
      <c r="N155"/>
      <c r="O155"/>
      <c r="P155"/>
      <c r="Q155"/>
      <c r="R155"/>
    </row>
    <row r="156" spans="14:18" x14ac:dyDescent="0.25">
      <c r="N156"/>
      <c r="O156"/>
      <c r="P156"/>
      <c r="Q156"/>
      <c r="R156"/>
    </row>
    <row r="157" spans="14:18" x14ac:dyDescent="0.25">
      <c r="N157"/>
      <c r="O157"/>
      <c r="P157"/>
      <c r="Q157"/>
      <c r="R157"/>
    </row>
    <row r="158" spans="14:18" x14ac:dyDescent="0.25">
      <c r="N158"/>
      <c r="O158"/>
      <c r="P158"/>
      <c r="Q158"/>
      <c r="R158"/>
    </row>
    <row r="159" spans="14:18" x14ac:dyDescent="0.25">
      <c r="N159"/>
      <c r="O159"/>
      <c r="P159"/>
      <c r="Q159"/>
      <c r="R159"/>
    </row>
    <row r="160" spans="14:18" x14ac:dyDescent="0.25">
      <c r="N160"/>
      <c r="O160"/>
      <c r="P160"/>
      <c r="Q160"/>
      <c r="R160"/>
    </row>
    <row r="161" spans="14:18" x14ac:dyDescent="0.25">
      <c r="N161"/>
      <c r="O161"/>
      <c r="P161"/>
      <c r="Q161"/>
      <c r="R161"/>
    </row>
    <row r="162" spans="14:18" x14ac:dyDescent="0.25">
      <c r="N162"/>
      <c r="O162"/>
      <c r="P162"/>
      <c r="Q162"/>
      <c r="R162"/>
    </row>
    <row r="163" spans="14:18" x14ac:dyDescent="0.25">
      <c r="N163"/>
      <c r="O163"/>
      <c r="P163"/>
      <c r="Q163"/>
      <c r="R163"/>
    </row>
    <row r="164" spans="14:18" x14ac:dyDescent="0.25">
      <c r="N164"/>
      <c r="O164"/>
      <c r="P164"/>
      <c r="Q164"/>
      <c r="R164"/>
    </row>
    <row r="165" spans="14:18" x14ac:dyDescent="0.25">
      <c r="N165"/>
      <c r="O165"/>
      <c r="P165"/>
      <c r="Q165"/>
      <c r="R165"/>
    </row>
    <row r="166" spans="14:18" x14ac:dyDescent="0.25">
      <c r="N166"/>
      <c r="O166"/>
      <c r="P166"/>
      <c r="Q166"/>
      <c r="R166"/>
    </row>
    <row r="167" spans="14:18" x14ac:dyDescent="0.25">
      <c r="N167"/>
      <c r="O167"/>
      <c r="P167"/>
      <c r="Q167"/>
      <c r="R167"/>
    </row>
    <row r="168" spans="14:18" x14ac:dyDescent="0.25">
      <c r="N168"/>
      <c r="O168"/>
      <c r="P168"/>
      <c r="Q168"/>
      <c r="R168"/>
    </row>
    <row r="169" spans="14:18" x14ac:dyDescent="0.25">
      <c r="N169"/>
      <c r="O169"/>
      <c r="P169"/>
      <c r="Q169"/>
      <c r="R169"/>
    </row>
    <row r="170" spans="14:18" x14ac:dyDescent="0.25">
      <c r="N170"/>
      <c r="O170"/>
      <c r="P170"/>
      <c r="Q170"/>
      <c r="R170"/>
    </row>
    <row r="171" spans="14:18" x14ac:dyDescent="0.25">
      <c r="N171"/>
      <c r="O171"/>
      <c r="P171"/>
      <c r="Q171"/>
      <c r="R171"/>
    </row>
    <row r="172" spans="14:18" x14ac:dyDescent="0.25">
      <c r="N172"/>
      <c r="O172"/>
      <c r="P172"/>
      <c r="Q172"/>
      <c r="R172"/>
    </row>
    <row r="173" spans="14:18" x14ac:dyDescent="0.25">
      <c r="N173"/>
      <c r="O173"/>
      <c r="P173"/>
      <c r="Q173"/>
      <c r="R173"/>
    </row>
    <row r="174" spans="14:18" x14ac:dyDescent="0.25">
      <c r="N174"/>
      <c r="O174"/>
      <c r="P174"/>
      <c r="Q174"/>
      <c r="R174"/>
    </row>
    <row r="175" spans="14:18" x14ac:dyDescent="0.25">
      <c r="N175"/>
      <c r="O175"/>
      <c r="P175"/>
      <c r="Q175"/>
      <c r="R175"/>
    </row>
    <row r="176" spans="14:18" x14ac:dyDescent="0.25">
      <c r="N176"/>
      <c r="O176"/>
      <c r="P176"/>
      <c r="Q176"/>
      <c r="R176"/>
    </row>
    <row r="177" spans="14:18" x14ac:dyDescent="0.25">
      <c r="N177"/>
      <c r="O177"/>
      <c r="P177"/>
      <c r="Q177"/>
      <c r="R177"/>
    </row>
    <row r="178" spans="14:18" x14ac:dyDescent="0.25">
      <c r="N178"/>
      <c r="O178"/>
      <c r="P178"/>
      <c r="Q178"/>
      <c r="R178"/>
    </row>
    <row r="179" spans="14:18" x14ac:dyDescent="0.25">
      <c r="N179"/>
      <c r="O179"/>
      <c r="P179"/>
      <c r="Q179"/>
      <c r="R179"/>
    </row>
    <row r="180" spans="14:18" x14ac:dyDescent="0.25">
      <c r="N180"/>
      <c r="O180"/>
      <c r="P180"/>
      <c r="Q180"/>
      <c r="R180"/>
    </row>
    <row r="181" spans="14:18" x14ac:dyDescent="0.25">
      <c r="N181"/>
      <c r="O181"/>
      <c r="P181"/>
      <c r="Q181"/>
      <c r="R181"/>
    </row>
    <row r="182" spans="14:18" x14ac:dyDescent="0.25">
      <c r="N182"/>
      <c r="O182"/>
      <c r="P182"/>
      <c r="Q182"/>
      <c r="R182"/>
    </row>
    <row r="183" spans="14:18" x14ac:dyDescent="0.25">
      <c r="N183"/>
      <c r="O183"/>
      <c r="P183"/>
      <c r="Q183"/>
      <c r="R183"/>
    </row>
    <row r="184" spans="14:18" x14ac:dyDescent="0.25">
      <c r="N184"/>
      <c r="O184"/>
      <c r="P184"/>
      <c r="Q184"/>
      <c r="R184"/>
    </row>
    <row r="185" spans="14:18" x14ac:dyDescent="0.25">
      <c r="N185"/>
      <c r="O185"/>
      <c r="P185"/>
      <c r="Q185"/>
      <c r="R185"/>
    </row>
    <row r="186" spans="14:18" x14ac:dyDescent="0.25">
      <c r="N186"/>
      <c r="O186"/>
      <c r="P186"/>
      <c r="Q186"/>
      <c r="R186"/>
    </row>
    <row r="187" spans="14:18" x14ac:dyDescent="0.25">
      <c r="N187"/>
      <c r="O187"/>
      <c r="P187"/>
      <c r="Q187"/>
      <c r="R187"/>
    </row>
    <row r="188" spans="14:18" x14ac:dyDescent="0.25">
      <c r="N188"/>
      <c r="O188"/>
      <c r="P188"/>
      <c r="Q188"/>
      <c r="R188"/>
    </row>
    <row r="189" spans="14:18" x14ac:dyDescent="0.25">
      <c r="N189"/>
      <c r="O189"/>
      <c r="P189"/>
      <c r="Q189"/>
      <c r="R189"/>
    </row>
    <row r="190" spans="14:18" x14ac:dyDescent="0.25">
      <c r="N190"/>
      <c r="O190"/>
      <c r="P190"/>
      <c r="Q190"/>
      <c r="R190"/>
    </row>
    <row r="191" spans="14:18" x14ac:dyDescent="0.25">
      <c r="N191"/>
      <c r="O191"/>
      <c r="P191"/>
      <c r="Q191"/>
      <c r="R191"/>
    </row>
    <row r="192" spans="14:18" x14ac:dyDescent="0.25">
      <c r="N192"/>
      <c r="O192"/>
      <c r="P192"/>
      <c r="Q192"/>
      <c r="R192"/>
    </row>
    <row r="193" spans="14:18" x14ac:dyDescent="0.25">
      <c r="N193"/>
      <c r="O193"/>
      <c r="P193"/>
      <c r="Q193"/>
      <c r="R193"/>
    </row>
    <row r="194" spans="14:18" x14ac:dyDescent="0.25">
      <c r="N194"/>
      <c r="O194"/>
      <c r="P194"/>
      <c r="Q194"/>
      <c r="R194"/>
    </row>
    <row r="195" spans="14:18" x14ac:dyDescent="0.25">
      <c r="N195"/>
      <c r="O195"/>
      <c r="P195"/>
      <c r="Q195"/>
      <c r="R195"/>
    </row>
    <row r="196" spans="14:18" x14ac:dyDescent="0.25">
      <c r="N196"/>
      <c r="O196"/>
      <c r="P196"/>
      <c r="Q196"/>
      <c r="R196"/>
    </row>
    <row r="197" spans="14:18" x14ac:dyDescent="0.25">
      <c r="N197"/>
      <c r="O197"/>
      <c r="P197"/>
      <c r="Q197"/>
      <c r="R197"/>
    </row>
    <row r="198" spans="14:18" x14ac:dyDescent="0.25">
      <c r="N198"/>
      <c r="O198"/>
      <c r="P198"/>
      <c r="Q198"/>
      <c r="R198"/>
    </row>
    <row r="199" spans="14:18" x14ac:dyDescent="0.25">
      <c r="N199"/>
      <c r="O199"/>
      <c r="P199"/>
      <c r="Q199"/>
      <c r="R199"/>
    </row>
    <row r="200" spans="14:18" x14ac:dyDescent="0.25">
      <c r="N200"/>
      <c r="O200"/>
      <c r="P200"/>
      <c r="Q200"/>
      <c r="R200"/>
    </row>
    <row r="201" spans="14:18" x14ac:dyDescent="0.25">
      <c r="N201"/>
      <c r="O201"/>
      <c r="P201"/>
      <c r="Q201"/>
      <c r="R201"/>
    </row>
    <row r="202" spans="14:18" x14ac:dyDescent="0.25">
      <c r="N202"/>
      <c r="O202"/>
      <c r="P202"/>
      <c r="Q202"/>
      <c r="R202"/>
    </row>
    <row r="203" spans="14:18" x14ac:dyDescent="0.25">
      <c r="N203"/>
      <c r="O203"/>
      <c r="P203"/>
      <c r="Q203"/>
      <c r="R203"/>
    </row>
    <row r="204" spans="14:18" x14ac:dyDescent="0.25">
      <c r="N204"/>
      <c r="O204"/>
      <c r="P204"/>
      <c r="Q204"/>
      <c r="R204"/>
    </row>
    <row r="205" spans="14:18" x14ac:dyDescent="0.25">
      <c r="N205"/>
      <c r="O205"/>
      <c r="P205"/>
      <c r="Q205"/>
      <c r="R205"/>
    </row>
    <row r="206" spans="14:18" x14ac:dyDescent="0.25">
      <c r="N206"/>
      <c r="O206"/>
      <c r="P206"/>
      <c r="Q206"/>
      <c r="R206"/>
    </row>
    <row r="207" spans="14:18" x14ac:dyDescent="0.25">
      <c r="N207"/>
      <c r="O207"/>
      <c r="P207"/>
      <c r="Q207"/>
      <c r="R207"/>
    </row>
    <row r="208" spans="14:18" x14ac:dyDescent="0.25">
      <c r="N208"/>
      <c r="O208"/>
      <c r="P208"/>
      <c r="Q208"/>
      <c r="R208"/>
    </row>
    <row r="209" spans="14:18" x14ac:dyDescent="0.25">
      <c r="N209"/>
      <c r="O209"/>
      <c r="P209"/>
      <c r="Q209"/>
      <c r="R209"/>
    </row>
    <row r="210" spans="14:18" x14ac:dyDescent="0.25">
      <c r="N210"/>
      <c r="O210"/>
      <c r="P210"/>
      <c r="Q210"/>
      <c r="R210"/>
    </row>
    <row r="211" spans="14:18" x14ac:dyDescent="0.25">
      <c r="N211"/>
      <c r="O211"/>
      <c r="P211"/>
      <c r="Q211"/>
      <c r="R211"/>
    </row>
    <row r="212" spans="14:18" x14ac:dyDescent="0.25">
      <c r="N212"/>
      <c r="O212"/>
      <c r="P212"/>
      <c r="Q212"/>
      <c r="R212"/>
    </row>
    <row r="213" spans="14:18" x14ac:dyDescent="0.25">
      <c r="N213"/>
      <c r="O213"/>
      <c r="P213"/>
      <c r="Q213"/>
      <c r="R213"/>
    </row>
    <row r="214" spans="14:18" x14ac:dyDescent="0.25">
      <c r="N214"/>
      <c r="O214"/>
      <c r="P214"/>
      <c r="Q214"/>
      <c r="R214"/>
    </row>
    <row r="215" spans="14:18" x14ac:dyDescent="0.25">
      <c r="N215"/>
      <c r="O215"/>
      <c r="P215"/>
      <c r="Q215"/>
      <c r="R215"/>
    </row>
    <row r="216" spans="14:18" x14ac:dyDescent="0.25">
      <c r="N216"/>
      <c r="O216"/>
      <c r="P216"/>
      <c r="Q216"/>
      <c r="R216"/>
    </row>
    <row r="217" spans="14:18" x14ac:dyDescent="0.25">
      <c r="N217"/>
      <c r="O217"/>
      <c r="P217"/>
      <c r="Q217"/>
      <c r="R217"/>
    </row>
    <row r="218" spans="14:18" x14ac:dyDescent="0.25">
      <c r="N218"/>
      <c r="O218"/>
      <c r="P218"/>
      <c r="Q218"/>
      <c r="R218"/>
    </row>
    <row r="219" spans="14:18" x14ac:dyDescent="0.25">
      <c r="N219"/>
      <c r="O219"/>
      <c r="P219"/>
      <c r="Q219"/>
      <c r="R219"/>
    </row>
    <row r="220" spans="14:18" x14ac:dyDescent="0.25">
      <c r="N220"/>
      <c r="O220"/>
      <c r="P220"/>
      <c r="Q220"/>
      <c r="R220"/>
    </row>
    <row r="221" spans="14:18" x14ac:dyDescent="0.25">
      <c r="N221"/>
      <c r="O221"/>
      <c r="P221"/>
      <c r="Q221"/>
      <c r="R221"/>
    </row>
    <row r="222" spans="14:18" x14ac:dyDescent="0.25">
      <c r="N222"/>
      <c r="O222"/>
      <c r="P222"/>
      <c r="Q222"/>
      <c r="R222"/>
    </row>
    <row r="223" spans="14:18" x14ac:dyDescent="0.25">
      <c r="N223"/>
      <c r="O223"/>
      <c r="P223"/>
      <c r="Q223"/>
      <c r="R223"/>
    </row>
    <row r="224" spans="14:18" x14ac:dyDescent="0.25">
      <c r="N224"/>
      <c r="O224"/>
      <c r="P224"/>
      <c r="Q224"/>
      <c r="R224"/>
    </row>
    <row r="225" spans="14:18" x14ac:dyDescent="0.25">
      <c r="N225"/>
      <c r="O225"/>
      <c r="P225"/>
      <c r="Q225"/>
      <c r="R225"/>
    </row>
    <row r="226" spans="14:18" x14ac:dyDescent="0.25">
      <c r="N226"/>
      <c r="O226"/>
      <c r="P226"/>
      <c r="Q226"/>
      <c r="R226"/>
    </row>
    <row r="227" spans="14:18" x14ac:dyDescent="0.25">
      <c r="N227"/>
      <c r="O227"/>
      <c r="P227"/>
      <c r="Q227"/>
      <c r="R227"/>
    </row>
    <row r="228" spans="14:18" x14ac:dyDescent="0.25">
      <c r="N228"/>
      <c r="O228"/>
      <c r="P228"/>
      <c r="Q228"/>
      <c r="R228"/>
    </row>
    <row r="229" spans="14:18" x14ac:dyDescent="0.25">
      <c r="N229"/>
      <c r="O229"/>
      <c r="P229"/>
      <c r="Q229"/>
      <c r="R229"/>
    </row>
    <row r="230" spans="14:18" x14ac:dyDescent="0.25">
      <c r="N230"/>
      <c r="O230"/>
      <c r="P230"/>
      <c r="Q230"/>
      <c r="R230"/>
    </row>
    <row r="231" spans="14:18" x14ac:dyDescent="0.25">
      <c r="N231"/>
      <c r="O231"/>
      <c r="P231"/>
      <c r="Q231"/>
      <c r="R231"/>
    </row>
    <row r="232" spans="14:18" x14ac:dyDescent="0.25">
      <c r="N232"/>
      <c r="O232"/>
      <c r="P232"/>
      <c r="Q232"/>
      <c r="R232"/>
    </row>
    <row r="233" spans="14:18" x14ac:dyDescent="0.25">
      <c r="N233"/>
      <c r="O233"/>
      <c r="P233"/>
      <c r="Q233"/>
      <c r="R233"/>
    </row>
    <row r="234" spans="14:18" x14ac:dyDescent="0.25">
      <c r="N234"/>
      <c r="O234"/>
      <c r="P234"/>
      <c r="Q234"/>
      <c r="R234"/>
    </row>
    <row r="235" spans="14:18" x14ac:dyDescent="0.25">
      <c r="N235"/>
      <c r="O235"/>
      <c r="P235"/>
      <c r="Q235"/>
      <c r="R235"/>
    </row>
    <row r="236" spans="14:18" x14ac:dyDescent="0.25">
      <c r="N236"/>
      <c r="O236"/>
      <c r="P236"/>
      <c r="Q236"/>
      <c r="R236"/>
    </row>
    <row r="237" spans="14:18" x14ac:dyDescent="0.25">
      <c r="N237"/>
      <c r="O237"/>
      <c r="P237"/>
      <c r="Q237"/>
      <c r="R237"/>
    </row>
    <row r="238" spans="14:18" x14ac:dyDescent="0.25">
      <c r="N238"/>
      <c r="O238"/>
      <c r="P238"/>
      <c r="Q238"/>
      <c r="R238"/>
    </row>
    <row r="239" spans="14:18" x14ac:dyDescent="0.25">
      <c r="N239"/>
      <c r="O239"/>
      <c r="P239"/>
      <c r="Q239"/>
      <c r="R239"/>
    </row>
    <row r="240" spans="14:18" x14ac:dyDescent="0.25">
      <c r="N240"/>
      <c r="O240"/>
      <c r="P240"/>
      <c r="Q240"/>
      <c r="R240"/>
    </row>
    <row r="241" spans="14:18" x14ac:dyDescent="0.25">
      <c r="N241"/>
      <c r="O241"/>
      <c r="P241"/>
      <c r="Q241"/>
      <c r="R241"/>
    </row>
    <row r="242" spans="14:18" x14ac:dyDescent="0.25">
      <c r="N242"/>
      <c r="O242"/>
      <c r="P242"/>
      <c r="Q242"/>
      <c r="R242"/>
    </row>
    <row r="243" spans="14:18" x14ac:dyDescent="0.25">
      <c r="N243"/>
      <c r="O243"/>
      <c r="P243"/>
      <c r="Q243"/>
      <c r="R243"/>
    </row>
    <row r="244" spans="14:18" x14ac:dyDescent="0.25">
      <c r="N244"/>
      <c r="O244"/>
      <c r="P244"/>
      <c r="Q244"/>
      <c r="R244"/>
    </row>
    <row r="245" spans="14:18" x14ac:dyDescent="0.25">
      <c r="N245"/>
      <c r="O245"/>
      <c r="P245"/>
      <c r="Q245"/>
      <c r="R245"/>
    </row>
    <row r="246" spans="14:18" x14ac:dyDescent="0.25">
      <c r="N246"/>
      <c r="O246"/>
      <c r="P246"/>
      <c r="Q246"/>
      <c r="R246"/>
    </row>
    <row r="247" spans="14:18" x14ac:dyDescent="0.25">
      <c r="N247"/>
      <c r="O247"/>
      <c r="P247"/>
      <c r="Q247"/>
      <c r="R247"/>
    </row>
    <row r="248" spans="14:18" x14ac:dyDescent="0.25">
      <c r="N248"/>
      <c r="O248"/>
      <c r="P248"/>
      <c r="Q248"/>
      <c r="R248"/>
    </row>
    <row r="249" spans="14:18" x14ac:dyDescent="0.25">
      <c r="N249"/>
      <c r="O249"/>
      <c r="P249"/>
      <c r="Q249"/>
      <c r="R249"/>
    </row>
    <row r="250" spans="14:18" x14ac:dyDescent="0.25">
      <c r="N250"/>
      <c r="O250"/>
      <c r="P250"/>
      <c r="Q250"/>
      <c r="R250"/>
    </row>
    <row r="251" spans="14:18" x14ac:dyDescent="0.25">
      <c r="N251"/>
      <c r="O251"/>
      <c r="P251"/>
      <c r="Q251"/>
      <c r="R251"/>
    </row>
    <row r="252" spans="14:18" x14ac:dyDescent="0.25">
      <c r="N252"/>
      <c r="O252"/>
      <c r="P252"/>
      <c r="Q252"/>
      <c r="R252"/>
    </row>
    <row r="253" spans="14:18" x14ac:dyDescent="0.25">
      <c r="N253"/>
      <c r="O253"/>
      <c r="P253"/>
      <c r="Q253"/>
      <c r="R253"/>
    </row>
    <row r="254" spans="14:18" x14ac:dyDescent="0.25">
      <c r="N254"/>
      <c r="O254"/>
      <c r="P254"/>
      <c r="Q254"/>
      <c r="R254"/>
    </row>
    <row r="255" spans="14:18" x14ac:dyDescent="0.25">
      <c r="N255"/>
      <c r="O255"/>
      <c r="P255"/>
      <c r="Q255"/>
      <c r="R255"/>
    </row>
    <row r="256" spans="14:18" x14ac:dyDescent="0.25">
      <c r="N256"/>
      <c r="O256"/>
      <c r="P256"/>
      <c r="Q256"/>
      <c r="R256"/>
    </row>
    <row r="257" spans="14:18" x14ac:dyDescent="0.25">
      <c r="N257"/>
      <c r="O257"/>
      <c r="P257"/>
      <c r="Q257"/>
      <c r="R257"/>
    </row>
    <row r="258" spans="14:18" x14ac:dyDescent="0.25">
      <c r="N258"/>
      <c r="O258"/>
      <c r="P258"/>
      <c r="Q258"/>
      <c r="R258"/>
    </row>
    <row r="259" spans="14:18" x14ac:dyDescent="0.25">
      <c r="N259"/>
      <c r="O259"/>
      <c r="P259"/>
      <c r="Q259"/>
      <c r="R259"/>
    </row>
    <row r="260" spans="14:18" x14ac:dyDescent="0.25">
      <c r="N260"/>
      <c r="O260"/>
      <c r="P260"/>
      <c r="Q260"/>
      <c r="R260"/>
    </row>
    <row r="261" spans="14:18" x14ac:dyDescent="0.25">
      <c r="N261"/>
      <c r="O261"/>
      <c r="P261"/>
      <c r="Q261"/>
      <c r="R261"/>
    </row>
    <row r="262" spans="14:18" x14ac:dyDescent="0.25">
      <c r="N262"/>
      <c r="O262"/>
      <c r="P262"/>
      <c r="Q262"/>
      <c r="R262"/>
    </row>
    <row r="263" spans="14:18" x14ac:dyDescent="0.25">
      <c r="N263"/>
      <c r="O263"/>
      <c r="P263"/>
      <c r="Q263"/>
      <c r="R263"/>
    </row>
    <row r="264" spans="14:18" x14ac:dyDescent="0.25">
      <c r="N264"/>
      <c r="O264"/>
      <c r="P264"/>
      <c r="Q264"/>
      <c r="R264"/>
    </row>
    <row r="265" spans="14:18" x14ac:dyDescent="0.25">
      <c r="N265"/>
      <c r="O265"/>
      <c r="P265"/>
      <c r="Q265"/>
      <c r="R265"/>
    </row>
    <row r="266" spans="14:18" x14ac:dyDescent="0.25">
      <c r="N266"/>
      <c r="O266"/>
      <c r="P266"/>
      <c r="Q266"/>
      <c r="R266"/>
    </row>
    <row r="267" spans="14:18" x14ac:dyDescent="0.25">
      <c r="N267"/>
      <c r="O267"/>
      <c r="P267"/>
      <c r="Q267"/>
      <c r="R267"/>
    </row>
    <row r="268" spans="14:18" x14ac:dyDescent="0.25">
      <c r="N268"/>
      <c r="O268"/>
      <c r="P268"/>
      <c r="Q268"/>
      <c r="R268"/>
    </row>
    <row r="269" spans="14:18" x14ac:dyDescent="0.25">
      <c r="N269"/>
      <c r="O269"/>
      <c r="P269"/>
      <c r="Q269"/>
      <c r="R269"/>
    </row>
    <row r="270" spans="14:18" x14ac:dyDescent="0.25">
      <c r="N270"/>
      <c r="O270"/>
      <c r="P270"/>
      <c r="Q270"/>
      <c r="R270"/>
    </row>
    <row r="271" spans="14:18" x14ac:dyDescent="0.25">
      <c r="N271"/>
      <c r="O271"/>
      <c r="P271"/>
      <c r="Q271"/>
      <c r="R271"/>
    </row>
    <row r="272" spans="14:18" x14ac:dyDescent="0.25">
      <c r="N272"/>
      <c r="O272"/>
      <c r="P272"/>
      <c r="Q272"/>
      <c r="R272"/>
    </row>
    <row r="273" spans="14:18" x14ac:dyDescent="0.25">
      <c r="N273"/>
      <c r="O273"/>
      <c r="P273"/>
      <c r="Q273"/>
      <c r="R273"/>
    </row>
    <row r="274" spans="14:18" x14ac:dyDescent="0.25">
      <c r="N274"/>
      <c r="O274"/>
      <c r="P274"/>
      <c r="Q274"/>
      <c r="R274"/>
    </row>
    <row r="275" spans="14:18" x14ac:dyDescent="0.25">
      <c r="N275"/>
      <c r="O275"/>
      <c r="P275"/>
      <c r="Q275"/>
      <c r="R275"/>
    </row>
    <row r="276" spans="14:18" x14ac:dyDescent="0.25">
      <c r="N276"/>
      <c r="O276"/>
      <c r="P276"/>
      <c r="Q276"/>
      <c r="R276"/>
    </row>
    <row r="277" spans="14:18" x14ac:dyDescent="0.25">
      <c r="N277"/>
      <c r="O277"/>
      <c r="P277"/>
      <c r="Q277"/>
      <c r="R277"/>
    </row>
    <row r="278" spans="14:18" x14ac:dyDescent="0.25">
      <c r="N278"/>
      <c r="O278"/>
      <c r="P278"/>
      <c r="Q278"/>
      <c r="R278"/>
    </row>
    <row r="279" spans="14:18" x14ac:dyDescent="0.25">
      <c r="N279"/>
      <c r="O279"/>
      <c r="P279"/>
      <c r="Q279"/>
      <c r="R279"/>
    </row>
    <row r="280" spans="14:18" x14ac:dyDescent="0.25">
      <c r="N280"/>
      <c r="O280"/>
      <c r="P280"/>
      <c r="Q280"/>
      <c r="R280"/>
    </row>
    <row r="281" spans="14:18" x14ac:dyDescent="0.25">
      <c r="N281"/>
      <c r="O281"/>
      <c r="P281"/>
      <c r="Q281"/>
      <c r="R281"/>
    </row>
    <row r="282" spans="14:18" x14ac:dyDescent="0.25">
      <c r="N282"/>
      <c r="O282"/>
      <c r="P282"/>
      <c r="Q282"/>
      <c r="R282"/>
    </row>
    <row r="283" spans="14:18" x14ac:dyDescent="0.25">
      <c r="N283"/>
      <c r="O283"/>
      <c r="P283"/>
      <c r="Q283"/>
      <c r="R283"/>
    </row>
    <row r="284" spans="14:18" x14ac:dyDescent="0.25">
      <c r="N284"/>
      <c r="O284"/>
      <c r="P284"/>
      <c r="Q284"/>
      <c r="R284"/>
    </row>
    <row r="285" spans="14:18" x14ac:dyDescent="0.25">
      <c r="N285"/>
      <c r="O285"/>
      <c r="P285"/>
      <c r="Q285"/>
      <c r="R285"/>
    </row>
    <row r="286" spans="14:18" x14ac:dyDescent="0.25">
      <c r="N286"/>
      <c r="O286"/>
      <c r="P286"/>
      <c r="Q286"/>
      <c r="R286"/>
    </row>
    <row r="287" spans="14:18" x14ac:dyDescent="0.25">
      <c r="N287"/>
      <c r="O287"/>
      <c r="P287"/>
      <c r="Q287"/>
      <c r="R287"/>
    </row>
    <row r="288" spans="14:18" x14ac:dyDescent="0.25">
      <c r="N288"/>
      <c r="O288"/>
      <c r="P288"/>
      <c r="Q288"/>
      <c r="R288"/>
    </row>
    <row r="289" spans="14:18" x14ac:dyDescent="0.25">
      <c r="N289"/>
      <c r="O289"/>
      <c r="P289"/>
      <c r="Q289"/>
      <c r="R289"/>
    </row>
    <row r="290" spans="14:18" x14ac:dyDescent="0.25">
      <c r="N290"/>
      <c r="O290"/>
      <c r="P290"/>
      <c r="Q290"/>
      <c r="R290"/>
    </row>
    <row r="291" spans="14:18" x14ac:dyDescent="0.25">
      <c r="N291"/>
      <c r="O291"/>
      <c r="P291"/>
      <c r="Q291"/>
      <c r="R291"/>
    </row>
    <row r="292" spans="14:18" x14ac:dyDescent="0.25">
      <c r="N292"/>
      <c r="O292"/>
      <c r="P292"/>
      <c r="Q292"/>
      <c r="R292"/>
    </row>
    <row r="293" spans="14:18" x14ac:dyDescent="0.25">
      <c r="N293"/>
      <c r="O293"/>
      <c r="P293"/>
      <c r="Q293"/>
      <c r="R293"/>
    </row>
    <row r="294" spans="14:18" x14ac:dyDescent="0.25">
      <c r="N294"/>
      <c r="O294"/>
      <c r="P294"/>
      <c r="Q294"/>
      <c r="R294"/>
    </row>
    <row r="295" spans="14:18" x14ac:dyDescent="0.25">
      <c r="N295"/>
      <c r="O295"/>
      <c r="P295"/>
      <c r="Q295"/>
      <c r="R295"/>
    </row>
    <row r="296" spans="14:18" x14ac:dyDescent="0.25">
      <c r="N296"/>
      <c r="O296"/>
      <c r="P296"/>
      <c r="Q296"/>
      <c r="R296"/>
    </row>
    <row r="297" spans="14:18" x14ac:dyDescent="0.25">
      <c r="N297"/>
      <c r="O297"/>
      <c r="P297"/>
      <c r="Q297"/>
      <c r="R297"/>
    </row>
    <row r="298" spans="14:18" x14ac:dyDescent="0.25">
      <c r="N298"/>
      <c r="O298"/>
      <c r="P298"/>
      <c r="Q298"/>
      <c r="R298"/>
    </row>
    <row r="299" spans="14:18" x14ac:dyDescent="0.25">
      <c r="N299"/>
      <c r="O299"/>
      <c r="P299"/>
      <c r="Q299"/>
      <c r="R299"/>
    </row>
    <row r="300" spans="14:18" x14ac:dyDescent="0.25">
      <c r="N300"/>
      <c r="O300"/>
      <c r="P300"/>
      <c r="Q300"/>
      <c r="R300"/>
    </row>
    <row r="301" spans="14:18" x14ac:dyDescent="0.25">
      <c r="N301"/>
      <c r="O301"/>
      <c r="P301"/>
      <c r="Q301"/>
      <c r="R301"/>
    </row>
    <row r="302" spans="14:18" x14ac:dyDescent="0.25">
      <c r="N302"/>
      <c r="O302"/>
      <c r="P302"/>
      <c r="Q302"/>
      <c r="R302"/>
    </row>
    <row r="303" spans="14:18" x14ac:dyDescent="0.25">
      <c r="N303"/>
      <c r="O303"/>
      <c r="P303"/>
      <c r="Q303"/>
      <c r="R303"/>
    </row>
    <row r="304" spans="14:18" x14ac:dyDescent="0.25">
      <c r="N304"/>
      <c r="O304"/>
      <c r="P304"/>
      <c r="Q304"/>
      <c r="R304"/>
    </row>
    <row r="305" spans="14:18" x14ac:dyDescent="0.25">
      <c r="N305"/>
      <c r="O305"/>
      <c r="P305"/>
      <c r="Q305"/>
      <c r="R305"/>
    </row>
    <row r="306" spans="14:18" x14ac:dyDescent="0.25">
      <c r="N306"/>
      <c r="O306"/>
      <c r="P306"/>
      <c r="Q306"/>
      <c r="R306"/>
    </row>
    <row r="307" spans="14:18" x14ac:dyDescent="0.25">
      <c r="N307"/>
      <c r="O307"/>
      <c r="P307"/>
      <c r="Q307"/>
      <c r="R307"/>
    </row>
    <row r="308" spans="14:18" x14ac:dyDescent="0.25">
      <c r="N308"/>
      <c r="O308"/>
      <c r="P308"/>
      <c r="Q308"/>
      <c r="R308"/>
    </row>
    <row r="309" spans="14:18" x14ac:dyDescent="0.25">
      <c r="N309"/>
      <c r="O309"/>
      <c r="P309"/>
      <c r="Q309"/>
      <c r="R309"/>
    </row>
    <row r="310" spans="14:18" x14ac:dyDescent="0.25">
      <c r="N310"/>
      <c r="O310"/>
      <c r="P310"/>
      <c r="Q310"/>
      <c r="R310"/>
    </row>
    <row r="311" spans="14:18" x14ac:dyDescent="0.25">
      <c r="N311"/>
      <c r="O311"/>
      <c r="P311"/>
      <c r="Q311"/>
      <c r="R311"/>
    </row>
    <row r="312" spans="14:18" x14ac:dyDescent="0.25">
      <c r="N312"/>
      <c r="O312"/>
      <c r="P312"/>
      <c r="Q312"/>
      <c r="R312"/>
    </row>
    <row r="313" spans="14:18" x14ac:dyDescent="0.25">
      <c r="N313"/>
      <c r="O313"/>
      <c r="P313"/>
      <c r="Q313"/>
      <c r="R313"/>
    </row>
    <row r="314" spans="14:18" x14ac:dyDescent="0.25">
      <c r="N314"/>
      <c r="O314"/>
      <c r="P314"/>
      <c r="Q314"/>
      <c r="R314"/>
    </row>
    <row r="315" spans="14:18" x14ac:dyDescent="0.25">
      <c r="N315"/>
      <c r="O315"/>
      <c r="P315"/>
      <c r="Q315"/>
      <c r="R315"/>
    </row>
    <row r="316" spans="14:18" x14ac:dyDescent="0.25">
      <c r="N316"/>
      <c r="O316"/>
      <c r="P316"/>
      <c r="Q316"/>
      <c r="R316"/>
    </row>
    <row r="317" spans="14:18" x14ac:dyDescent="0.25">
      <c r="N317"/>
      <c r="O317"/>
      <c r="P317"/>
      <c r="Q317"/>
      <c r="R317"/>
    </row>
    <row r="318" spans="14:18" x14ac:dyDescent="0.25">
      <c r="N318"/>
      <c r="O318"/>
      <c r="P318"/>
      <c r="Q318"/>
      <c r="R318"/>
    </row>
    <row r="319" spans="14:18" x14ac:dyDescent="0.25">
      <c r="N319"/>
      <c r="O319"/>
      <c r="P319"/>
      <c r="Q319"/>
      <c r="R319"/>
    </row>
    <row r="320" spans="14:18" x14ac:dyDescent="0.25">
      <c r="N320"/>
      <c r="O320"/>
      <c r="P320"/>
      <c r="Q320"/>
      <c r="R320"/>
    </row>
    <row r="321" spans="14:18" x14ac:dyDescent="0.25">
      <c r="N321"/>
      <c r="O321"/>
      <c r="P321"/>
      <c r="Q321"/>
      <c r="R321"/>
    </row>
    <row r="322" spans="14:18" x14ac:dyDescent="0.25">
      <c r="N322"/>
      <c r="O322"/>
      <c r="P322"/>
      <c r="Q322"/>
      <c r="R322"/>
    </row>
    <row r="323" spans="14:18" x14ac:dyDescent="0.25">
      <c r="N323"/>
      <c r="O323"/>
      <c r="P323"/>
      <c r="Q323"/>
      <c r="R323"/>
    </row>
    <row r="324" spans="14:18" x14ac:dyDescent="0.25">
      <c r="N324"/>
      <c r="O324"/>
      <c r="P324"/>
      <c r="Q324"/>
      <c r="R324"/>
    </row>
    <row r="325" spans="14:18" x14ac:dyDescent="0.25">
      <c r="N325"/>
      <c r="O325"/>
      <c r="P325"/>
      <c r="Q325"/>
      <c r="R325"/>
    </row>
    <row r="326" spans="14:18" x14ac:dyDescent="0.25">
      <c r="N326"/>
      <c r="O326"/>
      <c r="P326"/>
      <c r="Q326"/>
      <c r="R326"/>
    </row>
    <row r="327" spans="14:18" x14ac:dyDescent="0.25">
      <c r="N327"/>
      <c r="O327"/>
      <c r="P327"/>
      <c r="Q327"/>
      <c r="R327"/>
    </row>
    <row r="328" spans="14:18" x14ac:dyDescent="0.25">
      <c r="N328"/>
      <c r="O328"/>
      <c r="P328"/>
      <c r="Q328"/>
      <c r="R328"/>
    </row>
    <row r="329" spans="14:18" x14ac:dyDescent="0.25">
      <c r="N329"/>
      <c r="O329"/>
      <c r="P329"/>
      <c r="Q329"/>
      <c r="R329"/>
    </row>
    <row r="330" spans="14:18" x14ac:dyDescent="0.25">
      <c r="N330"/>
      <c r="O330"/>
      <c r="P330"/>
      <c r="Q330"/>
      <c r="R330"/>
    </row>
    <row r="331" spans="14:18" x14ac:dyDescent="0.25">
      <c r="N331"/>
      <c r="O331"/>
      <c r="P331"/>
      <c r="Q331"/>
      <c r="R331"/>
    </row>
    <row r="332" spans="14:18" x14ac:dyDescent="0.25">
      <c r="N332"/>
      <c r="O332"/>
      <c r="P332"/>
      <c r="Q332"/>
      <c r="R332"/>
    </row>
    <row r="333" spans="14:18" x14ac:dyDescent="0.25">
      <c r="N333"/>
      <c r="O333"/>
      <c r="P333"/>
      <c r="Q333"/>
      <c r="R333"/>
    </row>
    <row r="334" spans="14:18" x14ac:dyDescent="0.25">
      <c r="N334"/>
      <c r="O334"/>
      <c r="P334"/>
      <c r="Q334"/>
      <c r="R334"/>
    </row>
    <row r="335" spans="14:18" x14ac:dyDescent="0.25">
      <c r="N335"/>
      <c r="O335"/>
      <c r="P335"/>
      <c r="Q335"/>
      <c r="R335"/>
    </row>
    <row r="336" spans="14:18" x14ac:dyDescent="0.25">
      <c r="N336"/>
      <c r="O336"/>
      <c r="P336"/>
      <c r="Q336"/>
      <c r="R336"/>
    </row>
    <row r="337" spans="14:18" x14ac:dyDescent="0.25">
      <c r="N337"/>
      <c r="O337"/>
      <c r="P337"/>
      <c r="Q337"/>
      <c r="R337"/>
    </row>
    <row r="338" spans="14:18" x14ac:dyDescent="0.25">
      <c r="N338"/>
      <c r="O338"/>
      <c r="P338"/>
      <c r="Q338"/>
      <c r="R338"/>
    </row>
    <row r="339" spans="14:18" x14ac:dyDescent="0.25">
      <c r="N339"/>
      <c r="O339"/>
      <c r="P339"/>
      <c r="Q339"/>
      <c r="R339"/>
    </row>
    <row r="340" spans="14:18" x14ac:dyDescent="0.25">
      <c r="N340"/>
      <c r="O340"/>
      <c r="P340"/>
      <c r="Q340"/>
      <c r="R340"/>
    </row>
    <row r="341" spans="14:18" x14ac:dyDescent="0.25">
      <c r="N341"/>
      <c r="O341"/>
      <c r="P341"/>
      <c r="Q341"/>
      <c r="R341"/>
    </row>
    <row r="342" spans="14:18" x14ac:dyDescent="0.25">
      <c r="N342"/>
      <c r="O342"/>
      <c r="P342"/>
      <c r="Q342"/>
      <c r="R342"/>
    </row>
    <row r="343" spans="14:18" x14ac:dyDescent="0.25">
      <c r="N343"/>
      <c r="O343"/>
      <c r="P343"/>
      <c r="Q343"/>
      <c r="R343"/>
    </row>
    <row r="344" spans="14:18" x14ac:dyDescent="0.25">
      <c r="N344"/>
      <c r="O344"/>
      <c r="P344"/>
      <c r="Q344"/>
      <c r="R344"/>
    </row>
    <row r="345" spans="14:18" x14ac:dyDescent="0.25">
      <c r="N345"/>
      <c r="O345"/>
      <c r="P345"/>
      <c r="Q345"/>
      <c r="R345"/>
    </row>
    <row r="346" spans="14:18" x14ac:dyDescent="0.25">
      <c r="N346"/>
      <c r="O346"/>
      <c r="P346"/>
      <c r="Q346"/>
      <c r="R346"/>
    </row>
    <row r="347" spans="14:18" x14ac:dyDescent="0.25">
      <c r="N347"/>
      <c r="O347"/>
      <c r="P347"/>
      <c r="Q347"/>
      <c r="R347"/>
    </row>
    <row r="348" spans="14:18" x14ac:dyDescent="0.25">
      <c r="N348"/>
      <c r="O348"/>
      <c r="P348"/>
      <c r="Q348"/>
      <c r="R348"/>
    </row>
    <row r="349" spans="14:18" x14ac:dyDescent="0.25">
      <c r="N349"/>
      <c r="O349"/>
      <c r="P349"/>
      <c r="Q349"/>
      <c r="R349"/>
    </row>
    <row r="350" spans="14:18" x14ac:dyDescent="0.25">
      <c r="N350"/>
      <c r="O350"/>
      <c r="P350"/>
      <c r="Q350"/>
      <c r="R350"/>
    </row>
    <row r="351" spans="14:18" x14ac:dyDescent="0.25">
      <c r="N351"/>
      <c r="O351"/>
      <c r="P351"/>
      <c r="Q351"/>
      <c r="R351"/>
    </row>
    <row r="352" spans="14:18" x14ac:dyDescent="0.25">
      <c r="N352"/>
      <c r="O352"/>
      <c r="P352"/>
      <c r="Q352"/>
      <c r="R352"/>
    </row>
    <row r="353" spans="14:18" x14ac:dyDescent="0.25">
      <c r="N353"/>
      <c r="O353"/>
      <c r="P353"/>
      <c r="Q353"/>
      <c r="R353"/>
    </row>
    <row r="354" spans="14:18" x14ac:dyDescent="0.25">
      <c r="N354"/>
      <c r="O354"/>
      <c r="P354"/>
      <c r="Q354"/>
      <c r="R354"/>
    </row>
    <row r="355" spans="14:18" x14ac:dyDescent="0.25">
      <c r="N355"/>
      <c r="O355"/>
      <c r="P355"/>
      <c r="Q355"/>
      <c r="R355"/>
    </row>
    <row r="356" spans="14:18" x14ac:dyDescent="0.25">
      <c r="N356"/>
      <c r="O356"/>
      <c r="P356"/>
      <c r="Q356"/>
      <c r="R356"/>
    </row>
    <row r="357" spans="14:18" x14ac:dyDescent="0.25">
      <c r="N357"/>
      <c r="O357"/>
      <c r="P357"/>
      <c r="Q357"/>
      <c r="R357"/>
    </row>
    <row r="358" spans="14:18" x14ac:dyDescent="0.25">
      <c r="N358"/>
      <c r="O358"/>
      <c r="P358"/>
      <c r="Q358"/>
      <c r="R358"/>
    </row>
    <row r="359" spans="14:18" x14ac:dyDescent="0.25">
      <c r="N359"/>
      <c r="O359"/>
      <c r="P359"/>
      <c r="Q359"/>
      <c r="R359"/>
    </row>
    <row r="360" spans="14:18" x14ac:dyDescent="0.25">
      <c r="N360"/>
      <c r="O360"/>
      <c r="P360"/>
      <c r="Q360"/>
      <c r="R360"/>
    </row>
    <row r="361" spans="14:18" x14ac:dyDescent="0.25">
      <c r="N361"/>
      <c r="O361"/>
      <c r="P361"/>
      <c r="Q361"/>
      <c r="R361"/>
    </row>
    <row r="362" spans="14:18" x14ac:dyDescent="0.25">
      <c r="N362"/>
      <c r="O362"/>
      <c r="P362"/>
      <c r="Q362"/>
      <c r="R362"/>
    </row>
    <row r="363" spans="14:18" x14ac:dyDescent="0.25">
      <c r="N363"/>
      <c r="O363"/>
      <c r="P363"/>
      <c r="Q363"/>
      <c r="R363"/>
    </row>
    <row r="364" spans="14:18" x14ac:dyDescent="0.25">
      <c r="N364"/>
      <c r="O364"/>
      <c r="P364"/>
      <c r="Q364"/>
      <c r="R364"/>
    </row>
    <row r="365" spans="14:18" x14ac:dyDescent="0.25">
      <c r="N365"/>
      <c r="O365"/>
      <c r="P365"/>
      <c r="Q365"/>
      <c r="R365"/>
    </row>
    <row r="366" spans="14:18" x14ac:dyDescent="0.25">
      <c r="N366"/>
      <c r="O366"/>
      <c r="P366"/>
      <c r="Q366"/>
      <c r="R366"/>
    </row>
    <row r="367" spans="14:18" x14ac:dyDescent="0.25">
      <c r="N367"/>
      <c r="O367"/>
      <c r="P367"/>
      <c r="Q367"/>
      <c r="R367"/>
    </row>
    <row r="368" spans="14:18" x14ac:dyDescent="0.25">
      <c r="N368"/>
      <c r="O368"/>
      <c r="P368"/>
      <c r="Q368"/>
      <c r="R368"/>
    </row>
    <row r="369" spans="14:18" x14ac:dyDescent="0.25">
      <c r="N369"/>
      <c r="O369"/>
      <c r="P369"/>
      <c r="Q369"/>
      <c r="R369"/>
    </row>
    <row r="370" spans="14:18" x14ac:dyDescent="0.25">
      <c r="N370"/>
      <c r="O370"/>
      <c r="P370"/>
      <c r="Q370"/>
      <c r="R370"/>
    </row>
    <row r="371" spans="14:18" x14ac:dyDescent="0.25">
      <c r="N371"/>
      <c r="O371"/>
      <c r="P371"/>
      <c r="Q371"/>
      <c r="R371"/>
    </row>
    <row r="372" spans="14:18" x14ac:dyDescent="0.25">
      <c r="N372"/>
      <c r="O372"/>
      <c r="P372"/>
      <c r="Q372"/>
      <c r="R372"/>
    </row>
    <row r="373" spans="14:18" x14ac:dyDescent="0.25">
      <c r="N373"/>
      <c r="O373"/>
      <c r="P373"/>
      <c r="Q373"/>
      <c r="R373"/>
    </row>
    <row r="374" spans="14:18" x14ac:dyDescent="0.25">
      <c r="N374"/>
      <c r="O374"/>
      <c r="P374"/>
      <c r="Q374"/>
      <c r="R374"/>
    </row>
    <row r="375" spans="14:18" x14ac:dyDescent="0.25">
      <c r="N375"/>
      <c r="O375"/>
      <c r="P375"/>
      <c r="Q375"/>
      <c r="R375"/>
    </row>
    <row r="376" spans="14:18" x14ac:dyDescent="0.25">
      <c r="N376"/>
      <c r="O376"/>
      <c r="P376"/>
      <c r="Q376"/>
      <c r="R376"/>
    </row>
    <row r="377" spans="14:18" x14ac:dyDescent="0.25">
      <c r="N377"/>
      <c r="O377"/>
      <c r="P377"/>
      <c r="Q377"/>
      <c r="R377"/>
    </row>
    <row r="378" spans="14:18" x14ac:dyDescent="0.25">
      <c r="N378"/>
      <c r="O378"/>
      <c r="P378"/>
      <c r="Q378"/>
      <c r="R378"/>
    </row>
    <row r="379" spans="14:18" x14ac:dyDescent="0.25">
      <c r="N379"/>
      <c r="O379"/>
      <c r="P379"/>
      <c r="Q379"/>
      <c r="R379"/>
    </row>
    <row r="380" spans="14:18" x14ac:dyDescent="0.25">
      <c r="N380"/>
      <c r="O380"/>
      <c r="P380"/>
      <c r="Q380"/>
      <c r="R380"/>
    </row>
    <row r="381" spans="14:18" x14ac:dyDescent="0.25">
      <c r="N381"/>
      <c r="O381"/>
      <c r="P381"/>
      <c r="Q381"/>
      <c r="R381"/>
    </row>
    <row r="382" spans="14:18" x14ac:dyDescent="0.25">
      <c r="N382"/>
      <c r="O382"/>
      <c r="P382"/>
      <c r="Q382"/>
      <c r="R382"/>
    </row>
    <row r="383" spans="14:18" x14ac:dyDescent="0.25">
      <c r="N383"/>
      <c r="O383"/>
      <c r="P383"/>
      <c r="Q383"/>
      <c r="R383"/>
    </row>
    <row r="384" spans="14:18" x14ac:dyDescent="0.25">
      <c r="N384"/>
      <c r="O384"/>
      <c r="P384"/>
      <c r="Q384"/>
      <c r="R384"/>
    </row>
    <row r="385" spans="14:18" x14ac:dyDescent="0.25">
      <c r="N385"/>
      <c r="O385"/>
      <c r="P385"/>
      <c r="Q385"/>
      <c r="R385"/>
    </row>
    <row r="386" spans="14:18" x14ac:dyDescent="0.25">
      <c r="N386"/>
      <c r="O386"/>
      <c r="P386"/>
      <c r="Q386"/>
      <c r="R386"/>
    </row>
    <row r="387" spans="14:18" x14ac:dyDescent="0.25">
      <c r="N387"/>
      <c r="O387"/>
      <c r="P387"/>
      <c r="Q387"/>
      <c r="R387"/>
    </row>
    <row r="388" spans="14:18" x14ac:dyDescent="0.25">
      <c r="N388"/>
      <c r="O388"/>
      <c r="P388"/>
      <c r="Q388"/>
      <c r="R388"/>
    </row>
    <row r="389" spans="14:18" x14ac:dyDescent="0.25">
      <c r="N389"/>
      <c r="O389"/>
      <c r="P389"/>
      <c r="Q389"/>
      <c r="R389"/>
    </row>
    <row r="390" spans="14:18" x14ac:dyDescent="0.25">
      <c r="N390"/>
      <c r="O390"/>
      <c r="P390"/>
      <c r="Q390"/>
      <c r="R390"/>
    </row>
    <row r="391" spans="14:18" x14ac:dyDescent="0.25">
      <c r="N391"/>
      <c r="O391"/>
      <c r="P391"/>
      <c r="Q391"/>
      <c r="R391"/>
    </row>
    <row r="392" spans="14:18" x14ac:dyDescent="0.25">
      <c r="N392"/>
      <c r="O392"/>
      <c r="P392"/>
      <c r="Q392"/>
      <c r="R392"/>
    </row>
    <row r="393" spans="14:18" x14ac:dyDescent="0.25">
      <c r="N393"/>
      <c r="O393"/>
      <c r="P393"/>
      <c r="Q393"/>
      <c r="R393"/>
    </row>
    <row r="394" spans="14:18" x14ac:dyDescent="0.25">
      <c r="N394"/>
      <c r="O394"/>
      <c r="P394"/>
      <c r="Q394"/>
      <c r="R394"/>
    </row>
    <row r="395" spans="14:18" x14ac:dyDescent="0.25">
      <c r="N395"/>
      <c r="O395"/>
      <c r="P395"/>
      <c r="Q395"/>
      <c r="R395"/>
    </row>
    <row r="396" spans="14:18" x14ac:dyDescent="0.25">
      <c r="N396"/>
      <c r="O396"/>
      <c r="P396"/>
      <c r="Q396"/>
      <c r="R396"/>
    </row>
    <row r="397" spans="14:18" x14ac:dyDescent="0.25">
      <c r="N397"/>
      <c r="O397"/>
      <c r="P397"/>
      <c r="Q397"/>
      <c r="R397"/>
    </row>
    <row r="398" spans="14:18" x14ac:dyDescent="0.25">
      <c r="N398"/>
      <c r="O398"/>
      <c r="P398"/>
      <c r="Q398"/>
      <c r="R398"/>
    </row>
    <row r="399" spans="14:18" x14ac:dyDescent="0.25">
      <c r="N399"/>
      <c r="O399"/>
      <c r="P399"/>
      <c r="Q399"/>
      <c r="R399"/>
    </row>
    <row r="400" spans="14:18" x14ac:dyDescent="0.25">
      <c r="N400"/>
      <c r="O400"/>
      <c r="P400"/>
      <c r="Q400"/>
      <c r="R400"/>
    </row>
    <row r="401" spans="14:18" x14ac:dyDescent="0.25">
      <c r="N401"/>
      <c r="O401"/>
      <c r="P401"/>
      <c r="Q401"/>
      <c r="R401"/>
    </row>
    <row r="402" spans="14:18" x14ac:dyDescent="0.25">
      <c r="N402"/>
      <c r="O402"/>
      <c r="P402"/>
      <c r="Q402"/>
      <c r="R402"/>
    </row>
    <row r="403" spans="14:18" x14ac:dyDescent="0.25">
      <c r="N403"/>
      <c r="O403"/>
      <c r="P403"/>
      <c r="Q403"/>
      <c r="R403"/>
    </row>
    <row r="404" spans="14:18" x14ac:dyDescent="0.25">
      <c r="N404"/>
      <c r="O404"/>
      <c r="P404"/>
      <c r="Q404"/>
      <c r="R404"/>
    </row>
    <row r="405" spans="14:18" x14ac:dyDescent="0.25">
      <c r="N405"/>
      <c r="O405"/>
      <c r="P405"/>
      <c r="Q405"/>
      <c r="R405"/>
    </row>
    <row r="406" spans="14:18" x14ac:dyDescent="0.25">
      <c r="N406"/>
      <c r="O406"/>
      <c r="P406"/>
      <c r="Q406"/>
      <c r="R406"/>
    </row>
    <row r="407" spans="14:18" x14ac:dyDescent="0.25">
      <c r="N407"/>
      <c r="O407"/>
      <c r="P407"/>
      <c r="Q407"/>
      <c r="R407"/>
    </row>
    <row r="408" spans="14:18" x14ac:dyDescent="0.25">
      <c r="N408"/>
      <c r="O408"/>
      <c r="P408"/>
      <c r="Q408"/>
      <c r="R408"/>
    </row>
    <row r="409" spans="14:18" x14ac:dyDescent="0.25">
      <c r="N409"/>
      <c r="O409"/>
      <c r="P409"/>
      <c r="Q409"/>
      <c r="R409"/>
    </row>
    <row r="410" spans="14:18" x14ac:dyDescent="0.25">
      <c r="N410"/>
      <c r="O410"/>
      <c r="P410"/>
      <c r="Q410"/>
      <c r="R410"/>
    </row>
    <row r="411" spans="14:18" x14ac:dyDescent="0.25">
      <c r="N411"/>
      <c r="O411"/>
      <c r="P411"/>
      <c r="Q411"/>
      <c r="R411"/>
    </row>
    <row r="412" spans="14:18" x14ac:dyDescent="0.25">
      <c r="N412"/>
      <c r="O412"/>
      <c r="P412"/>
      <c r="Q412"/>
      <c r="R412"/>
    </row>
    <row r="413" spans="14:18" x14ac:dyDescent="0.25">
      <c r="N413"/>
      <c r="O413"/>
      <c r="P413"/>
      <c r="Q413"/>
      <c r="R413"/>
    </row>
    <row r="414" spans="14:18" x14ac:dyDescent="0.25">
      <c r="N414"/>
      <c r="O414"/>
      <c r="P414"/>
      <c r="Q414"/>
      <c r="R414"/>
    </row>
    <row r="415" spans="14:18" x14ac:dyDescent="0.25">
      <c r="N415"/>
      <c r="O415"/>
      <c r="P415"/>
      <c r="Q415"/>
      <c r="R415"/>
    </row>
    <row r="416" spans="14:18" x14ac:dyDescent="0.25">
      <c r="N416"/>
      <c r="O416"/>
      <c r="P416"/>
      <c r="Q416"/>
      <c r="R416"/>
    </row>
    <row r="417" spans="14:18" x14ac:dyDescent="0.25">
      <c r="N417"/>
      <c r="O417"/>
      <c r="P417"/>
      <c r="Q417"/>
      <c r="R417"/>
    </row>
    <row r="418" spans="14:18" x14ac:dyDescent="0.25">
      <c r="N418"/>
      <c r="O418"/>
      <c r="P418"/>
      <c r="Q418"/>
      <c r="R418"/>
    </row>
    <row r="419" spans="14:18" x14ac:dyDescent="0.25">
      <c r="N419"/>
      <c r="O419"/>
      <c r="P419"/>
      <c r="Q419"/>
      <c r="R419"/>
    </row>
    <row r="420" spans="14:18" x14ac:dyDescent="0.25">
      <c r="N420"/>
      <c r="O420"/>
      <c r="P420"/>
      <c r="Q420"/>
      <c r="R420"/>
    </row>
    <row r="421" spans="14:18" x14ac:dyDescent="0.25">
      <c r="N421"/>
      <c r="O421"/>
      <c r="P421"/>
      <c r="Q421"/>
      <c r="R421"/>
    </row>
    <row r="422" spans="14:18" x14ac:dyDescent="0.25">
      <c r="N422"/>
      <c r="O422"/>
      <c r="P422"/>
      <c r="Q422"/>
      <c r="R422"/>
    </row>
    <row r="423" spans="14:18" x14ac:dyDescent="0.25">
      <c r="N423"/>
      <c r="O423"/>
      <c r="P423"/>
      <c r="Q423"/>
      <c r="R423"/>
    </row>
    <row r="424" spans="14:18" x14ac:dyDescent="0.25">
      <c r="N424"/>
      <c r="O424"/>
      <c r="P424"/>
      <c r="Q424"/>
      <c r="R424"/>
    </row>
    <row r="425" spans="14:18" x14ac:dyDescent="0.25">
      <c r="N425"/>
      <c r="O425"/>
      <c r="P425"/>
      <c r="Q425"/>
      <c r="R425"/>
    </row>
    <row r="426" spans="14:18" x14ac:dyDescent="0.25">
      <c r="N426"/>
      <c r="O426"/>
      <c r="P426"/>
      <c r="Q426"/>
      <c r="R426"/>
    </row>
    <row r="427" spans="14:18" x14ac:dyDescent="0.25">
      <c r="N427"/>
      <c r="O427"/>
      <c r="P427"/>
      <c r="Q427"/>
      <c r="R427"/>
    </row>
    <row r="428" spans="14:18" x14ac:dyDescent="0.25">
      <c r="N428"/>
      <c r="O428"/>
      <c r="P428"/>
      <c r="Q428"/>
      <c r="R428"/>
    </row>
    <row r="429" spans="14:18" x14ac:dyDescent="0.25">
      <c r="N429"/>
      <c r="O429"/>
      <c r="P429"/>
      <c r="Q429"/>
      <c r="R429"/>
    </row>
    <row r="430" spans="14:18" x14ac:dyDescent="0.25">
      <c r="N430"/>
      <c r="O430"/>
      <c r="P430"/>
      <c r="Q430"/>
      <c r="R430"/>
    </row>
    <row r="431" spans="14:18" x14ac:dyDescent="0.25">
      <c r="N431"/>
      <c r="O431"/>
      <c r="P431"/>
      <c r="Q431"/>
      <c r="R431"/>
    </row>
    <row r="432" spans="14:18" x14ac:dyDescent="0.25">
      <c r="N432"/>
      <c r="O432"/>
      <c r="P432"/>
      <c r="Q432"/>
      <c r="R432"/>
    </row>
    <row r="433" spans="14:18" x14ac:dyDescent="0.25">
      <c r="N433"/>
      <c r="O433"/>
      <c r="P433"/>
      <c r="Q433"/>
      <c r="R433"/>
    </row>
    <row r="434" spans="14:18" x14ac:dyDescent="0.25">
      <c r="N434"/>
      <c r="O434"/>
      <c r="P434"/>
      <c r="Q434"/>
      <c r="R434"/>
    </row>
    <row r="435" spans="14:18" x14ac:dyDescent="0.25">
      <c r="N435"/>
      <c r="O435"/>
      <c r="P435"/>
      <c r="Q435"/>
      <c r="R435"/>
    </row>
    <row r="436" spans="14:18" x14ac:dyDescent="0.25">
      <c r="N436"/>
      <c r="O436"/>
      <c r="P436"/>
      <c r="Q436"/>
      <c r="R436"/>
    </row>
    <row r="437" spans="14:18" x14ac:dyDescent="0.25">
      <c r="N437"/>
      <c r="O437"/>
      <c r="P437"/>
      <c r="Q437"/>
      <c r="R437"/>
    </row>
    <row r="438" spans="14:18" x14ac:dyDescent="0.25">
      <c r="N438"/>
      <c r="O438"/>
      <c r="P438"/>
      <c r="Q438"/>
      <c r="R438"/>
    </row>
    <row r="439" spans="14:18" x14ac:dyDescent="0.25">
      <c r="N439"/>
      <c r="O439"/>
      <c r="P439"/>
      <c r="Q439"/>
      <c r="R439"/>
    </row>
    <row r="440" spans="14:18" x14ac:dyDescent="0.25">
      <c r="N440"/>
      <c r="O440"/>
      <c r="P440"/>
      <c r="Q440"/>
      <c r="R440"/>
    </row>
    <row r="441" spans="14:18" x14ac:dyDescent="0.25">
      <c r="N441"/>
      <c r="O441"/>
      <c r="P441"/>
      <c r="Q441"/>
      <c r="R441"/>
    </row>
    <row r="442" spans="14:18" x14ac:dyDescent="0.25">
      <c r="N442"/>
      <c r="O442"/>
      <c r="P442"/>
      <c r="Q442"/>
      <c r="R442"/>
    </row>
    <row r="443" spans="14:18" x14ac:dyDescent="0.25">
      <c r="N443"/>
      <c r="O443"/>
      <c r="P443"/>
      <c r="Q443"/>
      <c r="R443"/>
    </row>
    <row r="444" spans="14:18" x14ac:dyDescent="0.25">
      <c r="N444"/>
      <c r="O444"/>
      <c r="P444"/>
      <c r="Q444"/>
      <c r="R444"/>
    </row>
    <row r="445" spans="14:18" x14ac:dyDescent="0.25">
      <c r="N445"/>
      <c r="O445"/>
      <c r="P445"/>
      <c r="Q445"/>
      <c r="R445"/>
    </row>
    <row r="446" spans="14:18" x14ac:dyDescent="0.25">
      <c r="N446"/>
      <c r="O446"/>
      <c r="P446"/>
      <c r="Q446"/>
      <c r="R446"/>
    </row>
    <row r="447" spans="14:18" x14ac:dyDescent="0.25">
      <c r="N447"/>
      <c r="O447"/>
      <c r="P447"/>
      <c r="Q447"/>
      <c r="R447"/>
    </row>
    <row r="448" spans="14:18" x14ac:dyDescent="0.25">
      <c r="N448"/>
      <c r="O448"/>
      <c r="P448"/>
      <c r="Q448"/>
      <c r="R448"/>
    </row>
    <row r="449" spans="14:18" x14ac:dyDescent="0.25">
      <c r="N449"/>
      <c r="O449"/>
      <c r="P449"/>
      <c r="Q449"/>
      <c r="R449"/>
    </row>
    <row r="450" spans="14:18" x14ac:dyDescent="0.25">
      <c r="N450"/>
      <c r="O450"/>
      <c r="P450"/>
      <c r="Q450"/>
      <c r="R450"/>
    </row>
    <row r="451" spans="14:18" x14ac:dyDescent="0.25">
      <c r="N451"/>
      <c r="O451"/>
      <c r="P451"/>
      <c r="Q451"/>
      <c r="R451"/>
    </row>
    <row r="452" spans="14:18" x14ac:dyDescent="0.25">
      <c r="N452"/>
      <c r="O452"/>
      <c r="P452"/>
      <c r="Q452"/>
      <c r="R452"/>
    </row>
    <row r="453" spans="14:18" x14ac:dyDescent="0.25">
      <c r="N453"/>
      <c r="O453"/>
      <c r="P453"/>
      <c r="Q453"/>
      <c r="R453"/>
    </row>
    <row r="454" spans="14:18" x14ac:dyDescent="0.25">
      <c r="N454"/>
      <c r="O454"/>
      <c r="P454"/>
      <c r="Q454"/>
      <c r="R454"/>
    </row>
    <row r="455" spans="14:18" x14ac:dyDescent="0.25">
      <c r="N455"/>
      <c r="O455"/>
      <c r="P455"/>
      <c r="Q455"/>
      <c r="R455"/>
    </row>
    <row r="456" spans="14:18" x14ac:dyDescent="0.25">
      <c r="N456"/>
      <c r="O456"/>
      <c r="P456"/>
      <c r="Q456"/>
      <c r="R456"/>
    </row>
    <row r="457" spans="14:18" x14ac:dyDescent="0.25">
      <c r="N457"/>
      <c r="O457"/>
      <c r="P457"/>
      <c r="Q457"/>
      <c r="R457"/>
    </row>
    <row r="458" spans="14:18" x14ac:dyDescent="0.25">
      <c r="N458"/>
      <c r="O458"/>
      <c r="P458"/>
      <c r="Q458"/>
      <c r="R458"/>
    </row>
    <row r="459" spans="14:18" x14ac:dyDescent="0.25">
      <c r="N459"/>
      <c r="O459"/>
      <c r="P459"/>
      <c r="Q459"/>
      <c r="R459"/>
    </row>
    <row r="460" spans="14:18" x14ac:dyDescent="0.25">
      <c r="N460"/>
      <c r="O460"/>
      <c r="P460"/>
      <c r="Q460"/>
      <c r="R460"/>
    </row>
    <row r="461" spans="14:18" x14ac:dyDescent="0.25">
      <c r="N461"/>
      <c r="O461"/>
      <c r="P461"/>
      <c r="Q461"/>
      <c r="R461"/>
    </row>
    <row r="462" spans="14:18" x14ac:dyDescent="0.25">
      <c r="N462"/>
      <c r="O462"/>
      <c r="P462"/>
      <c r="Q462"/>
      <c r="R462"/>
    </row>
    <row r="463" spans="14:18" x14ac:dyDescent="0.25">
      <c r="N463"/>
      <c r="O463"/>
      <c r="P463"/>
      <c r="Q463"/>
      <c r="R463"/>
    </row>
    <row r="464" spans="14:18" x14ac:dyDescent="0.25">
      <c r="N464"/>
      <c r="O464"/>
      <c r="P464"/>
      <c r="Q464"/>
      <c r="R464"/>
    </row>
    <row r="465" spans="14:18" x14ac:dyDescent="0.25">
      <c r="N465"/>
      <c r="O465"/>
      <c r="P465"/>
      <c r="Q465"/>
      <c r="R465"/>
    </row>
    <row r="466" spans="14:18" x14ac:dyDescent="0.25">
      <c r="N466"/>
      <c r="O466"/>
      <c r="P466"/>
      <c r="Q466"/>
      <c r="R466"/>
    </row>
    <row r="467" spans="14:18" x14ac:dyDescent="0.25">
      <c r="N467"/>
      <c r="O467"/>
      <c r="P467"/>
      <c r="Q467"/>
      <c r="R467"/>
    </row>
    <row r="468" spans="14:18" x14ac:dyDescent="0.25">
      <c r="N468"/>
      <c r="O468"/>
      <c r="P468"/>
      <c r="Q468"/>
      <c r="R468"/>
    </row>
    <row r="469" spans="14:18" x14ac:dyDescent="0.25">
      <c r="N469"/>
      <c r="O469"/>
      <c r="P469"/>
      <c r="Q469"/>
      <c r="R469"/>
    </row>
    <row r="470" spans="14:18" x14ac:dyDescent="0.25">
      <c r="N470"/>
      <c r="O470"/>
      <c r="P470"/>
      <c r="Q470"/>
      <c r="R470"/>
    </row>
    <row r="471" spans="14:18" x14ac:dyDescent="0.25">
      <c r="N471"/>
      <c r="O471"/>
      <c r="P471"/>
      <c r="Q471"/>
      <c r="R471"/>
    </row>
    <row r="472" spans="14:18" x14ac:dyDescent="0.25">
      <c r="N472"/>
      <c r="O472"/>
      <c r="P472"/>
      <c r="Q472"/>
      <c r="R472"/>
    </row>
    <row r="473" spans="14:18" x14ac:dyDescent="0.25">
      <c r="N473"/>
      <c r="O473"/>
      <c r="P473"/>
      <c r="Q473"/>
      <c r="R473"/>
    </row>
    <row r="474" spans="14:18" x14ac:dyDescent="0.25">
      <c r="N474"/>
      <c r="O474"/>
      <c r="P474"/>
      <c r="Q474"/>
      <c r="R474"/>
    </row>
    <row r="475" spans="14:18" x14ac:dyDescent="0.25">
      <c r="N475"/>
      <c r="O475"/>
      <c r="P475"/>
      <c r="Q475"/>
      <c r="R475"/>
    </row>
    <row r="476" spans="14:18" x14ac:dyDescent="0.25">
      <c r="N476"/>
      <c r="O476"/>
      <c r="P476"/>
      <c r="Q476"/>
      <c r="R476"/>
    </row>
    <row r="477" spans="14:18" x14ac:dyDescent="0.25">
      <c r="N477"/>
      <c r="O477"/>
      <c r="P477"/>
      <c r="Q477"/>
      <c r="R477"/>
    </row>
    <row r="478" spans="14:18" x14ac:dyDescent="0.25">
      <c r="N478"/>
      <c r="O478"/>
      <c r="P478"/>
      <c r="Q478"/>
      <c r="R478"/>
    </row>
    <row r="479" spans="14:18" x14ac:dyDescent="0.25">
      <c r="N479"/>
      <c r="O479"/>
      <c r="P479"/>
      <c r="Q479"/>
      <c r="R479"/>
    </row>
    <row r="480" spans="14:18" x14ac:dyDescent="0.25">
      <c r="N480"/>
      <c r="O480"/>
      <c r="P480"/>
      <c r="Q480"/>
      <c r="R480"/>
    </row>
    <row r="481" spans="14:18" x14ac:dyDescent="0.25">
      <c r="N481"/>
      <c r="O481"/>
      <c r="P481"/>
      <c r="Q481"/>
      <c r="R481"/>
    </row>
    <row r="482" spans="14:18" x14ac:dyDescent="0.25">
      <c r="N482"/>
      <c r="O482"/>
      <c r="P482"/>
      <c r="Q482"/>
      <c r="R482"/>
    </row>
    <row r="483" spans="14:18" x14ac:dyDescent="0.25">
      <c r="N483"/>
      <c r="O483"/>
      <c r="P483"/>
      <c r="Q483"/>
      <c r="R483"/>
    </row>
    <row r="484" spans="14:18" x14ac:dyDescent="0.25">
      <c r="N484"/>
      <c r="O484"/>
      <c r="P484"/>
      <c r="Q484"/>
      <c r="R484"/>
    </row>
    <row r="485" spans="14:18" x14ac:dyDescent="0.25">
      <c r="N485"/>
      <c r="O485"/>
      <c r="P485"/>
      <c r="Q485"/>
      <c r="R485"/>
    </row>
    <row r="486" spans="14:18" x14ac:dyDescent="0.25">
      <c r="N486"/>
      <c r="O486"/>
      <c r="P486"/>
      <c r="Q486"/>
      <c r="R486"/>
    </row>
    <row r="487" spans="14:18" x14ac:dyDescent="0.25">
      <c r="N487"/>
      <c r="O487"/>
      <c r="P487"/>
      <c r="Q487"/>
      <c r="R487"/>
    </row>
    <row r="488" spans="14:18" x14ac:dyDescent="0.25">
      <c r="N488"/>
      <c r="O488"/>
      <c r="P488"/>
      <c r="Q488"/>
      <c r="R488"/>
    </row>
    <row r="489" spans="14:18" x14ac:dyDescent="0.25">
      <c r="N489"/>
      <c r="O489"/>
      <c r="P489"/>
      <c r="Q489"/>
      <c r="R489"/>
    </row>
    <row r="490" spans="14:18" x14ac:dyDescent="0.25">
      <c r="N490"/>
      <c r="O490"/>
      <c r="P490"/>
      <c r="Q490"/>
      <c r="R490"/>
    </row>
    <row r="491" spans="14:18" x14ac:dyDescent="0.25">
      <c r="N491"/>
      <c r="O491"/>
      <c r="P491"/>
      <c r="Q491"/>
      <c r="R491"/>
    </row>
    <row r="492" spans="14:18" x14ac:dyDescent="0.25">
      <c r="N492"/>
      <c r="O492"/>
      <c r="P492"/>
      <c r="Q492"/>
      <c r="R492"/>
    </row>
    <row r="493" spans="14:18" x14ac:dyDescent="0.25">
      <c r="N493"/>
      <c r="O493"/>
      <c r="P493"/>
      <c r="Q493"/>
      <c r="R493"/>
    </row>
    <row r="494" spans="14:18" x14ac:dyDescent="0.25">
      <c r="N494"/>
      <c r="O494"/>
      <c r="P494"/>
      <c r="Q494"/>
      <c r="R494"/>
    </row>
    <row r="495" spans="14:18" x14ac:dyDescent="0.25">
      <c r="N495"/>
      <c r="O495"/>
      <c r="P495"/>
      <c r="Q495"/>
      <c r="R495"/>
    </row>
    <row r="496" spans="14:18" x14ac:dyDescent="0.25">
      <c r="N496"/>
      <c r="O496"/>
      <c r="P496"/>
      <c r="Q496"/>
      <c r="R496"/>
    </row>
    <row r="497" spans="14:18" x14ac:dyDescent="0.25">
      <c r="N497"/>
      <c r="O497"/>
      <c r="P497"/>
      <c r="Q497"/>
      <c r="R497"/>
    </row>
    <row r="498" spans="14:18" x14ac:dyDescent="0.25">
      <c r="N498"/>
      <c r="O498"/>
      <c r="P498"/>
      <c r="Q498"/>
      <c r="R498"/>
    </row>
    <row r="499" spans="14:18" x14ac:dyDescent="0.25">
      <c r="N499"/>
      <c r="O499"/>
      <c r="P499"/>
      <c r="Q499"/>
      <c r="R499"/>
    </row>
    <row r="500" spans="14:18" x14ac:dyDescent="0.25">
      <c r="N500"/>
      <c r="O500"/>
      <c r="P500"/>
      <c r="Q500"/>
      <c r="R500"/>
    </row>
    <row r="501" spans="14:18" x14ac:dyDescent="0.25">
      <c r="N501"/>
      <c r="O501"/>
      <c r="P501"/>
      <c r="Q501"/>
      <c r="R501"/>
    </row>
    <row r="502" spans="14:18" x14ac:dyDescent="0.25">
      <c r="N502"/>
      <c r="O502"/>
      <c r="P502"/>
      <c r="Q502"/>
      <c r="R502"/>
    </row>
    <row r="503" spans="14:18" x14ac:dyDescent="0.25">
      <c r="N503"/>
      <c r="O503"/>
      <c r="P503"/>
      <c r="Q503"/>
      <c r="R503"/>
    </row>
    <row r="504" spans="14:18" x14ac:dyDescent="0.25">
      <c r="N504"/>
      <c r="O504"/>
      <c r="P504"/>
      <c r="Q504"/>
      <c r="R504"/>
    </row>
    <row r="505" spans="14:18" x14ac:dyDescent="0.25">
      <c r="N505"/>
      <c r="O505"/>
      <c r="P505"/>
      <c r="Q505"/>
      <c r="R505"/>
    </row>
    <row r="506" spans="14:18" x14ac:dyDescent="0.25">
      <c r="N506"/>
      <c r="O506"/>
      <c r="P506"/>
      <c r="Q506"/>
      <c r="R506"/>
    </row>
    <row r="507" spans="14:18" x14ac:dyDescent="0.25">
      <c r="N507"/>
      <c r="O507"/>
      <c r="P507"/>
      <c r="Q507"/>
      <c r="R507"/>
    </row>
    <row r="508" spans="14:18" x14ac:dyDescent="0.25">
      <c r="N508"/>
      <c r="O508"/>
      <c r="P508"/>
      <c r="Q508"/>
      <c r="R508"/>
    </row>
    <row r="509" spans="14:18" x14ac:dyDescent="0.25">
      <c r="N509"/>
      <c r="O509"/>
      <c r="P509"/>
      <c r="Q509"/>
      <c r="R509"/>
    </row>
    <row r="510" spans="14:18" x14ac:dyDescent="0.25">
      <c r="N510"/>
      <c r="O510"/>
      <c r="P510"/>
      <c r="Q510"/>
      <c r="R510"/>
    </row>
    <row r="511" spans="14:18" x14ac:dyDescent="0.25">
      <c r="N511"/>
      <c r="O511"/>
      <c r="P511"/>
      <c r="Q511"/>
      <c r="R511"/>
    </row>
    <row r="512" spans="14:18" x14ac:dyDescent="0.25">
      <c r="N512"/>
      <c r="O512"/>
      <c r="P512"/>
      <c r="Q512"/>
      <c r="R512"/>
    </row>
    <row r="513" spans="14:18" x14ac:dyDescent="0.25">
      <c r="N513"/>
      <c r="O513"/>
      <c r="P513"/>
      <c r="Q513"/>
      <c r="R513"/>
    </row>
    <row r="514" spans="14:18" x14ac:dyDescent="0.25">
      <c r="N514"/>
      <c r="O514"/>
      <c r="P514"/>
      <c r="Q514"/>
      <c r="R514"/>
    </row>
    <row r="515" spans="14:18" x14ac:dyDescent="0.25">
      <c r="N515"/>
      <c r="O515"/>
      <c r="P515"/>
      <c r="Q515"/>
      <c r="R515"/>
    </row>
    <row r="516" spans="14:18" x14ac:dyDescent="0.25">
      <c r="N516"/>
      <c r="O516"/>
      <c r="P516"/>
      <c r="Q516"/>
      <c r="R516"/>
    </row>
    <row r="517" spans="14:18" x14ac:dyDescent="0.25">
      <c r="N517"/>
      <c r="O517"/>
      <c r="P517"/>
      <c r="Q517"/>
      <c r="R517"/>
    </row>
    <row r="518" spans="14:18" x14ac:dyDescent="0.25">
      <c r="N518"/>
      <c r="O518"/>
      <c r="P518"/>
      <c r="Q518"/>
      <c r="R518"/>
    </row>
    <row r="519" spans="14:18" x14ac:dyDescent="0.25">
      <c r="N519"/>
      <c r="O519"/>
      <c r="P519"/>
      <c r="Q519"/>
      <c r="R519"/>
    </row>
    <row r="520" spans="14:18" x14ac:dyDescent="0.25">
      <c r="N520"/>
      <c r="O520"/>
      <c r="P520"/>
      <c r="Q520"/>
      <c r="R520"/>
    </row>
    <row r="521" spans="14:18" x14ac:dyDescent="0.25">
      <c r="N521"/>
      <c r="O521"/>
      <c r="P521"/>
      <c r="Q521"/>
      <c r="R521"/>
    </row>
    <row r="522" spans="14:18" x14ac:dyDescent="0.25">
      <c r="N522"/>
      <c r="O522"/>
      <c r="P522"/>
      <c r="Q522"/>
      <c r="R522"/>
    </row>
    <row r="523" spans="14:18" x14ac:dyDescent="0.25">
      <c r="N523"/>
      <c r="O523"/>
      <c r="P523"/>
      <c r="Q523"/>
      <c r="R523"/>
    </row>
    <row r="524" spans="14:18" x14ac:dyDescent="0.25">
      <c r="N524"/>
      <c r="O524"/>
      <c r="P524"/>
      <c r="Q524"/>
      <c r="R524"/>
    </row>
    <row r="525" spans="14:18" x14ac:dyDescent="0.25">
      <c r="N525"/>
      <c r="O525"/>
      <c r="P525"/>
      <c r="Q525"/>
      <c r="R525"/>
    </row>
    <row r="526" spans="14:18" x14ac:dyDescent="0.25">
      <c r="N526"/>
      <c r="O526"/>
      <c r="P526"/>
      <c r="Q526"/>
      <c r="R526"/>
    </row>
    <row r="527" spans="14:18" x14ac:dyDescent="0.25">
      <c r="N527"/>
      <c r="O527"/>
      <c r="P527"/>
      <c r="Q527"/>
      <c r="R527"/>
    </row>
    <row r="528" spans="14:18" x14ac:dyDescent="0.25">
      <c r="N528"/>
      <c r="O528"/>
      <c r="P528"/>
      <c r="Q528"/>
      <c r="R528"/>
    </row>
    <row r="529" spans="14:18" x14ac:dyDescent="0.25">
      <c r="N529"/>
      <c r="O529"/>
      <c r="P529"/>
      <c r="Q529"/>
      <c r="R529"/>
    </row>
    <row r="530" spans="14:18" x14ac:dyDescent="0.25">
      <c r="N530"/>
      <c r="O530"/>
      <c r="P530"/>
      <c r="Q530"/>
      <c r="R530"/>
    </row>
    <row r="531" spans="14:18" x14ac:dyDescent="0.25">
      <c r="N531"/>
      <c r="O531"/>
      <c r="P531"/>
      <c r="Q531"/>
      <c r="R531"/>
    </row>
    <row r="532" spans="14:18" x14ac:dyDescent="0.25">
      <c r="N532"/>
      <c r="O532"/>
      <c r="P532"/>
      <c r="Q532"/>
      <c r="R532"/>
    </row>
    <row r="533" spans="14:18" x14ac:dyDescent="0.25">
      <c r="N533"/>
      <c r="O533"/>
      <c r="P533"/>
      <c r="Q533"/>
      <c r="R533"/>
    </row>
    <row r="534" spans="14:18" x14ac:dyDescent="0.25">
      <c r="N534"/>
      <c r="O534"/>
      <c r="P534"/>
      <c r="Q534"/>
      <c r="R534"/>
    </row>
    <row r="535" spans="14:18" x14ac:dyDescent="0.25">
      <c r="N535"/>
      <c r="O535"/>
      <c r="P535"/>
      <c r="Q535"/>
      <c r="R535"/>
    </row>
    <row r="536" spans="14:18" x14ac:dyDescent="0.25">
      <c r="N536"/>
      <c r="O536"/>
      <c r="P536"/>
      <c r="Q536"/>
      <c r="R536"/>
    </row>
    <row r="537" spans="14:18" x14ac:dyDescent="0.25">
      <c r="N537"/>
      <c r="O537"/>
      <c r="P537"/>
      <c r="Q537"/>
      <c r="R537"/>
    </row>
    <row r="538" spans="14:18" x14ac:dyDescent="0.25">
      <c r="N538"/>
      <c r="O538"/>
      <c r="P538"/>
      <c r="Q538"/>
      <c r="R538"/>
    </row>
    <row r="539" spans="14:18" x14ac:dyDescent="0.25">
      <c r="N539"/>
      <c r="O539"/>
      <c r="P539"/>
      <c r="Q539"/>
      <c r="R539"/>
    </row>
    <row r="540" spans="14:18" x14ac:dyDescent="0.25">
      <c r="N540"/>
      <c r="O540"/>
      <c r="P540"/>
      <c r="Q540"/>
      <c r="R540"/>
    </row>
    <row r="541" spans="14:18" x14ac:dyDescent="0.25">
      <c r="N541"/>
      <c r="O541"/>
      <c r="P541"/>
      <c r="Q541"/>
      <c r="R541"/>
    </row>
    <row r="542" spans="14:18" x14ac:dyDescent="0.25">
      <c r="N542"/>
      <c r="O542"/>
      <c r="P542"/>
      <c r="Q542"/>
      <c r="R542"/>
    </row>
    <row r="543" spans="14:18" x14ac:dyDescent="0.25">
      <c r="N543"/>
      <c r="O543"/>
      <c r="P543"/>
      <c r="Q543"/>
      <c r="R543"/>
    </row>
    <row r="544" spans="14:18" x14ac:dyDescent="0.25">
      <c r="N544"/>
      <c r="O544"/>
      <c r="P544"/>
      <c r="Q544"/>
      <c r="R544"/>
    </row>
    <row r="545" spans="14:18" x14ac:dyDescent="0.25">
      <c r="N545"/>
      <c r="O545"/>
      <c r="P545"/>
      <c r="Q545"/>
      <c r="R545"/>
    </row>
    <row r="546" spans="14:18" x14ac:dyDescent="0.25">
      <c r="N546"/>
      <c r="O546"/>
      <c r="P546"/>
      <c r="Q546"/>
      <c r="R546"/>
    </row>
    <row r="547" spans="14:18" x14ac:dyDescent="0.25">
      <c r="N547"/>
      <c r="O547"/>
      <c r="P547"/>
      <c r="Q547"/>
      <c r="R547"/>
    </row>
    <row r="548" spans="14:18" x14ac:dyDescent="0.25">
      <c r="N548"/>
      <c r="O548"/>
      <c r="P548"/>
      <c r="Q548"/>
      <c r="R548"/>
    </row>
    <row r="549" spans="14:18" x14ac:dyDescent="0.25">
      <c r="N549"/>
      <c r="O549"/>
      <c r="P549"/>
      <c r="Q549"/>
      <c r="R549"/>
    </row>
    <row r="550" spans="14:18" x14ac:dyDescent="0.25">
      <c r="N550"/>
      <c r="O550"/>
      <c r="P550"/>
      <c r="Q550"/>
      <c r="R550"/>
    </row>
    <row r="551" spans="14:18" x14ac:dyDescent="0.25">
      <c r="N551"/>
      <c r="O551"/>
      <c r="P551"/>
      <c r="Q551"/>
      <c r="R551"/>
    </row>
    <row r="552" spans="14:18" x14ac:dyDescent="0.25">
      <c r="N552"/>
      <c r="O552"/>
      <c r="P552"/>
      <c r="Q552"/>
      <c r="R552"/>
    </row>
    <row r="553" spans="14:18" x14ac:dyDescent="0.25">
      <c r="N553"/>
      <c r="O553"/>
      <c r="P553"/>
      <c r="Q553"/>
      <c r="R553"/>
    </row>
    <row r="554" spans="14:18" x14ac:dyDescent="0.25">
      <c r="N554"/>
      <c r="O554"/>
      <c r="P554"/>
      <c r="Q554"/>
      <c r="R554"/>
    </row>
    <row r="555" spans="14:18" x14ac:dyDescent="0.25">
      <c r="N555"/>
      <c r="O555"/>
      <c r="P555"/>
      <c r="Q555"/>
      <c r="R555"/>
    </row>
    <row r="556" spans="14:18" x14ac:dyDescent="0.25">
      <c r="N556"/>
      <c r="O556"/>
      <c r="P556"/>
      <c r="Q556"/>
      <c r="R556"/>
    </row>
    <row r="557" spans="14:18" x14ac:dyDescent="0.25">
      <c r="N557"/>
      <c r="O557"/>
      <c r="P557"/>
      <c r="Q557"/>
      <c r="R557"/>
    </row>
    <row r="558" spans="14:18" x14ac:dyDescent="0.25">
      <c r="N558"/>
      <c r="O558"/>
      <c r="P558"/>
      <c r="Q558"/>
      <c r="R558"/>
    </row>
    <row r="559" spans="14:18" x14ac:dyDescent="0.25">
      <c r="N559"/>
      <c r="O559"/>
      <c r="P559"/>
      <c r="Q559"/>
      <c r="R559"/>
    </row>
    <row r="560" spans="14:18" x14ac:dyDescent="0.25">
      <c r="N560"/>
      <c r="O560"/>
      <c r="P560"/>
      <c r="Q560"/>
      <c r="R560"/>
    </row>
    <row r="561" spans="14:18" x14ac:dyDescent="0.25">
      <c r="N561"/>
      <c r="O561"/>
      <c r="P561"/>
      <c r="Q561"/>
      <c r="R561"/>
    </row>
    <row r="562" spans="14:18" x14ac:dyDescent="0.25">
      <c r="N562"/>
      <c r="O562"/>
      <c r="P562"/>
      <c r="Q562"/>
      <c r="R562"/>
    </row>
    <row r="563" spans="14:18" x14ac:dyDescent="0.25">
      <c r="N563"/>
      <c r="O563"/>
      <c r="P563"/>
      <c r="Q563"/>
      <c r="R563"/>
    </row>
    <row r="564" spans="14:18" x14ac:dyDescent="0.25">
      <c r="N564"/>
      <c r="O564"/>
      <c r="P564"/>
      <c r="Q564"/>
      <c r="R564"/>
    </row>
    <row r="565" spans="14:18" x14ac:dyDescent="0.25">
      <c r="N565"/>
      <c r="O565"/>
      <c r="P565"/>
      <c r="Q565"/>
      <c r="R565"/>
    </row>
    <row r="566" spans="14:18" x14ac:dyDescent="0.25">
      <c r="N566"/>
      <c r="O566"/>
      <c r="P566"/>
      <c r="Q566"/>
      <c r="R566"/>
    </row>
    <row r="567" spans="14:18" x14ac:dyDescent="0.25">
      <c r="N567"/>
      <c r="O567"/>
      <c r="P567"/>
      <c r="Q567"/>
      <c r="R567"/>
    </row>
    <row r="568" spans="14:18" x14ac:dyDescent="0.25">
      <c r="N568"/>
      <c r="O568"/>
      <c r="P568"/>
      <c r="Q568"/>
      <c r="R568"/>
    </row>
    <row r="569" spans="14:18" x14ac:dyDescent="0.25">
      <c r="N569"/>
      <c r="O569"/>
      <c r="P569"/>
      <c r="Q569"/>
      <c r="R569"/>
    </row>
    <row r="570" spans="14:18" x14ac:dyDescent="0.25">
      <c r="N570"/>
      <c r="O570"/>
      <c r="P570"/>
      <c r="Q570"/>
      <c r="R570"/>
    </row>
    <row r="571" spans="14:18" x14ac:dyDescent="0.25">
      <c r="N571"/>
      <c r="O571"/>
      <c r="P571"/>
      <c r="Q571"/>
      <c r="R571"/>
    </row>
    <row r="572" spans="14:18" x14ac:dyDescent="0.25">
      <c r="N572"/>
      <c r="O572"/>
      <c r="P572"/>
      <c r="Q572"/>
      <c r="R572"/>
    </row>
    <row r="573" spans="14:18" x14ac:dyDescent="0.25">
      <c r="N573"/>
      <c r="O573"/>
      <c r="P573"/>
      <c r="Q573"/>
      <c r="R573"/>
    </row>
    <row r="574" spans="14:18" x14ac:dyDescent="0.25">
      <c r="N574"/>
      <c r="O574"/>
      <c r="P574"/>
      <c r="Q574"/>
      <c r="R574"/>
    </row>
    <row r="575" spans="14:18" x14ac:dyDescent="0.25">
      <c r="N575"/>
      <c r="O575"/>
      <c r="P575"/>
      <c r="Q575"/>
      <c r="R575"/>
    </row>
    <row r="576" spans="14:18" x14ac:dyDescent="0.25">
      <c r="N576"/>
      <c r="O576"/>
      <c r="P576"/>
      <c r="Q576"/>
      <c r="R576"/>
    </row>
    <row r="577" spans="14:18" x14ac:dyDescent="0.25">
      <c r="N577"/>
      <c r="O577"/>
      <c r="P577"/>
      <c r="Q577"/>
      <c r="R577"/>
    </row>
    <row r="578" spans="14:18" x14ac:dyDescent="0.25">
      <c r="N578"/>
      <c r="O578"/>
      <c r="P578"/>
      <c r="Q578"/>
      <c r="R578"/>
    </row>
    <row r="579" spans="14:18" x14ac:dyDescent="0.25">
      <c r="N579"/>
      <c r="O579"/>
      <c r="P579"/>
      <c r="Q579"/>
      <c r="R579"/>
    </row>
    <row r="580" spans="14:18" x14ac:dyDescent="0.25">
      <c r="N580"/>
      <c r="O580"/>
      <c r="P580"/>
      <c r="Q580"/>
      <c r="R580"/>
    </row>
    <row r="581" spans="14:18" x14ac:dyDescent="0.25">
      <c r="N581"/>
      <c r="O581"/>
      <c r="P581"/>
      <c r="Q581"/>
      <c r="R581"/>
    </row>
    <row r="582" spans="14:18" x14ac:dyDescent="0.25">
      <c r="N582"/>
      <c r="O582"/>
      <c r="P582"/>
      <c r="Q582"/>
      <c r="R582"/>
    </row>
    <row r="583" spans="14:18" x14ac:dyDescent="0.25">
      <c r="N583"/>
      <c r="O583"/>
      <c r="P583"/>
      <c r="Q583"/>
      <c r="R583"/>
    </row>
    <row r="584" spans="14:18" x14ac:dyDescent="0.25">
      <c r="N584"/>
      <c r="O584"/>
      <c r="P584"/>
      <c r="Q584"/>
      <c r="R584"/>
    </row>
    <row r="585" spans="14:18" x14ac:dyDescent="0.25">
      <c r="N585"/>
      <c r="O585"/>
      <c r="P585"/>
      <c r="Q585"/>
      <c r="R585"/>
    </row>
    <row r="586" spans="14:18" x14ac:dyDescent="0.25">
      <c r="N586"/>
      <c r="O586"/>
      <c r="P586"/>
      <c r="Q586"/>
      <c r="R586"/>
    </row>
    <row r="587" spans="14:18" x14ac:dyDescent="0.25">
      <c r="N587"/>
      <c r="O587"/>
      <c r="P587"/>
      <c r="Q587"/>
      <c r="R587"/>
    </row>
    <row r="588" spans="14:18" x14ac:dyDescent="0.25">
      <c r="N588"/>
      <c r="O588"/>
      <c r="P588"/>
      <c r="Q588"/>
      <c r="R588"/>
    </row>
    <row r="589" spans="14:18" x14ac:dyDescent="0.25">
      <c r="N589"/>
      <c r="O589"/>
      <c r="P589"/>
      <c r="Q589"/>
      <c r="R589"/>
    </row>
    <row r="590" spans="14:18" x14ac:dyDescent="0.25">
      <c r="N590"/>
      <c r="O590"/>
      <c r="P590"/>
      <c r="Q590"/>
      <c r="R590"/>
    </row>
    <row r="591" spans="14:18" x14ac:dyDescent="0.25">
      <c r="N591"/>
      <c r="O591"/>
      <c r="P591"/>
      <c r="Q591"/>
      <c r="R591"/>
    </row>
    <row r="592" spans="14:18" x14ac:dyDescent="0.25">
      <c r="N592"/>
      <c r="O592"/>
      <c r="P592"/>
      <c r="Q592"/>
      <c r="R592"/>
    </row>
    <row r="593" spans="14:18" x14ac:dyDescent="0.25">
      <c r="N593"/>
      <c r="O593"/>
      <c r="P593"/>
      <c r="Q593"/>
      <c r="R593"/>
    </row>
    <row r="594" spans="14:18" x14ac:dyDescent="0.25">
      <c r="N594"/>
      <c r="O594"/>
      <c r="P594"/>
      <c r="Q594"/>
      <c r="R594"/>
    </row>
    <row r="595" spans="14:18" x14ac:dyDescent="0.25">
      <c r="N595"/>
      <c r="O595"/>
      <c r="P595"/>
      <c r="Q595"/>
      <c r="R595"/>
    </row>
    <row r="596" spans="14:18" x14ac:dyDescent="0.25">
      <c r="N596"/>
      <c r="O596"/>
      <c r="P596"/>
      <c r="Q596"/>
      <c r="R596"/>
    </row>
    <row r="597" spans="14:18" x14ac:dyDescent="0.25">
      <c r="N597"/>
      <c r="O597"/>
      <c r="P597"/>
      <c r="Q597"/>
      <c r="R597"/>
    </row>
    <row r="598" spans="14:18" x14ac:dyDescent="0.25">
      <c r="N598"/>
      <c r="O598"/>
      <c r="P598"/>
      <c r="Q598"/>
      <c r="R598"/>
    </row>
    <row r="599" spans="14:18" x14ac:dyDescent="0.25">
      <c r="N599"/>
      <c r="O599"/>
      <c r="P599"/>
      <c r="Q599"/>
      <c r="R599"/>
    </row>
    <row r="600" spans="14:18" x14ac:dyDescent="0.25">
      <c r="N600"/>
      <c r="O600"/>
      <c r="P600"/>
      <c r="Q600"/>
      <c r="R600"/>
    </row>
    <row r="601" spans="14:18" x14ac:dyDescent="0.25">
      <c r="N601"/>
      <c r="O601"/>
      <c r="P601"/>
      <c r="Q601"/>
      <c r="R601"/>
    </row>
    <row r="602" spans="14:18" x14ac:dyDescent="0.25">
      <c r="N602"/>
      <c r="O602"/>
      <c r="P602"/>
      <c r="Q602"/>
      <c r="R602"/>
    </row>
    <row r="603" spans="14:18" x14ac:dyDescent="0.25">
      <c r="N603"/>
      <c r="O603"/>
      <c r="P603"/>
      <c r="Q603"/>
      <c r="R603"/>
    </row>
    <row r="604" spans="14:18" x14ac:dyDescent="0.25">
      <c r="N604"/>
      <c r="O604"/>
      <c r="P604"/>
      <c r="Q604"/>
      <c r="R604"/>
    </row>
    <row r="605" spans="14:18" x14ac:dyDescent="0.25">
      <c r="N605"/>
      <c r="O605"/>
      <c r="P605"/>
      <c r="Q605"/>
      <c r="R605"/>
    </row>
    <row r="606" spans="14:18" x14ac:dyDescent="0.25">
      <c r="N606"/>
      <c r="O606"/>
      <c r="P606"/>
      <c r="Q606"/>
      <c r="R606"/>
    </row>
    <row r="607" spans="14:18" x14ac:dyDescent="0.25">
      <c r="N607"/>
      <c r="O607"/>
      <c r="P607"/>
      <c r="Q607"/>
      <c r="R607"/>
    </row>
    <row r="608" spans="14:18" x14ac:dyDescent="0.25">
      <c r="N608"/>
      <c r="O608"/>
      <c r="P608"/>
      <c r="Q608"/>
      <c r="R608"/>
    </row>
    <row r="609" spans="14:18" x14ac:dyDescent="0.25">
      <c r="N609"/>
      <c r="O609"/>
      <c r="P609"/>
      <c r="Q609"/>
      <c r="R609"/>
    </row>
    <row r="610" spans="14:18" x14ac:dyDescent="0.25">
      <c r="N610"/>
      <c r="O610"/>
      <c r="P610"/>
      <c r="Q610"/>
      <c r="R610"/>
    </row>
    <row r="611" spans="14:18" x14ac:dyDescent="0.25">
      <c r="N611"/>
      <c r="O611"/>
      <c r="P611"/>
      <c r="Q611"/>
      <c r="R611"/>
    </row>
    <row r="612" spans="14:18" x14ac:dyDescent="0.25">
      <c r="N612"/>
      <c r="O612"/>
      <c r="P612"/>
      <c r="Q612"/>
      <c r="R612"/>
    </row>
    <row r="613" spans="14:18" x14ac:dyDescent="0.25">
      <c r="N613"/>
      <c r="O613"/>
      <c r="P613"/>
      <c r="Q613"/>
      <c r="R613"/>
    </row>
    <row r="614" spans="14:18" x14ac:dyDescent="0.25">
      <c r="N614"/>
      <c r="O614"/>
      <c r="P614"/>
      <c r="Q614"/>
      <c r="R614"/>
    </row>
    <row r="615" spans="14:18" x14ac:dyDescent="0.25">
      <c r="N615"/>
      <c r="O615"/>
      <c r="P615"/>
      <c r="Q615"/>
      <c r="R615"/>
    </row>
    <row r="616" spans="14:18" x14ac:dyDescent="0.25">
      <c r="N616"/>
      <c r="O616"/>
      <c r="P616"/>
      <c r="Q616"/>
      <c r="R616"/>
    </row>
    <row r="617" spans="14:18" x14ac:dyDescent="0.25">
      <c r="N617"/>
      <c r="O617"/>
      <c r="P617"/>
      <c r="Q617"/>
      <c r="R617"/>
    </row>
    <row r="618" spans="14:18" x14ac:dyDescent="0.25">
      <c r="N618"/>
      <c r="O618"/>
      <c r="P618"/>
      <c r="Q618"/>
      <c r="R618"/>
    </row>
    <row r="619" spans="14:18" x14ac:dyDescent="0.25">
      <c r="N619"/>
      <c r="O619"/>
      <c r="P619"/>
      <c r="Q619"/>
      <c r="R619"/>
    </row>
    <row r="620" spans="14:18" x14ac:dyDescent="0.25">
      <c r="N620"/>
      <c r="O620"/>
      <c r="P620"/>
      <c r="Q620"/>
      <c r="R620"/>
    </row>
    <row r="621" spans="14:18" x14ac:dyDescent="0.25">
      <c r="N621"/>
      <c r="O621"/>
      <c r="P621"/>
      <c r="Q621"/>
      <c r="R621"/>
    </row>
    <row r="622" spans="14:18" x14ac:dyDescent="0.25">
      <c r="N622"/>
      <c r="O622"/>
      <c r="P622"/>
      <c r="Q622"/>
      <c r="R622"/>
    </row>
    <row r="623" spans="14:18" x14ac:dyDescent="0.25">
      <c r="N623"/>
      <c r="O623"/>
      <c r="P623"/>
      <c r="Q623"/>
      <c r="R623"/>
    </row>
    <row r="624" spans="14:18" x14ac:dyDescent="0.25">
      <c r="N624"/>
      <c r="O624"/>
      <c r="P624"/>
      <c r="Q624"/>
      <c r="R624"/>
    </row>
    <row r="625" spans="14:18" x14ac:dyDescent="0.25">
      <c r="N625"/>
      <c r="O625"/>
      <c r="P625"/>
      <c r="Q625"/>
      <c r="R625"/>
    </row>
    <row r="626" spans="14:18" x14ac:dyDescent="0.25">
      <c r="N626"/>
      <c r="O626"/>
      <c r="P626"/>
      <c r="Q626"/>
      <c r="R626"/>
    </row>
    <row r="627" spans="14:18" x14ac:dyDescent="0.25">
      <c r="N627"/>
      <c r="O627"/>
      <c r="P627"/>
      <c r="Q627"/>
      <c r="R627"/>
    </row>
    <row r="628" spans="14:18" x14ac:dyDescent="0.25">
      <c r="N628"/>
      <c r="O628"/>
      <c r="P628"/>
      <c r="Q628"/>
      <c r="R628"/>
    </row>
    <row r="629" spans="14:18" x14ac:dyDescent="0.25">
      <c r="N629"/>
      <c r="O629"/>
      <c r="P629"/>
      <c r="Q629"/>
      <c r="R629"/>
    </row>
    <row r="630" spans="14:18" x14ac:dyDescent="0.25">
      <c r="N630"/>
      <c r="O630"/>
      <c r="P630"/>
      <c r="Q630"/>
      <c r="R630"/>
    </row>
    <row r="631" spans="14:18" x14ac:dyDescent="0.25">
      <c r="N631"/>
      <c r="O631"/>
      <c r="P631"/>
      <c r="Q631"/>
      <c r="R631"/>
    </row>
    <row r="632" spans="14:18" x14ac:dyDescent="0.25">
      <c r="N632"/>
      <c r="O632"/>
      <c r="P632"/>
      <c r="Q632"/>
      <c r="R632"/>
    </row>
    <row r="633" spans="14:18" x14ac:dyDescent="0.25">
      <c r="N633"/>
      <c r="O633"/>
      <c r="P633"/>
      <c r="Q633"/>
      <c r="R633"/>
    </row>
    <row r="634" spans="14:18" x14ac:dyDescent="0.25">
      <c r="N634"/>
      <c r="O634"/>
      <c r="P634"/>
      <c r="Q634"/>
      <c r="R634"/>
    </row>
    <row r="635" spans="14:18" x14ac:dyDescent="0.25">
      <c r="N635"/>
      <c r="O635"/>
      <c r="P635"/>
      <c r="Q635"/>
      <c r="R635"/>
    </row>
    <row r="636" spans="14:18" x14ac:dyDescent="0.25">
      <c r="N636"/>
      <c r="O636"/>
      <c r="P636"/>
      <c r="Q636"/>
      <c r="R636"/>
    </row>
    <row r="637" spans="14:18" x14ac:dyDescent="0.25">
      <c r="N637"/>
      <c r="O637"/>
      <c r="P637"/>
      <c r="Q637"/>
      <c r="R637"/>
    </row>
    <row r="638" spans="14:18" x14ac:dyDescent="0.25">
      <c r="N638"/>
      <c r="O638"/>
      <c r="P638"/>
      <c r="Q638"/>
      <c r="R638"/>
    </row>
    <row r="639" spans="14:18" x14ac:dyDescent="0.25">
      <c r="N639"/>
      <c r="O639"/>
      <c r="P639"/>
      <c r="Q639"/>
      <c r="R639"/>
    </row>
    <row r="640" spans="14:18" x14ac:dyDescent="0.25">
      <c r="N640"/>
      <c r="O640"/>
      <c r="P640"/>
      <c r="Q640"/>
      <c r="R640"/>
    </row>
    <row r="641" spans="14:18" x14ac:dyDescent="0.25">
      <c r="N641"/>
      <c r="O641"/>
      <c r="P641"/>
      <c r="Q641"/>
      <c r="R641"/>
    </row>
    <row r="642" spans="14:18" x14ac:dyDescent="0.25">
      <c r="N642"/>
      <c r="O642"/>
      <c r="P642"/>
      <c r="Q642"/>
      <c r="R642"/>
    </row>
    <row r="643" spans="14:18" x14ac:dyDescent="0.25">
      <c r="N643"/>
      <c r="O643"/>
      <c r="P643"/>
      <c r="Q643"/>
      <c r="R643"/>
    </row>
    <row r="644" spans="14:18" x14ac:dyDescent="0.25">
      <c r="N644"/>
      <c r="O644"/>
      <c r="P644"/>
      <c r="Q644"/>
      <c r="R644"/>
    </row>
    <row r="645" spans="14:18" x14ac:dyDescent="0.25">
      <c r="N645"/>
      <c r="O645"/>
      <c r="P645"/>
      <c r="Q645"/>
      <c r="R645"/>
    </row>
    <row r="646" spans="14:18" x14ac:dyDescent="0.25">
      <c r="N646"/>
      <c r="O646"/>
      <c r="P646"/>
      <c r="Q646"/>
      <c r="R646"/>
    </row>
    <row r="647" spans="14:18" x14ac:dyDescent="0.25">
      <c r="N647"/>
      <c r="O647"/>
      <c r="P647"/>
      <c r="Q647"/>
      <c r="R647"/>
    </row>
    <row r="648" spans="14:18" x14ac:dyDescent="0.25">
      <c r="N648"/>
      <c r="O648"/>
      <c r="P648"/>
      <c r="Q648"/>
      <c r="R648"/>
    </row>
    <row r="649" spans="14:18" x14ac:dyDescent="0.25">
      <c r="N649"/>
      <c r="O649"/>
      <c r="P649"/>
      <c r="Q649"/>
      <c r="R649"/>
    </row>
    <row r="650" spans="14:18" x14ac:dyDescent="0.25">
      <c r="N650"/>
      <c r="O650"/>
      <c r="P650"/>
      <c r="Q650"/>
      <c r="R650"/>
    </row>
    <row r="651" spans="14:18" x14ac:dyDescent="0.25">
      <c r="N651"/>
      <c r="O651"/>
      <c r="P651"/>
      <c r="Q651"/>
      <c r="R651"/>
    </row>
    <row r="652" spans="14:18" x14ac:dyDescent="0.25">
      <c r="N652"/>
      <c r="O652"/>
      <c r="P652"/>
      <c r="Q652"/>
      <c r="R652"/>
    </row>
    <row r="653" spans="14:18" x14ac:dyDescent="0.25">
      <c r="N653"/>
      <c r="O653"/>
      <c r="P653"/>
      <c r="Q653"/>
      <c r="R653"/>
    </row>
    <row r="654" spans="14:18" x14ac:dyDescent="0.25">
      <c r="N654"/>
      <c r="O654"/>
      <c r="P654"/>
      <c r="Q654"/>
      <c r="R654"/>
    </row>
    <row r="655" spans="14:18" x14ac:dyDescent="0.25">
      <c r="N655"/>
      <c r="O655"/>
      <c r="P655"/>
      <c r="Q655"/>
      <c r="R655"/>
    </row>
    <row r="656" spans="14:18" x14ac:dyDescent="0.25">
      <c r="N656"/>
      <c r="O656"/>
      <c r="P656"/>
      <c r="Q656"/>
      <c r="R656"/>
    </row>
    <row r="657" spans="14:18" x14ac:dyDescent="0.25">
      <c r="N657"/>
      <c r="O657"/>
      <c r="P657"/>
      <c r="Q657"/>
      <c r="R657"/>
    </row>
    <row r="658" spans="14:18" x14ac:dyDescent="0.25">
      <c r="N658"/>
      <c r="O658"/>
      <c r="P658"/>
      <c r="Q658"/>
      <c r="R658"/>
    </row>
    <row r="659" spans="14:18" x14ac:dyDescent="0.25">
      <c r="N659"/>
      <c r="O659"/>
      <c r="P659"/>
      <c r="Q659"/>
      <c r="R659"/>
    </row>
    <row r="660" spans="14:18" x14ac:dyDescent="0.25">
      <c r="N660"/>
      <c r="O660"/>
      <c r="P660"/>
      <c r="Q660"/>
      <c r="R660"/>
    </row>
    <row r="661" spans="14:18" x14ac:dyDescent="0.25">
      <c r="N661"/>
      <c r="O661"/>
      <c r="P661"/>
      <c r="Q661"/>
      <c r="R661"/>
    </row>
    <row r="662" spans="14:18" x14ac:dyDescent="0.25">
      <c r="N662"/>
      <c r="O662"/>
      <c r="P662"/>
      <c r="Q662"/>
      <c r="R662"/>
    </row>
    <row r="663" spans="14:18" x14ac:dyDescent="0.25">
      <c r="N663"/>
      <c r="O663"/>
      <c r="P663"/>
      <c r="Q663"/>
      <c r="R663"/>
    </row>
    <row r="664" spans="14:18" x14ac:dyDescent="0.25">
      <c r="N664"/>
      <c r="O664"/>
      <c r="P664"/>
      <c r="Q664"/>
      <c r="R664"/>
    </row>
    <row r="665" spans="14:18" x14ac:dyDescent="0.25">
      <c r="N665"/>
      <c r="O665"/>
      <c r="P665"/>
      <c r="Q665"/>
      <c r="R665"/>
    </row>
    <row r="666" spans="14:18" x14ac:dyDescent="0.25">
      <c r="N666"/>
      <c r="O666"/>
      <c r="P666"/>
      <c r="Q666"/>
      <c r="R666"/>
    </row>
    <row r="667" spans="14:18" x14ac:dyDescent="0.25">
      <c r="N667"/>
      <c r="O667"/>
      <c r="P667"/>
      <c r="Q667"/>
      <c r="R667"/>
    </row>
    <row r="668" spans="14:18" x14ac:dyDescent="0.25">
      <c r="N668"/>
      <c r="O668"/>
      <c r="P668"/>
      <c r="Q668"/>
      <c r="R668"/>
    </row>
    <row r="669" spans="14:18" x14ac:dyDescent="0.25">
      <c r="N669"/>
      <c r="O669"/>
      <c r="P669"/>
      <c r="Q669"/>
      <c r="R669"/>
    </row>
    <row r="670" spans="14:18" x14ac:dyDescent="0.25">
      <c r="N670"/>
      <c r="O670"/>
      <c r="P670"/>
      <c r="Q670"/>
      <c r="R670"/>
    </row>
    <row r="671" spans="14:18" x14ac:dyDescent="0.25">
      <c r="N671"/>
      <c r="O671"/>
      <c r="P671"/>
      <c r="Q671"/>
      <c r="R671"/>
    </row>
    <row r="672" spans="14:18" x14ac:dyDescent="0.25">
      <c r="N672"/>
      <c r="O672"/>
      <c r="P672"/>
      <c r="Q672"/>
      <c r="R672"/>
    </row>
    <row r="673" spans="14:18" x14ac:dyDescent="0.25">
      <c r="N673"/>
      <c r="O673"/>
      <c r="P673"/>
      <c r="Q673"/>
      <c r="R673"/>
    </row>
    <row r="674" spans="14:18" x14ac:dyDescent="0.25">
      <c r="N674"/>
      <c r="O674"/>
      <c r="P674"/>
      <c r="Q674"/>
      <c r="R674"/>
    </row>
    <row r="675" spans="14:18" x14ac:dyDescent="0.25">
      <c r="N675"/>
      <c r="O675"/>
      <c r="P675"/>
      <c r="Q675"/>
      <c r="R675"/>
    </row>
    <row r="676" spans="14:18" x14ac:dyDescent="0.25">
      <c r="N676"/>
      <c r="O676"/>
      <c r="P676"/>
      <c r="Q676"/>
      <c r="R676"/>
    </row>
    <row r="677" spans="14:18" x14ac:dyDescent="0.25">
      <c r="N677"/>
      <c r="O677"/>
      <c r="P677"/>
      <c r="Q677"/>
      <c r="R677"/>
    </row>
    <row r="678" spans="14:18" x14ac:dyDescent="0.25">
      <c r="N678"/>
      <c r="O678"/>
      <c r="P678"/>
      <c r="Q678"/>
      <c r="R678"/>
    </row>
    <row r="679" spans="14:18" x14ac:dyDescent="0.25">
      <c r="N679"/>
      <c r="O679"/>
      <c r="P679"/>
      <c r="Q679"/>
      <c r="R679"/>
    </row>
    <row r="680" spans="14:18" x14ac:dyDescent="0.25">
      <c r="N680"/>
      <c r="O680"/>
      <c r="P680"/>
      <c r="Q680"/>
      <c r="R680"/>
    </row>
    <row r="681" spans="14:18" x14ac:dyDescent="0.25">
      <c r="N681"/>
      <c r="O681"/>
      <c r="P681"/>
      <c r="Q681"/>
      <c r="R681"/>
    </row>
    <row r="682" spans="14:18" x14ac:dyDescent="0.25">
      <c r="N682"/>
      <c r="O682"/>
      <c r="P682"/>
      <c r="Q682"/>
      <c r="R682"/>
    </row>
    <row r="683" spans="14:18" x14ac:dyDescent="0.25">
      <c r="N683"/>
      <c r="O683"/>
      <c r="P683"/>
      <c r="Q683"/>
      <c r="R683"/>
    </row>
    <row r="684" spans="14:18" x14ac:dyDescent="0.25">
      <c r="N684"/>
      <c r="O684"/>
      <c r="P684"/>
      <c r="Q684"/>
      <c r="R684"/>
    </row>
    <row r="685" spans="14:18" x14ac:dyDescent="0.25">
      <c r="N685"/>
      <c r="O685"/>
      <c r="P685"/>
      <c r="Q685"/>
      <c r="R685"/>
    </row>
    <row r="686" spans="14:18" x14ac:dyDescent="0.25">
      <c r="N686"/>
      <c r="O686"/>
      <c r="P686"/>
      <c r="Q686"/>
      <c r="R686"/>
    </row>
    <row r="687" spans="14:18" x14ac:dyDescent="0.25">
      <c r="N687"/>
      <c r="O687"/>
      <c r="P687"/>
      <c r="Q687"/>
      <c r="R687"/>
    </row>
    <row r="688" spans="14:18" x14ac:dyDescent="0.25">
      <c r="N688"/>
      <c r="O688"/>
      <c r="P688"/>
      <c r="Q688"/>
      <c r="R688"/>
    </row>
    <row r="689" spans="14:18" x14ac:dyDescent="0.25">
      <c r="N689"/>
      <c r="O689"/>
      <c r="P689"/>
      <c r="Q689"/>
      <c r="R689"/>
    </row>
    <row r="690" spans="14:18" x14ac:dyDescent="0.25">
      <c r="N690"/>
      <c r="O690"/>
      <c r="P690"/>
      <c r="Q690"/>
      <c r="R690"/>
    </row>
    <row r="691" spans="14:18" x14ac:dyDescent="0.25">
      <c r="N691"/>
      <c r="O691"/>
      <c r="P691"/>
      <c r="Q691"/>
      <c r="R691"/>
    </row>
    <row r="692" spans="14:18" x14ac:dyDescent="0.25">
      <c r="N692"/>
      <c r="O692"/>
      <c r="P692"/>
      <c r="Q692"/>
      <c r="R692"/>
    </row>
    <row r="693" spans="14:18" x14ac:dyDescent="0.25">
      <c r="N693"/>
      <c r="O693"/>
      <c r="P693"/>
      <c r="Q693"/>
      <c r="R693"/>
    </row>
    <row r="694" spans="14:18" x14ac:dyDescent="0.25">
      <c r="N694"/>
      <c r="O694"/>
      <c r="P694"/>
      <c r="Q694"/>
      <c r="R694"/>
    </row>
    <row r="695" spans="14:18" x14ac:dyDescent="0.25">
      <c r="N695"/>
      <c r="O695"/>
      <c r="P695"/>
      <c r="Q695"/>
      <c r="R695"/>
    </row>
    <row r="696" spans="14:18" x14ac:dyDescent="0.25">
      <c r="N696"/>
      <c r="O696"/>
      <c r="P696"/>
      <c r="Q696"/>
      <c r="R696"/>
    </row>
    <row r="697" spans="14:18" x14ac:dyDescent="0.25">
      <c r="N697"/>
      <c r="O697"/>
      <c r="P697"/>
      <c r="Q697"/>
      <c r="R697"/>
    </row>
    <row r="698" spans="14:18" x14ac:dyDescent="0.25">
      <c r="N698"/>
      <c r="O698"/>
      <c r="P698"/>
      <c r="Q698"/>
      <c r="R698"/>
    </row>
    <row r="699" spans="14:18" x14ac:dyDescent="0.25">
      <c r="N699"/>
      <c r="O699"/>
      <c r="P699"/>
      <c r="Q699"/>
      <c r="R699"/>
    </row>
    <row r="700" spans="14:18" x14ac:dyDescent="0.25">
      <c r="N700"/>
      <c r="O700"/>
      <c r="P700"/>
      <c r="Q700"/>
      <c r="R700"/>
    </row>
    <row r="701" spans="14:18" x14ac:dyDescent="0.25">
      <c r="N701"/>
      <c r="O701"/>
      <c r="P701"/>
      <c r="Q701"/>
      <c r="R701"/>
    </row>
    <row r="702" spans="14:18" x14ac:dyDescent="0.25">
      <c r="N702"/>
      <c r="O702"/>
      <c r="P702"/>
      <c r="Q702"/>
      <c r="R702"/>
    </row>
    <row r="703" spans="14:18" x14ac:dyDescent="0.25">
      <c r="N703"/>
      <c r="O703"/>
      <c r="P703"/>
      <c r="Q703"/>
      <c r="R703"/>
    </row>
    <row r="704" spans="14:18" x14ac:dyDescent="0.25">
      <c r="N704"/>
      <c r="O704"/>
      <c r="P704"/>
      <c r="Q704"/>
      <c r="R704"/>
    </row>
    <row r="705" spans="14:18" x14ac:dyDescent="0.25">
      <c r="N705"/>
      <c r="O705"/>
      <c r="P705"/>
      <c r="Q705"/>
      <c r="R705"/>
    </row>
    <row r="706" spans="14:18" x14ac:dyDescent="0.25">
      <c r="N706"/>
      <c r="O706"/>
      <c r="P706"/>
      <c r="Q706"/>
      <c r="R706"/>
    </row>
    <row r="707" spans="14:18" x14ac:dyDescent="0.25">
      <c r="N707"/>
      <c r="O707"/>
      <c r="P707"/>
      <c r="Q707"/>
      <c r="R707"/>
    </row>
    <row r="708" spans="14:18" x14ac:dyDescent="0.25">
      <c r="N708"/>
      <c r="O708"/>
      <c r="P708"/>
      <c r="Q708"/>
      <c r="R708"/>
    </row>
    <row r="709" spans="14:18" x14ac:dyDescent="0.25">
      <c r="N709"/>
      <c r="O709"/>
      <c r="P709"/>
      <c r="Q709"/>
      <c r="R709"/>
    </row>
    <row r="710" spans="14:18" x14ac:dyDescent="0.25">
      <c r="N710"/>
      <c r="O710"/>
      <c r="P710"/>
      <c r="Q710"/>
      <c r="R710"/>
    </row>
    <row r="711" spans="14:18" x14ac:dyDescent="0.25">
      <c r="N711"/>
      <c r="O711"/>
      <c r="P711"/>
      <c r="Q711"/>
      <c r="R711"/>
    </row>
    <row r="712" spans="14:18" x14ac:dyDescent="0.25">
      <c r="N712"/>
      <c r="O712"/>
      <c r="P712"/>
      <c r="Q712"/>
      <c r="R712"/>
    </row>
    <row r="713" spans="14:18" x14ac:dyDescent="0.25">
      <c r="N713"/>
      <c r="O713"/>
      <c r="P713"/>
      <c r="Q713"/>
      <c r="R713"/>
    </row>
    <row r="714" spans="14:18" x14ac:dyDescent="0.25">
      <c r="N714"/>
      <c r="O714"/>
      <c r="P714"/>
      <c r="Q714"/>
      <c r="R714"/>
    </row>
    <row r="715" spans="14:18" x14ac:dyDescent="0.25">
      <c r="N715"/>
      <c r="O715"/>
      <c r="P715"/>
      <c r="Q715"/>
      <c r="R715"/>
    </row>
    <row r="716" spans="14:18" x14ac:dyDescent="0.25">
      <c r="N716"/>
      <c r="O716"/>
      <c r="P716"/>
      <c r="Q716"/>
      <c r="R716"/>
    </row>
    <row r="717" spans="14:18" x14ac:dyDescent="0.25">
      <c r="N717"/>
      <c r="O717"/>
      <c r="P717"/>
      <c r="Q717"/>
      <c r="R717"/>
    </row>
    <row r="718" spans="14:18" x14ac:dyDescent="0.25">
      <c r="N718"/>
      <c r="O718"/>
      <c r="P718"/>
      <c r="Q718"/>
      <c r="R718"/>
    </row>
    <row r="719" spans="14:18" x14ac:dyDescent="0.25">
      <c r="N719"/>
      <c r="O719"/>
      <c r="P719"/>
      <c r="Q719"/>
      <c r="R719"/>
    </row>
    <row r="720" spans="14:18" x14ac:dyDescent="0.25">
      <c r="N720"/>
      <c r="O720"/>
      <c r="P720"/>
      <c r="Q720"/>
      <c r="R720"/>
    </row>
    <row r="721" spans="14:18" x14ac:dyDescent="0.25">
      <c r="N721"/>
      <c r="O721"/>
      <c r="P721"/>
      <c r="Q721"/>
      <c r="R721"/>
    </row>
    <row r="722" spans="14:18" x14ac:dyDescent="0.25">
      <c r="N722"/>
      <c r="O722"/>
      <c r="P722"/>
      <c r="Q722"/>
      <c r="R722"/>
    </row>
    <row r="723" spans="14:18" x14ac:dyDescent="0.25">
      <c r="N723"/>
      <c r="O723"/>
      <c r="P723"/>
      <c r="Q723"/>
      <c r="R723"/>
    </row>
    <row r="724" spans="14:18" x14ac:dyDescent="0.25">
      <c r="N724"/>
      <c r="O724"/>
      <c r="P724"/>
      <c r="Q724"/>
      <c r="R724"/>
    </row>
    <row r="725" spans="14:18" x14ac:dyDescent="0.25">
      <c r="N725"/>
      <c r="O725"/>
      <c r="P725"/>
      <c r="Q725"/>
      <c r="R725"/>
    </row>
    <row r="726" spans="14:18" x14ac:dyDescent="0.25">
      <c r="N726"/>
      <c r="O726"/>
      <c r="P726"/>
      <c r="Q726"/>
      <c r="R726"/>
    </row>
    <row r="727" spans="14:18" x14ac:dyDescent="0.25">
      <c r="N727"/>
      <c r="O727"/>
      <c r="P727"/>
      <c r="Q727"/>
      <c r="R727"/>
    </row>
    <row r="728" spans="14:18" x14ac:dyDescent="0.25">
      <c r="N728"/>
      <c r="O728"/>
      <c r="P728"/>
      <c r="Q728"/>
      <c r="R728"/>
    </row>
    <row r="729" spans="14:18" x14ac:dyDescent="0.25">
      <c r="N729"/>
      <c r="O729"/>
      <c r="P729"/>
      <c r="Q729"/>
      <c r="R729"/>
    </row>
    <row r="730" spans="14:18" x14ac:dyDescent="0.25">
      <c r="N730"/>
      <c r="O730"/>
      <c r="P730"/>
      <c r="Q730"/>
      <c r="R730"/>
    </row>
    <row r="731" spans="14:18" x14ac:dyDescent="0.25">
      <c r="N731"/>
      <c r="O731"/>
      <c r="P731"/>
      <c r="Q731"/>
      <c r="R731"/>
    </row>
    <row r="732" spans="14:18" x14ac:dyDescent="0.25">
      <c r="N732"/>
      <c r="O732"/>
      <c r="P732"/>
      <c r="Q732"/>
      <c r="R732"/>
    </row>
    <row r="733" spans="14:18" x14ac:dyDescent="0.25">
      <c r="N733"/>
      <c r="O733"/>
      <c r="P733"/>
      <c r="Q733"/>
      <c r="R733"/>
    </row>
    <row r="734" spans="14:18" x14ac:dyDescent="0.25">
      <c r="N734"/>
      <c r="O734"/>
      <c r="P734"/>
      <c r="Q734"/>
      <c r="R734"/>
    </row>
    <row r="735" spans="14:18" x14ac:dyDescent="0.25">
      <c r="N735"/>
      <c r="O735"/>
      <c r="P735"/>
      <c r="Q735"/>
      <c r="R735"/>
    </row>
    <row r="736" spans="14:18" x14ac:dyDescent="0.25">
      <c r="N736"/>
      <c r="O736"/>
      <c r="P736"/>
      <c r="Q736"/>
      <c r="R736"/>
    </row>
    <row r="737" spans="14:18" x14ac:dyDescent="0.25">
      <c r="N737"/>
      <c r="O737"/>
      <c r="P737"/>
      <c r="Q737"/>
      <c r="R737"/>
    </row>
    <row r="738" spans="14:18" x14ac:dyDescent="0.25">
      <c r="N738"/>
      <c r="O738"/>
      <c r="P738"/>
      <c r="Q738"/>
      <c r="R738"/>
    </row>
    <row r="739" spans="14:18" x14ac:dyDescent="0.25">
      <c r="N739"/>
      <c r="O739"/>
      <c r="P739"/>
      <c r="Q739"/>
      <c r="R739"/>
    </row>
    <row r="740" spans="14:18" x14ac:dyDescent="0.25">
      <c r="N740"/>
      <c r="O740"/>
      <c r="P740"/>
      <c r="Q740"/>
      <c r="R740"/>
    </row>
    <row r="741" spans="14:18" x14ac:dyDescent="0.25">
      <c r="N741"/>
      <c r="O741"/>
      <c r="P741"/>
      <c r="Q741"/>
      <c r="R741"/>
    </row>
    <row r="742" spans="14:18" x14ac:dyDescent="0.25">
      <c r="N742"/>
      <c r="O742"/>
      <c r="P742"/>
      <c r="Q742"/>
      <c r="R742"/>
    </row>
    <row r="743" spans="14:18" x14ac:dyDescent="0.25">
      <c r="N743"/>
      <c r="O743"/>
      <c r="P743"/>
      <c r="Q743"/>
      <c r="R743"/>
    </row>
    <row r="744" spans="14:18" x14ac:dyDescent="0.25">
      <c r="N744"/>
      <c r="O744"/>
      <c r="P744"/>
      <c r="Q744"/>
      <c r="R744"/>
    </row>
    <row r="745" spans="14:18" x14ac:dyDescent="0.25">
      <c r="N745"/>
      <c r="O745"/>
      <c r="P745"/>
      <c r="Q745"/>
      <c r="R745"/>
    </row>
    <row r="746" spans="14:18" x14ac:dyDescent="0.25">
      <c r="N746"/>
      <c r="O746"/>
      <c r="P746"/>
      <c r="Q746"/>
      <c r="R746"/>
    </row>
    <row r="747" spans="14:18" x14ac:dyDescent="0.25">
      <c r="N747"/>
      <c r="O747"/>
      <c r="P747"/>
      <c r="Q747"/>
      <c r="R747"/>
    </row>
    <row r="748" spans="14:18" x14ac:dyDescent="0.25">
      <c r="N748"/>
      <c r="O748"/>
      <c r="P748"/>
      <c r="Q748"/>
      <c r="R748"/>
    </row>
    <row r="749" spans="14:18" x14ac:dyDescent="0.25">
      <c r="N749"/>
      <c r="O749"/>
      <c r="P749"/>
      <c r="Q749"/>
      <c r="R749"/>
    </row>
    <row r="750" spans="14:18" x14ac:dyDescent="0.25">
      <c r="N750"/>
      <c r="O750"/>
      <c r="P750"/>
      <c r="Q750"/>
      <c r="R750"/>
    </row>
    <row r="751" spans="14:18" x14ac:dyDescent="0.25">
      <c r="N751"/>
      <c r="O751"/>
      <c r="P751"/>
      <c r="Q751"/>
      <c r="R751"/>
    </row>
    <row r="752" spans="14:18" x14ac:dyDescent="0.25">
      <c r="N752"/>
      <c r="O752"/>
      <c r="P752"/>
      <c r="Q752"/>
      <c r="R752"/>
    </row>
    <row r="753" spans="14:18" x14ac:dyDescent="0.25">
      <c r="N753"/>
      <c r="O753"/>
      <c r="P753"/>
      <c r="Q753"/>
      <c r="R753"/>
    </row>
    <row r="754" spans="14:18" x14ac:dyDescent="0.25">
      <c r="N754"/>
      <c r="O754"/>
      <c r="P754"/>
      <c r="Q754"/>
      <c r="R754"/>
    </row>
    <row r="755" spans="14:18" x14ac:dyDescent="0.25">
      <c r="N755"/>
      <c r="O755"/>
      <c r="P755"/>
      <c r="Q755"/>
      <c r="R755"/>
    </row>
    <row r="756" spans="14:18" x14ac:dyDescent="0.25">
      <c r="N756"/>
      <c r="O756"/>
      <c r="P756"/>
      <c r="Q756"/>
      <c r="R756"/>
    </row>
    <row r="757" spans="14:18" x14ac:dyDescent="0.25">
      <c r="N757"/>
      <c r="O757"/>
      <c r="P757"/>
      <c r="Q757"/>
      <c r="R757"/>
    </row>
    <row r="758" spans="14:18" x14ac:dyDescent="0.25">
      <c r="N758"/>
      <c r="O758"/>
      <c r="P758"/>
      <c r="Q758"/>
      <c r="R758"/>
    </row>
    <row r="759" spans="14:18" x14ac:dyDescent="0.25">
      <c r="N759"/>
      <c r="O759"/>
      <c r="P759"/>
      <c r="Q759"/>
      <c r="R759"/>
    </row>
    <row r="760" spans="14:18" x14ac:dyDescent="0.25">
      <c r="N760"/>
      <c r="O760"/>
      <c r="P760"/>
      <c r="Q760"/>
      <c r="R760"/>
    </row>
    <row r="761" spans="14:18" x14ac:dyDescent="0.25">
      <c r="N761"/>
      <c r="O761"/>
      <c r="P761"/>
      <c r="Q761"/>
      <c r="R761"/>
    </row>
    <row r="762" spans="14:18" x14ac:dyDescent="0.25">
      <c r="N762"/>
      <c r="O762"/>
      <c r="P762"/>
      <c r="Q762"/>
      <c r="R762"/>
    </row>
    <row r="763" spans="14:18" x14ac:dyDescent="0.25">
      <c r="N763"/>
      <c r="O763"/>
      <c r="P763"/>
      <c r="Q763"/>
      <c r="R763"/>
    </row>
    <row r="764" spans="14:18" x14ac:dyDescent="0.25">
      <c r="N764"/>
      <c r="O764"/>
      <c r="P764"/>
      <c r="Q764"/>
      <c r="R764"/>
    </row>
    <row r="765" spans="14:18" x14ac:dyDescent="0.25">
      <c r="N765"/>
      <c r="O765"/>
      <c r="P765"/>
      <c r="Q765"/>
      <c r="R765"/>
    </row>
    <row r="766" spans="14:18" x14ac:dyDescent="0.25">
      <c r="N766"/>
      <c r="O766"/>
      <c r="P766"/>
      <c r="Q766"/>
      <c r="R766"/>
    </row>
    <row r="767" spans="14:18" x14ac:dyDescent="0.25">
      <c r="N767"/>
      <c r="O767"/>
      <c r="P767"/>
      <c r="Q767"/>
      <c r="R767"/>
    </row>
    <row r="768" spans="14:18" x14ac:dyDescent="0.25">
      <c r="N768"/>
      <c r="O768"/>
      <c r="P768"/>
      <c r="Q768"/>
      <c r="R768"/>
    </row>
    <row r="769" spans="14:18" x14ac:dyDescent="0.25">
      <c r="N769"/>
      <c r="O769"/>
      <c r="P769"/>
      <c r="Q769"/>
      <c r="R769"/>
    </row>
    <row r="770" spans="14:18" x14ac:dyDescent="0.25">
      <c r="N770"/>
      <c r="O770"/>
      <c r="P770"/>
      <c r="Q770"/>
      <c r="R770"/>
    </row>
    <row r="771" spans="14:18" x14ac:dyDescent="0.25">
      <c r="N771"/>
      <c r="O771"/>
      <c r="P771"/>
      <c r="Q771"/>
      <c r="R771"/>
    </row>
    <row r="772" spans="14:18" x14ac:dyDescent="0.25">
      <c r="N772"/>
      <c r="O772"/>
      <c r="P772"/>
      <c r="Q772"/>
      <c r="R772"/>
    </row>
    <row r="773" spans="14:18" x14ac:dyDescent="0.25">
      <c r="N773"/>
      <c r="O773"/>
      <c r="P773"/>
      <c r="Q773"/>
      <c r="R773"/>
    </row>
    <row r="774" spans="14:18" x14ac:dyDescent="0.25">
      <c r="N774"/>
      <c r="O774"/>
      <c r="P774"/>
      <c r="Q774"/>
      <c r="R774"/>
    </row>
    <row r="775" spans="14:18" x14ac:dyDescent="0.25">
      <c r="N775"/>
      <c r="O775"/>
      <c r="P775"/>
      <c r="Q775"/>
      <c r="R775"/>
    </row>
    <row r="776" spans="14:18" x14ac:dyDescent="0.25">
      <c r="N776"/>
      <c r="O776"/>
      <c r="P776"/>
      <c r="Q776"/>
      <c r="R776"/>
    </row>
    <row r="777" spans="14:18" x14ac:dyDescent="0.25">
      <c r="N777"/>
      <c r="O777"/>
      <c r="P777"/>
      <c r="Q777"/>
      <c r="R777"/>
    </row>
    <row r="778" spans="14:18" x14ac:dyDescent="0.25">
      <c r="N778"/>
      <c r="O778"/>
      <c r="P778"/>
      <c r="Q778"/>
      <c r="R778"/>
    </row>
    <row r="779" spans="14:18" x14ac:dyDescent="0.25">
      <c r="N779"/>
      <c r="O779"/>
      <c r="P779"/>
      <c r="Q779"/>
      <c r="R779"/>
    </row>
    <row r="780" spans="14:18" x14ac:dyDescent="0.25">
      <c r="N780"/>
      <c r="O780"/>
      <c r="P780"/>
      <c r="Q780"/>
      <c r="R780"/>
    </row>
    <row r="781" spans="14:18" x14ac:dyDescent="0.25">
      <c r="N781"/>
      <c r="O781"/>
      <c r="P781"/>
      <c r="Q781"/>
      <c r="R781"/>
    </row>
    <row r="782" spans="14:18" x14ac:dyDescent="0.25">
      <c r="N782"/>
      <c r="O782"/>
      <c r="P782"/>
      <c r="Q782"/>
      <c r="R782"/>
    </row>
    <row r="783" spans="14:18" x14ac:dyDescent="0.25">
      <c r="N783"/>
      <c r="O783"/>
      <c r="P783"/>
      <c r="Q783"/>
      <c r="R783"/>
    </row>
    <row r="784" spans="14:18" x14ac:dyDescent="0.25">
      <c r="N784"/>
      <c r="O784"/>
      <c r="P784"/>
      <c r="Q784"/>
      <c r="R784"/>
    </row>
    <row r="785" spans="14:18" x14ac:dyDescent="0.25">
      <c r="N785"/>
      <c r="O785"/>
      <c r="P785"/>
      <c r="Q785"/>
      <c r="R785"/>
    </row>
    <row r="786" spans="14:18" x14ac:dyDescent="0.25">
      <c r="N786"/>
      <c r="O786"/>
      <c r="P786"/>
      <c r="Q786"/>
      <c r="R786"/>
    </row>
    <row r="787" spans="14:18" x14ac:dyDescent="0.25">
      <c r="N787"/>
      <c r="O787"/>
      <c r="P787"/>
      <c r="Q787"/>
      <c r="R787"/>
    </row>
    <row r="788" spans="14:18" x14ac:dyDescent="0.25">
      <c r="N788"/>
      <c r="O788"/>
      <c r="P788"/>
      <c r="Q788"/>
      <c r="R788"/>
    </row>
    <row r="789" spans="14:18" x14ac:dyDescent="0.25">
      <c r="N789"/>
      <c r="O789"/>
      <c r="P789"/>
      <c r="Q789"/>
      <c r="R789"/>
    </row>
    <row r="790" spans="14:18" x14ac:dyDescent="0.25">
      <c r="N790"/>
      <c r="O790"/>
      <c r="P790"/>
      <c r="Q790"/>
      <c r="R790"/>
    </row>
    <row r="791" spans="14:18" x14ac:dyDescent="0.25">
      <c r="N791"/>
      <c r="O791"/>
      <c r="P791"/>
      <c r="Q791"/>
      <c r="R791"/>
    </row>
    <row r="792" spans="14:18" x14ac:dyDescent="0.25">
      <c r="N792"/>
      <c r="O792"/>
      <c r="P792"/>
      <c r="Q792"/>
      <c r="R792"/>
    </row>
    <row r="793" spans="14:18" x14ac:dyDescent="0.25">
      <c r="N793"/>
      <c r="O793"/>
      <c r="P793"/>
      <c r="Q793"/>
      <c r="R793"/>
    </row>
    <row r="794" spans="14:18" x14ac:dyDescent="0.25">
      <c r="N794"/>
      <c r="O794"/>
      <c r="P794"/>
      <c r="Q794"/>
      <c r="R794"/>
    </row>
    <row r="795" spans="14:18" x14ac:dyDescent="0.25">
      <c r="N795"/>
      <c r="O795"/>
      <c r="P795"/>
      <c r="Q795"/>
      <c r="R795"/>
    </row>
    <row r="796" spans="14:18" x14ac:dyDescent="0.25">
      <c r="N796"/>
      <c r="O796"/>
      <c r="P796"/>
      <c r="Q796"/>
      <c r="R796"/>
    </row>
    <row r="797" spans="14:18" x14ac:dyDescent="0.25">
      <c r="N797"/>
      <c r="O797"/>
      <c r="P797"/>
      <c r="Q797"/>
      <c r="R797"/>
    </row>
    <row r="798" spans="14:18" x14ac:dyDescent="0.25">
      <c r="N798"/>
      <c r="O798"/>
      <c r="P798"/>
      <c r="Q798"/>
      <c r="R798"/>
    </row>
    <row r="799" spans="14:18" x14ac:dyDescent="0.25">
      <c r="N799"/>
      <c r="O799"/>
      <c r="P799"/>
      <c r="Q799"/>
      <c r="R799"/>
    </row>
    <row r="800" spans="14:18" x14ac:dyDescent="0.25">
      <c r="N800"/>
      <c r="O800"/>
      <c r="P800"/>
      <c r="Q800"/>
      <c r="R800"/>
    </row>
    <row r="801" spans="14:18" x14ac:dyDescent="0.25">
      <c r="N801"/>
      <c r="O801"/>
      <c r="P801"/>
      <c r="Q801"/>
      <c r="R801"/>
    </row>
    <row r="802" spans="14:18" x14ac:dyDescent="0.25">
      <c r="N802"/>
      <c r="O802"/>
      <c r="P802"/>
      <c r="Q802"/>
      <c r="R802"/>
    </row>
    <row r="803" spans="14:18" x14ac:dyDescent="0.25">
      <c r="N803"/>
      <c r="O803"/>
      <c r="P803"/>
      <c r="Q803"/>
      <c r="R803"/>
    </row>
    <row r="804" spans="14:18" x14ac:dyDescent="0.25">
      <c r="N804"/>
      <c r="O804"/>
      <c r="P804"/>
      <c r="Q804"/>
      <c r="R804"/>
    </row>
    <row r="805" spans="14:18" x14ac:dyDescent="0.25">
      <c r="N805"/>
      <c r="O805"/>
      <c r="P805"/>
      <c r="Q805"/>
      <c r="R805"/>
    </row>
    <row r="806" spans="14:18" x14ac:dyDescent="0.25">
      <c r="N806"/>
      <c r="O806"/>
      <c r="P806"/>
      <c r="Q806"/>
      <c r="R806"/>
    </row>
    <row r="807" spans="14:18" x14ac:dyDescent="0.25">
      <c r="N807"/>
      <c r="O807"/>
      <c r="P807"/>
      <c r="Q807"/>
      <c r="R807"/>
    </row>
    <row r="808" spans="14:18" x14ac:dyDescent="0.25">
      <c r="N808"/>
      <c r="O808"/>
      <c r="P808"/>
      <c r="Q808"/>
      <c r="R808"/>
    </row>
    <row r="809" spans="14:18" x14ac:dyDescent="0.25">
      <c r="N809"/>
      <c r="O809"/>
      <c r="P809"/>
      <c r="Q809"/>
      <c r="R809"/>
    </row>
    <row r="810" spans="14:18" x14ac:dyDescent="0.25">
      <c r="N810"/>
      <c r="O810"/>
      <c r="P810"/>
      <c r="Q810"/>
      <c r="R810"/>
    </row>
    <row r="811" spans="14:18" x14ac:dyDescent="0.25">
      <c r="N811"/>
      <c r="O811"/>
      <c r="P811"/>
      <c r="Q811"/>
      <c r="R811"/>
    </row>
    <row r="812" spans="14:18" x14ac:dyDescent="0.25">
      <c r="N812"/>
      <c r="O812"/>
      <c r="P812"/>
      <c r="Q812"/>
      <c r="R812"/>
    </row>
    <row r="813" spans="14:18" x14ac:dyDescent="0.25">
      <c r="N813"/>
      <c r="O813"/>
      <c r="P813"/>
      <c r="Q813"/>
      <c r="R813"/>
    </row>
    <row r="814" spans="14:18" x14ac:dyDescent="0.25">
      <c r="N814"/>
      <c r="O814"/>
      <c r="P814"/>
      <c r="Q814"/>
      <c r="R814"/>
    </row>
    <row r="815" spans="14:18" x14ac:dyDescent="0.25">
      <c r="N815"/>
      <c r="O815"/>
      <c r="P815"/>
      <c r="Q815"/>
      <c r="R815"/>
    </row>
    <row r="816" spans="14:18" x14ac:dyDescent="0.25">
      <c r="N816"/>
      <c r="O816"/>
      <c r="P816"/>
      <c r="Q816"/>
      <c r="R816"/>
    </row>
    <row r="817" spans="14:18" x14ac:dyDescent="0.25">
      <c r="N817"/>
      <c r="O817"/>
      <c r="P817"/>
      <c r="Q817"/>
      <c r="R817"/>
    </row>
    <row r="818" spans="14:18" x14ac:dyDescent="0.25">
      <c r="N818"/>
      <c r="O818"/>
      <c r="P818"/>
      <c r="Q818"/>
      <c r="R818"/>
    </row>
    <row r="819" spans="14:18" x14ac:dyDescent="0.25">
      <c r="N819"/>
      <c r="O819"/>
      <c r="P819"/>
      <c r="Q819"/>
      <c r="R819"/>
    </row>
    <row r="820" spans="14:18" x14ac:dyDescent="0.25">
      <c r="N820"/>
      <c r="O820"/>
      <c r="P820"/>
      <c r="Q820"/>
      <c r="R820"/>
    </row>
    <row r="821" spans="14:18" x14ac:dyDescent="0.25">
      <c r="N821"/>
      <c r="O821"/>
      <c r="P821"/>
      <c r="Q821"/>
      <c r="R821"/>
    </row>
    <row r="822" spans="14:18" x14ac:dyDescent="0.25">
      <c r="N822"/>
      <c r="O822"/>
      <c r="P822"/>
      <c r="Q822"/>
      <c r="R822"/>
    </row>
    <row r="823" spans="14:18" x14ac:dyDescent="0.25">
      <c r="N823"/>
      <c r="O823"/>
      <c r="P823"/>
      <c r="Q823"/>
      <c r="R823"/>
    </row>
    <row r="824" spans="14:18" x14ac:dyDescent="0.25">
      <c r="N824"/>
      <c r="O824"/>
      <c r="P824"/>
      <c r="Q824"/>
      <c r="R824"/>
    </row>
    <row r="825" spans="14:18" x14ac:dyDescent="0.25">
      <c r="N825"/>
      <c r="O825"/>
      <c r="P825"/>
      <c r="Q825"/>
      <c r="R825"/>
    </row>
    <row r="826" spans="14:18" x14ac:dyDescent="0.25">
      <c r="N826"/>
      <c r="O826"/>
      <c r="P826"/>
      <c r="Q826"/>
      <c r="R826"/>
    </row>
    <row r="827" spans="14:18" x14ac:dyDescent="0.25">
      <c r="N827"/>
      <c r="O827"/>
      <c r="P827"/>
      <c r="Q827"/>
      <c r="R827"/>
    </row>
    <row r="828" spans="14:18" x14ac:dyDescent="0.25">
      <c r="N828"/>
      <c r="O828"/>
      <c r="P828"/>
      <c r="Q828"/>
      <c r="R828"/>
    </row>
    <row r="829" spans="14:18" x14ac:dyDescent="0.25">
      <c r="N829"/>
      <c r="O829"/>
      <c r="P829"/>
      <c r="Q829"/>
      <c r="R829"/>
    </row>
    <row r="830" spans="14:18" x14ac:dyDescent="0.25">
      <c r="N830"/>
      <c r="O830"/>
      <c r="P830"/>
      <c r="Q830"/>
      <c r="R830"/>
    </row>
    <row r="831" spans="14:18" x14ac:dyDescent="0.25">
      <c r="N831"/>
      <c r="O831"/>
      <c r="P831"/>
      <c r="Q831"/>
      <c r="R831"/>
    </row>
    <row r="832" spans="14:18" x14ac:dyDescent="0.25">
      <c r="N832"/>
      <c r="O832"/>
      <c r="P832"/>
      <c r="Q832"/>
      <c r="R832"/>
    </row>
    <row r="833" spans="14:18" x14ac:dyDescent="0.25">
      <c r="N833"/>
      <c r="O833"/>
      <c r="P833"/>
      <c r="Q833"/>
      <c r="R833"/>
    </row>
    <row r="834" spans="14:18" x14ac:dyDescent="0.25">
      <c r="N834"/>
      <c r="O834"/>
      <c r="P834"/>
      <c r="Q834"/>
      <c r="R834"/>
    </row>
    <row r="835" spans="14:18" x14ac:dyDescent="0.25">
      <c r="N835"/>
      <c r="O835"/>
      <c r="P835"/>
      <c r="Q835"/>
      <c r="R835"/>
    </row>
    <row r="836" spans="14:18" x14ac:dyDescent="0.25">
      <c r="N836"/>
      <c r="O836"/>
      <c r="P836"/>
      <c r="Q836"/>
      <c r="R836"/>
    </row>
    <row r="837" spans="14:18" x14ac:dyDescent="0.25">
      <c r="N837"/>
      <c r="O837"/>
      <c r="P837"/>
      <c r="Q837"/>
      <c r="R837"/>
    </row>
    <row r="838" spans="14:18" x14ac:dyDescent="0.25">
      <c r="N838"/>
      <c r="O838"/>
      <c r="P838"/>
      <c r="Q838"/>
      <c r="R838"/>
    </row>
    <row r="839" spans="14:18" x14ac:dyDescent="0.25">
      <c r="N839"/>
      <c r="O839"/>
      <c r="P839"/>
      <c r="Q839"/>
      <c r="R839"/>
    </row>
    <row r="840" spans="14:18" x14ac:dyDescent="0.25">
      <c r="N840"/>
      <c r="O840"/>
      <c r="P840"/>
      <c r="Q840"/>
      <c r="R840"/>
    </row>
    <row r="841" spans="14:18" x14ac:dyDescent="0.25">
      <c r="N841"/>
      <c r="O841"/>
      <c r="P841"/>
      <c r="Q841"/>
      <c r="R841"/>
    </row>
    <row r="842" spans="14:18" x14ac:dyDescent="0.25">
      <c r="N842"/>
      <c r="O842"/>
      <c r="P842"/>
      <c r="Q842"/>
      <c r="R842"/>
    </row>
    <row r="843" spans="14:18" x14ac:dyDescent="0.25">
      <c r="N843"/>
      <c r="O843"/>
      <c r="P843"/>
      <c r="Q843"/>
      <c r="R843"/>
    </row>
    <row r="844" spans="14:18" x14ac:dyDescent="0.25">
      <c r="N844"/>
      <c r="O844"/>
      <c r="P844"/>
      <c r="Q844"/>
      <c r="R844"/>
    </row>
    <row r="845" spans="14:18" x14ac:dyDescent="0.25">
      <c r="N845"/>
      <c r="O845"/>
      <c r="P845"/>
      <c r="Q845"/>
      <c r="R845"/>
    </row>
    <row r="846" spans="14:18" x14ac:dyDescent="0.25">
      <c r="N846"/>
      <c r="O846"/>
      <c r="P846"/>
      <c r="Q846"/>
      <c r="R846"/>
    </row>
    <row r="847" spans="14:18" x14ac:dyDescent="0.25">
      <c r="N847"/>
      <c r="O847"/>
      <c r="P847"/>
      <c r="Q847"/>
      <c r="R847"/>
    </row>
    <row r="848" spans="14:18" x14ac:dyDescent="0.25">
      <c r="N848"/>
      <c r="O848"/>
      <c r="P848"/>
      <c r="Q848"/>
      <c r="R848"/>
    </row>
    <row r="849" spans="14:18" x14ac:dyDescent="0.25">
      <c r="N849"/>
      <c r="O849"/>
      <c r="P849"/>
      <c r="Q849"/>
      <c r="R849"/>
    </row>
    <row r="850" spans="14:18" x14ac:dyDescent="0.25">
      <c r="N850"/>
      <c r="O850"/>
      <c r="P850"/>
      <c r="Q850"/>
      <c r="R850"/>
    </row>
    <row r="851" spans="14:18" x14ac:dyDescent="0.25">
      <c r="N851"/>
      <c r="O851"/>
      <c r="P851"/>
      <c r="Q851"/>
      <c r="R851"/>
    </row>
    <row r="852" spans="14:18" x14ac:dyDescent="0.25">
      <c r="N852"/>
      <c r="O852"/>
      <c r="P852"/>
      <c r="Q852"/>
      <c r="R852"/>
    </row>
    <row r="853" spans="14:18" x14ac:dyDescent="0.25">
      <c r="N853"/>
      <c r="O853"/>
      <c r="P853"/>
      <c r="Q853"/>
      <c r="R853"/>
    </row>
    <row r="854" spans="14:18" x14ac:dyDescent="0.25">
      <c r="N854"/>
      <c r="O854"/>
      <c r="P854"/>
      <c r="Q854"/>
      <c r="R854"/>
    </row>
    <row r="855" spans="14:18" x14ac:dyDescent="0.25">
      <c r="N855"/>
      <c r="O855"/>
      <c r="P855"/>
      <c r="Q855"/>
      <c r="R855"/>
    </row>
    <row r="856" spans="14:18" x14ac:dyDescent="0.25">
      <c r="N856"/>
      <c r="O856"/>
      <c r="P856"/>
      <c r="Q856"/>
      <c r="R856"/>
    </row>
    <row r="857" spans="14:18" x14ac:dyDescent="0.25">
      <c r="N857"/>
      <c r="O857"/>
      <c r="P857"/>
      <c r="Q857"/>
      <c r="R857"/>
    </row>
    <row r="858" spans="14:18" x14ac:dyDescent="0.25">
      <c r="N858"/>
      <c r="O858"/>
      <c r="P858"/>
      <c r="Q858"/>
      <c r="R858"/>
    </row>
    <row r="859" spans="14:18" x14ac:dyDescent="0.25">
      <c r="N859"/>
      <c r="O859"/>
      <c r="P859"/>
      <c r="Q859"/>
      <c r="R859"/>
    </row>
    <row r="860" spans="14:18" x14ac:dyDescent="0.25">
      <c r="N860"/>
      <c r="O860"/>
      <c r="P860"/>
      <c r="Q860"/>
      <c r="R860"/>
    </row>
    <row r="861" spans="14:18" x14ac:dyDescent="0.25">
      <c r="N861"/>
      <c r="O861"/>
      <c r="P861"/>
      <c r="Q861"/>
      <c r="R861"/>
    </row>
    <row r="862" spans="14:18" x14ac:dyDescent="0.25">
      <c r="N862"/>
      <c r="O862"/>
      <c r="P862"/>
      <c r="Q862"/>
      <c r="R862"/>
    </row>
    <row r="863" spans="14:18" x14ac:dyDescent="0.25">
      <c r="N863"/>
      <c r="O863"/>
      <c r="P863"/>
      <c r="Q863"/>
      <c r="R863"/>
    </row>
    <row r="864" spans="14:18" x14ac:dyDescent="0.25">
      <c r="N864"/>
      <c r="O864"/>
      <c r="P864"/>
      <c r="Q864"/>
      <c r="R864"/>
    </row>
    <row r="865" spans="14:18" x14ac:dyDescent="0.25">
      <c r="N865"/>
      <c r="O865"/>
      <c r="P865"/>
      <c r="Q865"/>
      <c r="R865"/>
    </row>
    <row r="866" spans="14:18" x14ac:dyDescent="0.25">
      <c r="N866"/>
      <c r="O866"/>
      <c r="P866"/>
      <c r="Q866"/>
      <c r="R866"/>
    </row>
    <row r="867" spans="14:18" x14ac:dyDescent="0.25">
      <c r="N867"/>
      <c r="O867"/>
      <c r="P867"/>
      <c r="Q867"/>
      <c r="R867"/>
    </row>
    <row r="868" spans="14:18" x14ac:dyDescent="0.25">
      <c r="N868"/>
      <c r="O868"/>
      <c r="P868"/>
      <c r="Q868"/>
      <c r="R868"/>
    </row>
    <row r="869" spans="14:18" x14ac:dyDescent="0.25">
      <c r="N869"/>
      <c r="O869"/>
      <c r="P869"/>
      <c r="Q869"/>
      <c r="R869"/>
    </row>
    <row r="870" spans="14:18" x14ac:dyDescent="0.25">
      <c r="N870"/>
      <c r="O870"/>
      <c r="P870"/>
      <c r="Q870"/>
      <c r="R870"/>
    </row>
    <row r="871" spans="14:18" x14ac:dyDescent="0.25">
      <c r="N871"/>
      <c r="O871"/>
      <c r="P871"/>
      <c r="Q871"/>
      <c r="R871"/>
    </row>
    <row r="872" spans="14:18" x14ac:dyDescent="0.25">
      <c r="N872"/>
      <c r="O872"/>
      <c r="P872"/>
      <c r="Q872"/>
      <c r="R872"/>
    </row>
    <row r="873" spans="14:18" x14ac:dyDescent="0.25">
      <c r="N873"/>
      <c r="O873"/>
      <c r="P873"/>
      <c r="Q873"/>
      <c r="R873"/>
    </row>
    <row r="874" spans="14:18" x14ac:dyDescent="0.25">
      <c r="N874"/>
      <c r="O874"/>
      <c r="P874"/>
      <c r="Q874"/>
      <c r="R874"/>
    </row>
    <row r="875" spans="14:18" x14ac:dyDescent="0.25">
      <c r="N875"/>
      <c r="O875"/>
      <c r="P875"/>
      <c r="Q875"/>
      <c r="R875"/>
    </row>
    <row r="876" spans="14:18" x14ac:dyDescent="0.25">
      <c r="N876"/>
      <c r="O876"/>
      <c r="P876"/>
      <c r="Q876"/>
      <c r="R876"/>
    </row>
    <row r="877" spans="14:18" x14ac:dyDescent="0.25">
      <c r="N877"/>
      <c r="O877"/>
      <c r="P877"/>
      <c r="Q877"/>
      <c r="R877"/>
    </row>
    <row r="878" spans="14:18" x14ac:dyDescent="0.25">
      <c r="N878"/>
      <c r="O878"/>
      <c r="P878"/>
      <c r="Q878"/>
      <c r="R878"/>
    </row>
    <row r="879" spans="14:18" x14ac:dyDescent="0.25">
      <c r="N879"/>
      <c r="O879"/>
      <c r="P879"/>
      <c r="Q879"/>
      <c r="R879"/>
    </row>
    <row r="880" spans="14:18" x14ac:dyDescent="0.25">
      <c r="N880"/>
      <c r="O880"/>
      <c r="P880"/>
      <c r="Q880"/>
      <c r="R880"/>
    </row>
    <row r="881" spans="14:18" x14ac:dyDescent="0.25">
      <c r="N881"/>
      <c r="O881"/>
      <c r="P881"/>
      <c r="Q881"/>
      <c r="R881"/>
    </row>
    <row r="882" spans="14:18" x14ac:dyDescent="0.25">
      <c r="N882"/>
      <c r="O882"/>
      <c r="P882"/>
      <c r="Q882"/>
      <c r="R882"/>
    </row>
    <row r="883" spans="14:18" x14ac:dyDescent="0.25">
      <c r="N883"/>
      <c r="O883"/>
      <c r="P883"/>
      <c r="Q883"/>
      <c r="R883"/>
    </row>
    <row r="884" spans="14:18" x14ac:dyDescent="0.25">
      <c r="N884"/>
      <c r="O884"/>
      <c r="P884"/>
      <c r="Q884"/>
      <c r="R884"/>
    </row>
    <row r="885" spans="14:18" x14ac:dyDescent="0.25">
      <c r="N885"/>
      <c r="O885"/>
      <c r="P885"/>
      <c r="Q885"/>
      <c r="R885"/>
    </row>
    <row r="886" spans="14:18" x14ac:dyDescent="0.25">
      <c r="N886"/>
      <c r="O886"/>
      <c r="P886"/>
      <c r="Q886"/>
      <c r="R886"/>
    </row>
    <row r="887" spans="14:18" x14ac:dyDescent="0.25">
      <c r="N887"/>
      <c r="O887"/>
      <c r="P887"/>
      <c r="Q887"/>
      <c r="R887"/>
    </row>
    <row r="888" spans="14:18" x14ac:dyDescent="0.25">
      <c r="N888"/>
      <c r="O888"/>
      <c r="P888"/>
      <c r="Q888"/>
      <c r="R888"/>
    </row>
    <row r="889" spans="14:18" x14ac:dyDescent="0.25">
      <c r="N889"/>
      <c r="O889"/>
      <c r="P889"/>
      <c r="Q889"/>
      <c r="R889"/>
    </row>
    <row r="890" spans="14:18" x14ac:dyDescent="0.25">
      <c r="N890"/>
      <c r="O890"/>
      <c r="P890"/>
      <c r="Q890"/>
      <c r="R890"/>
    </row>
    <row r="891" spans="14:18" x14ac:dyDescent="0.25">
      <c r="N891"/>
      <c r="O891"/>
      <c r="P891"/>
      <c r="Q891"/>
      <c r="R891"/>
    </row>
    <row r="892" spans="14:18" x14ac:dyDescent="0.25">
      <c r="N892"/>
      <c r="O892"/>
      <c r="P892"/>
      <c r="Q892"/>
      <c r="R892"/>
    </row>
    <row r="893" spans="14:18" x14ac:dyDescent="0.25">
      <c r="N893"/>
      <c r="O893"/>
      <c r="P893"/>
      <c r="Q893"/>
      <c r="R893"/>
    </row>
    <row r="894" spans="14:18" x14ac:dyDescent="0.25">
      <c r="N894"/>
      <c r="O894"/>
      <c r="P894"/>
      <c r="Q894"/>
      <c r="R894"/>
    </row>
    <row r="895" spans="14:18" x14ac:dyDescent="0.25">
      <c r="N895"/>
      <c r="O895"/>
      <c r="P895"/>
      <c r="Q895"/>
      <c r="R895"/>
    </row>
    <row r="896" spans="14:18" x14ac:dyDescent="0.25">
      <c r="N896"/>
      <c r="O896"/>
      <c r="P896"/>
      <c r="Q896"/>
      <c r="R896"/>
    </row>
    <row r="897" spans="14:18" x14ac:dyDescent="0.25">
      <c r="N897"/>
      <c r="O897"/>
      <c r="P897"/>
      <c r="Q897"/>
      <c r="R897"/>
    </row>
    <row r="898" spans="14:18" x14ac:dyDescent="0.25">
      <c r="N898"/>
      <c r="O898"/>
      <c r="P898"/>
      <c r="Q898"/>
      <c r="R898"/>
    </row>
    <row r="899" spans="14:18" x14ac:dyDescent="0.25">
      <c r="N899"/>
      <c r="O899"/>
      <c r="P899"/>
      <c r="Q899"/>
      <c r="R899"/>
    </row>
    <row r="900" spans="14:18" x14ac:dyDescent="0.25">
      <c r="N900"/>
      <c r="O900"/>
      <c r="P900"/>
      <c r="Q900"/>
      <c r="R900"/>
    </row>
    <row r="901" spans="14:18" x14ac:dyDescent="0.25">
      <c r="N901"/>
      <c r="O901"/>
      <c r="P901"/>
      <c r="Q901"/>
      <c r="R901"/>
    </row>
    <row r="902" spans="14:18" x14ac:dyDescent="0.25">
      <c r="N902"/>
      <c r="O902"/>
      <c r="P902"/>
      <c r="Q902"/>
      <c r="R902"/>
    </row>
    <row r="903" spans="14:18" x14ac:dyDescent="0.25">
      <c r="N903"/>
      <c r="O903"/>
      <c r="P903"/>
      <c r="Q903"/>
      <c r="R903"/>
    </row>
    <row r="904" spans="14:18" x14ac:dyDescent="0.25">
      <c r="N904"/>
      <c r="O904"/>
      <c r="P904"/>
      <c r="Q904"/>
      <c r="R904"/>
    </row>
    <row r="905" spans="14:18" x14ac:dyDescent="0.25">
      <c r="N905"/>
      <c r="O905"/>
      <c r="P905"/>
      <c r="Q905"/>
      <c r="R905"/>
    </row>
    <row r="906" spans="14:18" x14ac:dyDescent="0.25">
      <c r="N906"/>
      <c r="O906"/>
      <c r="P906"/>
      <c r="Q906"/>
      <c r="R906"/>
    </row>
    <row r="907" spans="14:18" x14ac:dyDescent="0.25">
      <c r="N907"/>
      <c r="O907"/>
      <c r="P907"/>
      <c r="Q907"/>
      <c r="R907"/>
    </row>
    <row r="908" spans="14:18" x14ac:dyDescent="0.25">
      <c r="N908"/>
      <c r="O908"/>
      <c r="P908"/>
      <c r="Q908"/>
      <c r="R908"/>
    </row>
    <row r="909" spans="14:18" x14ac:dyDescent="0.25">
      <c r="N909"/>
      <c r="O909"/>
      <c r="P909"/>
      <c r="Q909"/>
      <c r="R909"/>
    </row>
    <row r="910" spans="14:18" x14ac:dyDescent="0.25">
      <c r="N910"/>
      <c r="O910"/>
      <c r="P910"/>
      <c r="Q910"/>
      <c r="R910"/>
    </row>
    <row r="911" spans="14:18" x14ac:dyDescent="0.25">
      <c r="N911"/>
      <c r="O911"/>
      <c r="P911"/>
      <c r="Q911"/>
      <c r="R911"/>
    </row>
    <row r="912" spans="14:18" x14ac:dyDescent="0.25">
      <c r="N912"/>
      <c r="O912"/>
      <c r="P912"/>
      <c r="Q912"/>
      <c r="R912"/>
    </row>
    <row r="913" spans="14:18" x14ac:dyDescent="0.25">
      <c r="N913"/>
      <c r="O913"/>
      <c r="P913"/>
      <c r="Q913"/>
      <c r="R913"/>
    </row>
    <row r="914" spans="14:18" x14ac:dyDescent="0.25">
      <c r="N914"/>
      <c r="O914"/>
      <c r="P914"/>
      <c r="Q914"/>
      <c r="R914"/>
    </row>
    <row r="915" spans="14:18" x14ac:dyDescent="0.25">
      <c r="N915"/>
      <c r="O915"/>
      <c r="P915"/>
      <c r="Q915"/>
      <c r="R915"/>
    </row>
    <row r="916" spans="14:18" x14ac:dyDescent="0.25">
      <c r="N916"/>
      <c r="O916"/>
      <c r="P916"/>
      <c r="Q916"/>
      <c r="R916"/>
    </row>
    <row r="917" spans="14:18" x14ac:dyDescent="0.25">
      <c r="N917"/>
      <c r="O917"/>
      <c r="P917"/>
      <c r="Q917"/>
      <c r="R917"/>
    </row>
    <row r="918" spans="14:18" x14ac:dyDescent="0.25">
      <c r="N918"/>
      <c r="O918"/>
      <c r="P918"/>
      <c r="Q918"/>
      <c r="R918"/>
    </row>
    <row r="919" spans="14:18" x14ac:dyDescent="0.25">
      <c r="N919"/>
      <c r="O919"/>
      <c r="P919"/>
      <c r="Q919"/>
      <c r="R919"/>
    </row>
    <row r="920" spans="14:18" x14ac:dyDescent="0.25">
      <c r="N920"/>
      <c r="O920"/>
      <c r="P920"/>
      <c r="Q920"/>
      <c r="R920"/>
    </row>
    <row r="921" spans="14:18" x14ac:dyDescent="0.25">
      <c r="N921"/>
      <c r="O921"/>
      <c r="P921"/>
      <c r="Q921"/>
      <c r="R921"/>
    </row>
    <row r="922" spans="14:18" x14ac:dyDescent="0.25">
      <c r="N922"/>
      <c r="O922"/>
      <c r="P922"/>
      <c r="Q922"/>
      <c r="R922"/>
    </row>
    <row r="923" spans="14:18" x14ac:dyDescent="0.25">
      <c r="N923"/>
      <c r="O923"/>
      <c r="P923"/>
      <c r="Q923"/>
      <c r="R923"/>
    </row>
    <row r="924" spans="14:18" x14ac:dyDescent="0.25">
      <c r="N924"/>
      <c r="O924"/>
      <c r="P924"/>
      <c r="Q924"/>
      <c r="R924"/>
    </row>
    <row r="925" spans="14:18" x14ac:dyDescent="0.25">
      <c r="N925"/>
      <c r="O925"/>
      <c r="P925"/>
      <c r="Q925"/>
      <c r="R925"/>
    </row>
    <row r="926" spans="14:18" x14ac:dyDescent="0.25">
      <c r="N926"/>
      <c r="O926"/>
      <c r="P926"/>
      <c r="Q926"/>
      <c r="R926"/>
    </row>
    <row r="927" spans="14:18" x14ac:dyDescent="0.25">
      <c r="N927"/>
      <c r="O927"/>
      <c r="P927"/>
      <c r="Q927"/>
      <c r="R927"/>
    </row>
    <row r="928" spans="14:18" x14ac:dyDescent="0.25">
      <c r="N928"/>
      <c r="O928"/>
      <c r="P928"/>
      <c r="Q928"/>
      <c r="R928"/>
    </row>
    <row r="929" spans="14:18" x14ac:dyDescent="0.25">
      <c r="N929"/>
      <c r="O929"/>
      <c r="P929"/>
      <c r="Q929"/>
      <c r="R929"/>
    </row>
    <row r="930" spans="14:18" x14ac:dyDescent="0.25">
      <c r="N930"/>
      <c r="O930"/>
      <c r="P930"/>
      <c r="Q930"/>
      <c r="R930"/>
    </row>
    <row r="931" spans="14:18" x14ac:dyDescent="0.25">
      <c r="N931"/>
      <c r="O931"/>
      <c r="P931"/>
      <c r="Q931"/>
      <c r="R931"/>
    </row>
    <row r="932" spans="14:18" x14ac:dyDescent="0.25">
      <c r="N932"/>
      <c r="O932"/>
      <c r="P932"/>
      <c r="Q932"/>
      <c r="R932"/>
    </row>
    <row r="933" spans="14:18" x14ac:dyDescent="0.25">
      <c r="N933"/>
      <c r="O933"/>
      <c r="P933"/>
      <c r="Q933"/>
      <c r="R933"/>
    </row>
    <row r="934" spans="14:18" x14ac:dyDescent="0.25">
      <c r="N934"/>
      <c r="O934"/>
      <c r="P934"/>
      <c r="Q934"/>
      <c r="R934"/>
    </row>
    <row r="935" spans="14:18" x14ac:dyDescent="0.25">
      <c r="N935"/>
      <c r="O935"/>
      <c r="P935"/>
      <c r="Q935"/>
      <c r="R935"/>
    </row>
    <row r="936" spans="14:18" x14ac:dyDescent="0.25">
      <c r="N936"/>
      <c r="O936"/>
      <c r="P936"/>
      <c r="Q936"/>
      <c r="R936"/>
    </row>
    <row r="937" spans="14:18" x14ac:dyDescent="0.25">
      <c r="N937"/>
      <c r="O937"/>
      <c r="P937"/>
      <c r="Q937"/>
      <c r="R937"/>
    </row>
    <row r="938" spans="14:18" x14ac:dyDescent="0.25">
      <c r="N938"/>
      <c r="O938"/>
      <c r="P938"/>
      <c r="Q938"/>
      <c r="R938"/>
    </row>
    <row r="939" spans="14:18" x14ac:dyDescent="0.25">
      <c r="N939"/>
      <c r="O939"/>
      <c r="P939"/>
      <c r="Q939"/>
      <c r="R939"/>
    </row>
    <row r="940" spans="14:18" x14ac:dyDescent="0.25">
      <c r="N940"/>
      <c r="O940"/>
      <c r="P940"/>
      <c r="Q940"/>
      <c r="R940"/>
    </row>
    <row r="941" spans="14:18" x14ac:dyDescent="0.25">
      <c r="N941"/>
      <c r="O941"/>
      <c r="P941"/>
      <c r="Q941"/>
      <c r="R941"/>
    </row>
    <row r="942" spans="14:18" x14ac:dyDescent="0.25">
      <c r="N942"/>
      <c r="O942"/>
      <c r="P942"/>
      <c r="Q942"/>
      <c r="R942"/>
    </row>
    <row r="943" spans="14:18" x14ac:dyDescent="0.25">
      <c r="N943"/>
      <c r="O943"/>
      <c r="P943"/>
      <c r="Q943"/>
      <c r="R943"/>
    </row>
    <row r="944" spans="14:18" x14ac:dyDescent="0.25">
      <c r="N944"/>
      <c r="O944"/>
      <c r="P944"/>
      <c r="Q944"/>
      <c r="R944"/>
    </row>
    <row r="945" spans="14:18" x14ac:dyDescent="0.25">
      <c r="N945"/>
      <c r="O945"/>
      <c r="P945"/>
      <c r="Q945"/>
      <c r="R945"/>
    </row>
    <row r="946" spans="14:18" x14ac:dyDescent="0.25">
      <c r="N946"/>
      <c r="O946"/>
      <c r="P946"/>
      <c r="Q946"/>
      <c r="R946"/>
    </row>
    <row r="947" spans="14:18" x14ac:dyDescent="0.25">
      <c r="N947"/>
      <c r="O947"/>
      <c r="P947"/>
      <c r="Q947"/>
      <c r="R947"/>
    </row>
    <row r="948" spans="14:18" x14ac:dyDescent="0.25">
      <c r="N948"/>
      <c r="O948"/>
      <c r="P948"/>
      <c r="Q948"/>
      <c r="R948"/>
    </row>
    <row r="949" spans="14:18" x14ac:dyDescent="0.25">
      <c r="N949"/>
      <c r="O949"/>
      <c r="P949"/>
      <c r="Q949"/>
      <c r="R949"/>
    </row>
    <row r="950" spans="14:18" x14ac:dyDescent="0.25">
      <c r="N950"/>
      <c r="O950"/>
      <c r="P950"/>
      <c r="Q950"/>
      <c r="R950"/>
    </row>
    <row r="951" spans="14:18" x14ac:dyDescent="0.25">
      <c r="N951"/>
      <c r="O951"/>
      <c r="P951"/>
      <c r="Q951"/>
      <c r="R951"/>
    </row>
    <row r="952" spans="14:18" x14ac:dyDescent="0.25">
      <c r="N952"/>
      <c r="O952"/>
      <c r="P952"/>
      <c r="Q952"/>
      <c r="R952"/>
    </row>
    <row r="953" spans="14:18" x14ac:dyDescent="0.25">
      <c r="N953"/>
      <c r="O953"/>
      <c r="P953"/>
      <c r="Q953"/>
      <c r="R953"/>
    </row>
    <row r="954" spans="14:18" x14ac:dyDescent="0.25">
      <c r="N954"/>
      <c r="O954"/>
      <c r="P954"/>
      <c r="Q954"/>
      <c r="R954"/>
    </row>
    <row r="955" spans="14:18" x14ac:dyDescent="0.25">
      <c r="N955"/>
      <c r="O955"/>
      <c r="P955"/>
      <c r="Q955"/>
      <c r="R955"/>
    </row>
    <row r="956" spans="14:18" x14ac:dyDescent="0.25">
      <c r="N956"/>
      <c r="O956"/>
      <c r="P956"/>
      <c r="Q956"/>
      <c r="R956"/>
    </row>
    <row r="957" spans="14:18" x14ac:dyDescent="0.25">
      <c r="N957"/>
      <c r="O957"/>
      <c r="P957"/>
      <c r="Q957"/>
      <c r="R957"/>
    </row>
    <row r="958" spans="14:18" x14ac:dyDescent="0.25">
      <c r="N958"/>
      <c r="O958"/>
      <c r="P958"/>
      <c r="Q958"/>
      <c r="R958"/>
    </row>
    <row r="959" spans="14:18" x14ac:dyDescent="0.25">
      <c r="N959"/>
      <c r="O959"/>
      <c r="P959"/>
      <c r="Q959"/>
      <c r="R959"/>
    </row>
    <row r="960" spans="14:18" x14ac:dyDescent="0.25">
      <c r="N960"/>
      <c r="O960"/>
      <c r="P960"/>
      <c r="Q960"/>
      <c r="R960"/>
    </row>
    <row r="961" spans="14:18" x14ac:dyDescent="0.25">
      <c r="N961"/>
      <c r="O961"/>
      <c r="P961"/>
      <c r="Q961"/>
      <c r="R961"/>
    </row>
    <row r="962" spans="14:18" x14ac:dyDescent="0.25">
      <c r="N962"/>
      <c r="O962"/>
      <c r="P962"/>
      <c r="Q962"/>
      <c r="R962"/>
    </row>
    <row r="963" spans="14:18" x14ac:dyDescent="0.25">
      <c r="N963"/>
      <c r="O963"/>
      <c r="P963"/>
      <c r="Q963"/>
      <c r="R963"/>
    </row>
    <row r="964" spans="14:18" x14ac:dyDescent="0.25">
      <c r="N964"/>
      <c r="O964"/>
      <c r="P964"/>
      <c r="Q964"/>
      <c r="R964"/>
    </row>
    <row r="965" spans="14:18" x14ac:dyDescent="0.25">
      <c r="N965"/>
      <c r="O965"/>
      <c r="P965"/>
      <c r="Q965"/>
      <c r="R965"/>
    </row>
    <row r="966" spans="14:18" x14ac:dyDescent="0.25">
      <c r="N966"/>
      <c r="O966"/>
      <c r="P966"/>
      <c r="Q966"/>
      <c r="R966"/>
    </row>
    <row r="967" spans="14:18" x14ac:dyDescent="0.25">
      <c r="N967"/>
      <c r="O967"/>
      <c r="P967"/>
      <c r="Q967"/>
      <c r="R967"/>
    </row>
    <row r="968" spans="14:18" x14ac:dyDescent="0.25">
      <c r="N968"/>
      <c r="O968"/>
      <c r="P968"/>
      <c r="Q968"/>
      <c r="R968"/>
    </row>
    <row r="969" spans="14:18" x14ac:dyDescent="0.25">
      <c r="N969"/>
      <c r="O969"/>
      <c r="P969"/>
      <c r="Q969"/>
      <c r="R969"/>
    </row>
    <row r="970" spans="14:18" x14ac:dyDescent="0.25">
      <c r="N970"/>
      <c r="O970"/>
      <c r="P970"/>
      <c r="Q970"/>
      <c r="R970"/>
    </row>
    <row r="971" spans="14:18" x14ac:dyDescent="0.25">
      <c r="N971"/>
      <c r="O971"/>
      <c r="P971"/>
      <c r="Q971"/>
      <c r="R971"/>
    </row>
    <row r="972" spans="14:18" x14ac:dyDescent="0.25">
      <c r="N972"/>
      <c r="O972"/>
      <c r="P972"/>
      <c r="Q972"/>
      <c r="R972"/>
    </row>
    <row r="973" spans="14:18" x14ac:dyDescent="0.25">
      <c r="N973"/>
      <c r="O973"/>
      <c r="P973"/>
      <c r="Q973"/>
      <c r="R973"/>
    </row>
    <row r="974" spans="14:18" x14ac:dyDescent="0.25">
      <c r="N974"/>
      <c r="O974"/>
      <c r="P974"/>
      <c r="Q974"/>
      <c r="R974"/>
    </row>
    <row r="975" spans="14:18" x14ac:dyDescent="0.25">
      <c r="N975"/>
      <c r="O975"/>
      <c r="P975"/>
      <c r="Q975"/>
      <c r="R975"/>
    </row>
    <row r="976" spans="14:18" x14ac:dyDescent="0.25">
      <c r="N976"/>
      <c r="O976"/>
      <c r="P976"/>
      <c r="Q976"/>
      <c r="R976"/>
    </row>
    <row r="977" spans="14:18" x14ac:dyDescent="0.25">
      <c r="N977"/>
      <c r="O977"/>
      <c r="P977"/>
      <c r="Q977"/>
      <c r="R977"/>
    </row>
    <row r="978" spans="14:18" x14ac:dyDescent="0.25">
      <c r="N978"/>
      <c r="O978"/>
      <c r="P978"/>
      <c r="Q978"/>
      <c r="R978"/>
    </row>
    <row r="979" spans="14:18" x14ac:dyDescent="0.25">
      <c r="N979"/>
      <c r="O979"/>
      <c r="P979"/>
      <c r="Q979"/>
      <c r="R979"/>
    </row>
    <row r="980" spans="14:18" x14ac:dyDescent="0.25">
      <c r="N980"/>
      <c r="O980"/>
      <c r="P980"/>
      <c r="Q980"/>
      <c r="R980"/>
    </row>
    <row r="981" spans="14:18" x14ac:dyDescent="0.25">
      <c r="N981"/>
      <c r="O981"/>
      <c r="P981"/>
      <c r="Q981"/>
      <c r="R981"/>
    </row>
    <row r="982" spans="14:18" x14ac:dyDescent="0.25">
      <c r="N982"/>
      <c r="O982"/>
      <c r="P982"/>
      <c r="Q982"/>
      <c r="R982"/>
    </row>
    <row r="983" spans="14:18" x14ac:dyDescent="0.25">
      <c r="N983"/>
      <c r="O983"/>
      <c r="P983"/>
      <c r="Q983"/>
      <c r="R983"/>
    </row>
    <row r="984" spans="14:18" x14ac:dyDescent="0.25">
      <c r="N984"/>
      <c r="O984"/>
      <c r="P984"/>
      <c r="Q984"/>
      <c r="R984"/>
    </row>
    <row r="985" spans="14:18" x14ac:dyDescent="0.25">
      <c r="N985"/>
      <c r="O985"/>
      <c r="P985"/>
      <c r="Q985"/>
      <c r="R985"/>
    </row>
    <row r="986" spans="14:18" x14ac:dyDescent="0.25">
      <c r="N986"/>
      <c r="O986"/>
      <c r="P986"/>
      <c r="Q986"/>
      <c r="R986"/>
    </row>
    <row r="987" spans="14:18" x14ac:dyDescent="0.25">
      <c r="N987"/>
      <c r="O987"/>
      <c r="P987"/>
      <c r="Q987"/>
      <c r="R987"/>
    </row>
    <row r="988" spans="14:18" x14ac:dyDescent="0.25">
      <c r="N988"/>
      <c r="O988"/>
      <c r="P988"/>
      <c r="Q988"/>
      <c r="R988"/>
    </row>
    <row r="989" spans="14:18" x14ac:dyDescent="0.25">
      <c r="N989"/>
      <c r="O989"/>
      <c r="P989"/>
      <c r="Q989"/>
      <c r="R989"/>
    </row>
    <row r="990" spans="14:18" x14ac:dyDescent="0.25">
      <c r="N990"/>
      <c r="O990"/>
      <c r="P990"/>
      <c r="Q990"/>
      <c r="R990"/>
    </row>
    <row r="991" spans="14:18" x14ac:dyDescent="0.25">
      <c r="N991"/>
      <c r="O991"/>
      <c r="P991"/>
      <c r="Q991"/>
      <c r="R991"/>
    </row>
    <row r="992" spans="14:18" x14ac:dyDescent="0.25">
      <c r="N992"/>
      <c r="O992"/>
      <c r="P992"/>
      <c r="Q992"/>
      <c r="R992"/>
    </row>
    <row r="993" spans="14:18" x14ac:dyDescent="0.25">
      <c r="N993"/>
      <c r="O993"/>
      <c r="P993"/>
      <c r="Q993"/>
      <c r="R993"/>
    </row>
    <row r="994" spans="14:18" x14ac:dyDescent="0.25">
      <c r="N994"/>
      <c r="O994"/>
      <c r="P994"/>
      <c r="Q994"/>
      <c r="R994"/>
    </row>
    <row r="995" spans="14:18" x14ac:dyDescent="0.25">
      <c r="N995"/>
      <c r="O995"/>
      <c r="P995"/>
      <c r="Q995"/>
      <c r="R995"/>
    </row>
    <row r="996" spans="14:18" x14ac:dyDescent="0.25">
      <c r="N996"/>
      <c r="O996"/>
      <c r="P996"/>
      <c r="Q996"/>
      <c r="R996"/>
    </row>
    <row r="997" spans="14:18" x14ac:dyDescent="0.25">
      <c r="N997"/>
      <c r="O997"/>
      <c r="P997"/>
      <c r="Q997"/>
      <c r="R997"/>
    </row>
    <row r="998" spans="14:18" x14ac:dyDescent="0.25">
      <c r="N998"/>
      <c r="O998"/>
      <c r="P998"/>
      <c r="Q998"/>
      <c r="R998"/>
    </row>
    <row r="999" spans="14:18" x14ac:dyDescent="0.25">
      <c r="N999"/>
      <c r="O999"/>
      <c r="P999"/>
      <c r="Q999"/>
      <c r="R999"/>
    </row>
    <row r="1000" spans="14:18" x14ac:dyDescent="0.25">
      <c r="N1000"/>
      <c r="O1000"/>
      <c r="P1000"/>
      <c r="Q1000"/>
      <c r="R1000"/>
    </row>
    <row r="1001" spans="14:18" x14ac:dyDescent="0.25">
      <c r="N1001"/>
      <c r="O1001"/>
      <c r="P1001"/>
      <c r="Q1001"/>
      <c r="R1001"/>
    </row>
    <row r="1002" spans="14:18" x14ac:dyDescent="0.25">
      <c r="N1002"/>
      <c r="O1002"/>
      <c r="P1002"/>
      <c r="Q1002"/>
      <c r="R1002"/>
    </row>
    <row r="1003" spans="14:18" x14ac:dyDescent="0.25">
      <c r="N1003"/>
      <c r="O1003"/>
      <c r="P1003"/>
      <c r="Q1003"/>
      <c r="R1003"/>
    </row>
    <row r="1004" spans="14:18" x14ac:dyDescent="0.25">
      <c r="N1004"/>
      <c r="O1004"/>
      <c r="P1004"/>
      <c r="Q1004"/>
      <c r="R1004"/>
    </row>
    <row r="1005" spans="14:18" x14ac:dyDescent="0.25">
      <c r="N1005"/>
      <c r="O1005"/>
      <c r="P1005"/>
      <c r="Q1005"/>
      <c r="R1005"/>
    </row>
    <row r="1006" spans="14:18" x14ac:dyDescent="0.25">
      <c r="N1006"/>
      <c r="O1006"/>
      <c r="P1006"/>
      <c r="Q1006"/>
      <c r="R1006"/>
    </row>
    <row r="1007" spans="14:18" x14ac:dyDescent="0.25">
      <c r="N1007"/>
      <c r="O1007"/>
      <c r="P1007"/>
      <c r="Q1007"/>
      <c r="R1007"/>
    </row>
    <row r="1008" spans="14:18" x14ac:dyDescent="0.25">
      <c r="N1008"/>
      <c r="O1008"/>
      <c r="P1008"/>
      <c r="Q1008"/>
      <c r="R1008"/>
    </row>
    <row r="1009" spans="14:18" x14ac:dyDescent="0.25">
      <c r="N1009"/>
      <c r="O1009"/>
      <c r="P1009"/>
      <c r="Q1009"/>
      <c r="R1009"/>
    </row>
    <row r="1010" spans="14:18" x14ac:dyDescent="0.25">
      <c r="N1010"/>
      <c r="O1010"/>
      <c r="P1010"/>
      <c r="Q1010"/>
      <c r="R1010"/>
    </row>
    <row r="1011" spans="14:18" x14ac:dyDescent="0.25">
      <c r="N1011"/>
      <c r="O1011"/>
      <c r="P1011"/>
      <c r="Q1011"/>
      <c r="R1011"/>
    </row>
    <row r="1012" spans="14:18" x14ac:dyDescent="0.25">
      <c r="N1012"/>
      <c r="O1012"/>
      <c r="P1012"/>
      <c r="Q1012"/>
      <c r="R1012"/>
    </row>
    <row r="1013" spans="14:18" x14ac:dyDescent="0.25">
      <c r="N1013"/>
      <c r="O1013"/>
      <c r="P1013"/>
      <c r="Q1013"/>
      <c r="R1013"/>
    </row>
    <row r="1014" spans="14:18" x14ac:dyDescent="0.25">
      <c r="N1014"/>
      <c r="O1014"/>
      <c r="P1014"/>
      <c r="Q1014"/>
      <c r="R1014"/>
    </row>
    <row r="1015" spans="14:18" x14ac:dyDescent="0.25">
      <c r="N1015"/>
      <c r="O1015"/>
      <c r="P1015"/>
      <c r="Q1015"/>
      <c r="R1015"/>
    </row>
    <row r="1016" spans="14:18" x14ac:dyDescent="0.25">
      <c r="N1016"/>
      <c r="O1016"/>
      <c r="P1016"/>
      <c r="Q1016"/>
      <c r="R1016"/>
    </row>
    <row r="1017" spans="14:18" x14ac:dyDescent="0.25">
      <c r="N1017"/>
      <c r="O1017"/>
      <c r="P1017"/>
      <c r="Q1017"/>
      <c r="R1017"/>
    </row>
    <row r="1018" spans="14:18" x14ac:dyDescent="0.25">
      <c r="N1018"/>
      <c r="O1018"/>
      <c r="P1018"/>
      <c r="Q1018"/>
      <c r="R1018"/>
    </row>
    <row r="1019" spans="14:18" x14ac:dyDescent="0.25">
      <c r="N1019"/>
      <c r="O1019"/>
      <c r="P1019"/>
      <c r="Q1019"/>
      <c r="R1019"/>
    </row>
    <row r="1020" spans="14:18" x14ac:dyDescent="0.25">
      <c r="N1020"/>
      <c r="O1020"/>
      <c r="P1020"/>
      <c r="Q1020"/>
      <c r="R1020"/>
    </row>
    <row r="1021" spans="14:18" x14ac:dyDescent="0.25">
      <c r="N1021"/>
      <c r="O1021"/>
      <c r="P1021"/>
      <c r="Q1021"/>
      <c r="R1021"/>
    </row>
    <row r="1022" spans="14:18" x14ac:dyDescent="0.25">
      <c r="N1022"/>
      <c r="O1022"/>
      <c r="P1022"/>
      <c r="Q1022"/>
      <c r="R1022"/>
    </row>
    <row r="1023" spans="14:18" x14ac:dyDescent="0.25">
      <c r="N1023"/>
      <c r="O1023"/>
      <c r="P1023"/>
      <c r="Q1023"/>
      <c r="R1023"/>
    </row>
    <row r="1024" spans="14:18" x14ac:dyDescent="0.25">
      <c r="N1024"/>
      <c r="O1024"/>
      <c r="P1024"/>
      <c r="Q1024"/>
      <c r="R1024"/>
    </row>
    <row r="1025" spans="14:18" x14ac:dyDescent="0.25">
      <c r="N1025"/>
      <c r="O1025"/>
      <c r="P1025"/>
      <c r="Q1025"/>
      <c r="R1025"/>
    </row>
    <row r="1026" spans="14:18" x14ac:dyDescent="0.25">
      <c r="N1026"/>
      <c r="O1026"/>
      <c r="P1026"/>
      <c r="Q1026"/>
      <c r="R1026"/>
    </row>
    <row r="1027" spans="14:18" x14ac:dyDescent="0.25">
      <c r="N1027"/>
      <c r="O1027"/>
      <c r="P1027"/>
      <c r="Q1027"/>
      <c r="R1027"/>
    </row>
    <row r="1028" spans="14:18" x14ac:dyDescent="0.25">
      <c r="N1028"/>
      <c r="O1028"/>
      <c r="P1028"/>
      <c r="Q1028"/>
      <c r="R1028"/>
    </row>
    <row r="1029" spans="14:18" x14ac:dyDescent="0.25">
      <c r="N1029"/>
      <c r="O1029"/>
      <c r="P1029"/>
      <c r="Q1029"/>
      <c r="R1029"/>
    </row>
    <row r="1030" spans="14:18" x14ac:dyDescent="0.25">
      <c r="N1030"/>
      <c r="O1030"/>
      <c r="P1030"/>
      <c r="Q1030"/>
      <c r="R1030"/>
    </row>
    <row r="1031" spans="14:18" x14ac:dyDescent="0.25">
      <c r="N1031"/>
      <c r="O1031"/>
      <c r="P1031"/>
      <c r="Q1031"/>
      <c r="R1031"/>
    </row>
    <row r="1032" spans="14:18" x14ac:dyDescent="0.25">
      <c r="N1032"/>
      <c r="O1032"/>
      <c r="P1032"/>
      <c r="Q1032"/>
      <c r="R1032"/>
    </row>
    <row r="1033" spans="14:18" x14ac:dyDescent="0.25">
      <c r="N1033"/>
      <c r="O1033"/>
      <c r="P1033"/>
      <c r="Q1033"/>
      <c r="R1033"/>
    </row>
    <row r="1034" spans="14:18" x14ac:dyDescent="0.25">
      <c r="N1034"/>
      <c r="O1034"/>
      <c r="P1034"/>
      <c r="Q1034"/>
      <c r="R1034"/>
    </row>
    <row r="1035" spans="14:18" x14ac:dyDescent="0.25">
      <c r="N1035"/>
      <c r="O1035"/>
      <c r="P1035"/>
      <c r="Q1035"/>
      <c r="R1035"/>
    </row>
    <row r="1036" spans="14:18" x14ac:dyDescent="0.25">
      <c r="N1036"/>
      <c r="O1036"/>
      <c r="P1036"/>
      <c r="Q1036"/>
      <c r="R1036"/>
    </row>
    <row r="1037" spans="14:18" x14ac:dyDescent="0.25">
      <c r="N1037"/>
      <c r="O1037"/>
      <c r="P1037"/>
      <c r="Q1037"/>
      <c r="R1037"/>
    </row>
    <row r="1038" spans="14:18" x14ac:dyDescent="0.25">
      <c r="N1038"/>
      <c r="O1038"/>
      <c r="P1038"/>
      <c r="Q1038"/>
      <c r="R1038"/>
    </row>
    <row r="1039" spans="14:18" x14ac:dyDescent="0.25">
      <c r="N1039"/>
      <c r="O1039"/>
      <c r="P1039"/>
      <c r="Q1039"/>
      <c r="R1039"/>
    </row>
    <row r="1040" spans="14:18" x14ac:dyDescent="0.25">
      <c r="N1040"/>
      <c r="O1040"/>
      <c r="P1040"/>
      <c r="Q1040"/>
      <c r="R1040"/>
    </row>
    <row r="1041" spans="14:18" x14ac:dyDescent="0.25">
      <c r="N1041"/>
      <c r="O1041"/>
      <c r="P1041"/>
      <c r="Q1041"/>
      <c r="R1041"/>
    </row>
    <row r="1042" spans="14:18" x14ac:dyDescent="0.25">
      <c r="N1042"/>
      <c r="O1042"/>
      <c r="P1042"/>
      <c r="Q1042"/>
      <c r="R1042"/>
    </row>
    <row r="1043" spans="14:18" x14ac:dyDescent="0.25">
      <c r="N1043"/>
      <c r="O1043"/>
      <c r="P1043"/>
      <c r="Q1043"/>
      <c r="R1043"/>
    </row>
    <row r="1044" spans="14:18" x14ac:dyDescent="0.25">
      <c r="N1044"/>
      <c r="O1044"/>
      <c r="P1044"/>
      <c r="Q1044"/>
      <c r="R1044"/>
    </row>
    <row r="1045" spans="14:18" x14ac:dyDescent="0.25">
      <c r="N1045"/>
      <c r="O1045"/>
      <c r="P1045"/>
      <c r="Q1045"/>
      <c r="R1045"/>
    </row>
    <row r="1046" spans="14:18" x14ac:dyDescent="0.25">
      <c r="N1046"/>
      <c r="O1046"/>
      <c r="P1046"/>
      <c r="Q1046"/>
      <c r="R1046"/>
    </row>
    <row r="1047" spans="14:18" x14ac:dyDescent="0.25">
      <c r="N1047"/>
      <c r="O1047"/>
      <c r="P1047"/>
      <c r="Q1047"/>
      <c r="R1047"/>
    </row>
    <row r="1048" spans="14:18" x14ac:dyDescent="0.25">
      <c r="N1048"/>
      <c r="O1048"/>
      <c r="P1048"/>
      <c r="Q1048"/>
      <c r="R1048"/>
    </row>
    <row r="1049" spans="14:18" x14ac:dyDescent="0.25">
      <c r="N1049"/>
      <c r="O1049"/>
      <c r="P1049"/>
      <c r="Q1049"/>
      <c r="R1049"/>
    </row>
    <row r="1050" spans="14:18" x14ac:dyDescent="0.25">
      <c r="N1050"/>
      <c r="O1050"/>
      <c r="P1050"/>
      <c r="Q1050"/>
      <c r="R1050"/>
    </row>
    <row r="1051" spans="14:18" x14ac:dyDescent="0.25">
      <c r="N1051"/>
      <c r="O1051"/>
      <c r="P1051"/>
      <c r="Q1051"/>
      <c r="R1051"/>
    </row>
    <row r="1052" spans="14:18" x14ac:dyDescent="0.25">
      <c r="N1052"/>
      <c r="O1052"/>
      <c r="P1052"/>
      <c r="Q1052"/>
      <c r="R1052"/>
    </row>
    <row r="1053" spans="14:18" x14ac:dyDescent="0.25">
      <c r="N1053"/>
      <c r="O1053"/>
      <c r="P1053"/>
      <c r="Q1053"/>
      <c r="R1053"/>
    </row>
    <row r="1054" spans="14:18" x14ac:dyDescent="0.25">
      <c r="N1054"/>
      <c r="O1054"/>
      <c r="P1054"/>
      <c r="Q1054"/>
      <c r="R1054"/>
    </row>
    <row r="1055" spans="14:18" x14ac:dyDescent="0.25">
      <c r="N1055"/>
      <c r="O1055"/>
      <c r="P1055"/>
      <c r="Q1055"/>
      <c r="R1055"/>
    </row>
    <row r="1056" spans="14:18" x14ac:dyDescent="0.25">
      <c r="N1056"/>
      <c r="O1056"/>
      <c r="P1056"/>
      <c r="Q1056"/>
      <c r="R1056"/>
    </row>
    <row r="1057" spans="14:18" x14ac:dyDescent="0.25">
      <c r="N1057"/>
      <c r="O1057"/>
      <c r="P1057"/>
      <c r="Q1057"/>
      <c r="R1057"/>
    </row>
    <row r="1058" spans="14:18" x14ac:dyDescent="0.25">
      <c r="N1058"/>
      <c r="O1058"/>
      <c r="P1058"/>
      <c r="Q1058"/>
      <c r="R1058"/>
    </row>
    <row r="1059" spans="14:18" x14ac:dyDescent="0.25">
      <c r="N1059"/>
      <c r="O1059"/>
      <c r="P1059"/>
      <c r="Q1059"/>
      <c r="R1059"/>
    </row>
    <row r="1060" spans="14:18" x14ac:dyDescent="0.25">
      <c r="N1060"/>
      <c r="O1060"/>
      <c r="P1060"/>
      <c r="Q1060"/>
      <c r="R1060"/>
    </row>
    <row r="1061" spans="14:18" x14ac:dyDescent="0.25">
      <c r="N1061"/>
      <c r="O1061"/>
      <c r="P1061"/>
      <c r="Q1061"/>
      <c r="R1061"/>
    </row>
    <row r="1062" spans="14:18" x14ac:dyDescent="0.25">
      <c r="N1062"/>
      <c r="O1062"/>
      <c r="P1062"/>
      <c r="Q1062"/>
      <c r="R1062"/>
    </row>
    <row r="1063" spans="14:18" x14ac:dyDescent="0.25">
      <c r="N1063"/>
      <c r="O1063"/>
      <c r="P1063"/>
      <c r="Q1063"/>
      <c r="R1063"/>
    </row>
    <row r="1064" spans="14:18" x14ac:dyDescent="0.25">
      <c r="N1064"/>
      <c r="O1064"/>
      <c r="P1064"/>
      <c r="Q1064"/>
      <c r="R1064"/>
    </row>
    <row r="1065" spans="14:18" x14ac:dyDescent="0.25">
      <c r="N1065"/>
      <c r="O1065"/>
      <c r="P1065"/>
      <c r="Q1065"/>
      <c r="R1065"/>
    </row>
    <row r="1066" spans="14:18" x14ac:dyDescent="0.25">
      <c r="N1066"/>
      <c r="O1066"/>
      <c r="P1066"/>
      <c r="Q1066"/>
      <c r="R1066"/>
    </row>
    <row r="1067" spans="14:18" x14ac:dyDescent="0.25">
      <c r="N1067"/>
      <c r="O1067"/>
      <c r="P1067"/>
      <c r="Q1067"/>
      <c r="R1067"/>
    </row>
    <row r="1068" spans="14:18" x14ac:dyDescent="0.25">
      <c r="N1068"/>
      <c r="O1068"/>
      <c r="P1068"/>
      <c r="Q1068"/>
      <c r="R1068"/>
    </row>
    <row r="1069" spans="14:18" x14ac:dyDescent="0.25">
      <c r="N1069"/>
      <c r="O1069"/>
      <c r="P1069"/>
      <c r="Q1069"/>
      <c r="R1069"/>
    </row>
    <row r="1070" spans="14:18" x14ac:dyDescent="0.25">
      <c r="N1070"/>
      <c r="O1070"/>
      <c r="P1070"/>
      <c r="Q1070"/>
      <c r="R1070"/>
    </row>
    <row r="1071" spans="14:18" x14ac:dyDescent="0.25">
      <c r="N1071"/>
      <c r="O1071"/>
      <c r="P1071"/>
      <c r="Q1071"/>
      <c r="R1071"/>
    </row>
    <row r="1072" spans="14:18" x14ac:dyDescent="0.25">
      <c r="N1072"/>
      <c r="O1072"/>
      <c r="P1072"/>
      <c r="Q1072"/>
      <c r="R1072"/>
    </row>
    <row r="1073" spans="14:18" x14ac:dyDescent="0.25">
      <c r="N1073"/>
      <c r="O1073"/>
      <c r="P1073"/>
      <c r="Q1073"/>
      <c r="R1073"/>
    </row>
    <row r="1074" spans="14:18" x14ac:dyDescent="0.25">
      <c r="N1074"/>
      <c r="O1074"/>
      <c r="P1074"/>
      <c r="Q1074"/>
      <c r="R1074"/>
    </row>
    <row r="1075" spans="14:18" x14ac:dyDescent="0.25">
      <c r="N1075"/>
      <c r="O1075"/>
      <c r="P1075"/>
      <c r="Q1075"/>
      <c r="R1075"/>
    </row>
    <row r="1076" spans="14:18" x14ac:dyDescent="0.25">
      <c r="N1076"/>
      <c r="O1076"/>
      <c r="P1076"/>
      <c r="Q1076"/>
      <c r="R1076"/>
    </row>
    <row r="1077" spans="14:18" x14ac:dyDescent="0.25">
      <c r="N1077"/>
      <c r="O1077"/>
      <c r="P1077"/>
      <c r="Q1077"/>
      <c r="R1077"/>
    </row>
    <row r="1078" spans="14:18" x14ac:dyDescent="0.25">
      <c r="N1078"/>
      <c r="O1078"/>
      <c r="P1078"/>
      <c r="Q1078"/>
      <c r="R1078"/>
    </row>
    <row r="1079" spans="14:18" x14ac:dyDescent="0.25">
      <c r="N1079"/>
      <c r="O1079"/>
      <c r="P1079"/>
      <c r="Q1079"/>
      <c r="R1079"/>
    </row>
    <row r="1080" spans="14:18" x14ac:dyDescent="0.25">
      <c r="N1080"/>
      <c r="O1080"/>
      <c r="P1080"/>
      <c r="Q1080"/>
      <c r="R1080"/>
    </row>
    <row r="1081" spans="14:18" x14ac:dyDescent="0.25">
      <c r="N1081"/>
      <c r="O1081"/>
      <c r="P1081"/>
      <c r="Q1081"/>
      <c r="R1081"/>
    </row>
    <row r="1082" spans="14:18" x14ac:dyDescent="0.25">
      <c r="N1082"/>
      <c r="O1082"/>
      <c r="P1082"/>
      <c r="Q1082"/>
      <c r="R1082"/>
    </row>
    <row r="1083" spans="14:18" x14ac:dyDescent="0.25">
      <c r="N1083"/>
      <c r="O1083"/>
      <c r="P1083"/>
      <c r="Q1083"/>
      <c r="R1083"/>
    </row>
    <row r="1084" spans="14:18" x14ac:dyDescent="0.25">
      <c r="N1084"/>
      <c r="O1084"/>
      <c r="P1084"/>
      <c r="Q1084"/>
      <c r="R1084"/>
    </row>
    <row r="1085" spans="14:18" x14ac:dyDescent="0.25">
      <c r="N1085"/>
      <c r="O1085"/>
      <c r="P1085"/>
      <c r="Q1085"/>
      <c r="R1085"/>
    </row>
    <row r="1086" spans="14:18" x14ac:dyDescent="0.25">
      <c r="N1086"/>
      <c r="O1086"/>
      <c r="P1086"/>
      <c r="Q1086"/>
      <c r="R1086"/>
    </row>
    <row r="1087" spans="14:18" x14ac:dyDescent="0.25">
      <c r="N1087"/>
      <c r="O1087"/>
      <c r="P1087"/>
      <c r="Q1087"/>
      <c r="R1087"/>
    </row>
    <row r="1088" spans="14:18" x14ac:dyDescent="0.25">
      <c r="N1088"/>
      <c r="O1088"/>
      <c r="P1088"/>
      <c r="Q1088"/>
      <c r="R1088"/>
    </row>
    <row r="1089" spans="14:18" x14ac:dyDescent="0.25">
      <c r="N1089"/>
      <c r="O1089"/>
      <c r="P1089"/>
      <c r="Q1089"/>
      <c r="R1089"/>
    </row>
    <row r="1090" spans="14:18" x14ac:dyDescent="0.25">
      <c r="N1090"/>
      <c r="O1090"/>
      <c r="P1090"/>
      <c r="Q1090"/>
      <c r="R1090"/>
    </row>
    <row r="1091" spans="14:18" x14ac:dyDescent="0.25">
      <c r="N1091"/>
      <c r="O1091"/>
      <c r="P1091"/>
      <c r="Q1091"/>
      <c r="R1091"/>
    </row>
    <row r="1092" spans="14:18" x14ac:dyDescent="0.25">
      <c r="N1092"/>
      <c r="O1092"/>
      <c r="P1092"/>
      <c r="Q1092"/>
      <c r="R1092"/>
    </row>
    <row r="1093" spans="14:18" x14ac:dyDescent="0.25">
      <c r="N1093"/>
      <c r="O1093"/>
      <c r="P1093"/>
      <c r="Q1093"/>
      <c r="R1093"/>
    </row>
    <row r="1094" spans="14:18" x14ac:dyDescent="0.25">
      <c r="N1094"/>
      <c r="O1094"/>
      <c r="P1094"/>
      <c r="Q1094"/>
      <c r="R1094"/>
    </row>
    <row r="1095" spans="14:18" x14ac:dyDescent="0.25">
      <c r="N1095"/>
      <c r="O1095"/>
      <c r="P1095"/>
      <c r="Q1095"/>
      <c r="R1095"/>
    </row>
    <row r="1096" spans="14:18" x14ac:dyDescent="0.25">
      <c r="N1096"/>
      <c r="O1096"/>
      <c r="P1096"/>
      <c r="Q1096"/>
      <c r="R1096"/>
    </row>
    <row r="1097" spans="14:18" x14ac:dyDescent="0.25">
      <c r="N1097"/>
      <c r="O1097"/>
      <c r="P1097"/>
      <c r="Q1097"/>
      <c r="R1097"/>
    </row>
    <row r="1098" spans="14:18" x14ac:dyDescent="0.25">
      <c r="N1098"/>
      <c r="O1098"/>
      <c r="P1098"/>
      <c r="Q1098"/>
      <c r="R1098"/>
    </row>
    <row r="1099" spans="14:18" x14ac:dyDescent="0.25">
      <c r="N1099"/>
      <c r="O1099"/>
      <c r="P1099"/>
      <c r="Q1099"/>
      <c r="R1099"/>
    </row>
    <row r="1100" spans="14:18" x14ac:dyDescent="0.25">
      <c r="N1100"/>
      <c r="O1100"/>
      <c r="P1100"/>
      <c r="Q1100"/>
      <c r="R1100"/>
    </row>
    <row r="1101" spans="14:18" x14ac:dyDescent="0.25">
      <c r="N1101"/>
      <c r="O1101"/>
      <c r="P1101"/>
      <c r="Q1101"/>
      <c r="R1101"/>
    </row>
    <row r="1102" spans="14:18" x14ac:dyDescent="0.25">
      <c r="N1102"/>
      <c r="O1102"/>
      <c r="P1102"/>
      <c r="Q1102"/>
      <c r="R1102"/>
    </row>
    <row r="1103" spans="14:18" x14ac:dyDescent="0.25">
      <c r="N1103"/>
      <c r="O1103"/>
      <c r="P1103"/>
      <c r="Q1103"/>
      <c r="R1103"/>
    </row>
    <row r="1104" spans="14:18" x14ac:dyDescent="0.25">
      <c r="N1104"/>
      <c r="O1104"/>
      <c r="P1104"/>
      <c r="Q1104"/>
      <c r="R1104"/>
    </row>
    <row r="1105" spans="14:18" x14ac:dyDescent="0.25">
      <c r="N1105"/>
      <c r="O1105"/>
      <c r="P1105"/>
      <c r="Q1105"/>
      <c r="R1105"/>
    </row>
    <row r="1106" spans="14:18" x14ac:dyDescent="0.25">
      <c r="N1106"/>
      <c r="O1106"/>
      <c r="P1106"/>
      <c r="Q1106"/>
      <c r="R1106"/>
    </row>
    <row r="1107" spans="14:18" x14ac:dyDescent="0.25">
      <c r="N1107"/>
      <c r="O1107"/>
      <c r="P1107"/>
      <c r="Q1107"/>
      <c r="R1107"/>
    </row>
    <row r="1108" spans="14:18" x14ac:dyDescent="0.25">
      <c r="N1108"/>
      <c r="O1108"/>
      <c r="P1108"/>
      <c r="Q1108"/>
      <c r="R1108"/>
    </row>
    <row r="1109" spans="14:18" x14ac:dyDescent="0.25">
      <c r="N1109"/>
      <c r="O1109"/>
      <c r="P1109"/>
      <c r="Q1109"/>
      <c r="R1109"/>
    </row>
    <row r="1110" spans="14:18" x14ac:dyDescent="0.25">
      <c r="N1110"/>
      <c r="O1110"/>
      <c r="P1110"/>
      <c r="Q1110"/>
      <c r="R1110"/>
    </row>
    <row r="1111" spans="14:18" x14ac:dyDescent="0.25">
      <c r="N1111"/>
      <c r="O1111"/>
      <c r="P1111"/>
      <c r="Q1111"/>
      <c r="R1111"/>
    </row>
    <row r="1112" spans="14:18" x14ac:dyDescent="0.25">
      <c r="N1112"/>
      <c r="O1112"/>
      <c r="P1112"/>
      <c r="Q1112"/>
      <c r="R1112"/>
    </row>
    <row r="1113" spans="14:18" x14ac:dyDescent="0.25">
      <c r="N1113"/>
      <c r="O1113"/>
      <c r="P1113"/>
      <c r="Q1113"/>
      <c r="R1113"/>
    </row>
    <row r="1114" spans="14:18" x14ac:dyDescent="0.25">
      <c r="N1114"/>
      <c r="O1114"/>
      <c r="P1114"/>
      <c r="Q1114"/>
      <c r="R1114"/>
    </row>
    <row r="1115" spans="14:18" x14ac:dyDescent="0.25">
      <c r="N1115"/>
      <c r="O1115"/>
      <c r="P1115"/>
      <c r="Q1115"/>
      <c r="R1115"/>
    </row>
    <row r="1116" spans="14:18" x14ac:dyDescent="0.25">
      <c r="N1116"/>
      <c r="O1116"/>
      <c r="P1116"/>
      <c r="Q1116"/>
      <c r="R1116"/>
    </row>
    <row r="1117" spans="14:18" x14ac:dyDescent="0.25">
      <c r="N1117"/>
      <c r="O1117"/>
      <c r="P1117"/>
      <c r="Q1117"/>
      <c r="R1117"/>
    </row>
    <row r="1118" spans="14:18" x14ac:dyDescent="0.25">
      <c r="N1118"/>
      <c r="O1118"/>
      <c r="P1118"/>
      <c r="Q1118"/>
      <c r="R1118"/>
    </row>
    <row r="1119" spans="14:18" x14ac:dyDescent="0.25">
      <c r="N1119"/>
      <c r="O1119"/>
      <c r="P1119"/>
      <c r="Q1119"/>
      <c r="R1119"/>
    </row>
    <row r="1120" spans="14:18" x14ac:dyDescent="0.25">
      <c r="N1120"/>
      <c r="O1120"/>
      <c r="P1120"/>
      <c r="Q1120"/>
      <c r="R1120"/>
    </row>
    <row r="1121" spans="14:18" x14ac:dyDescent="0.25">
      <c r="N1121"/>
      <c r="O1121"/>
      <c r="P1121"/>
      <c r="Q1121"/>
      <c r="R1121"/>
    </row>
    <row r="1122" spans="14:18" x14ac:dyDescent="0.25">
      <c r="N1122"/>
      <c r="O1122"/>
      <c r="P1122"/>
      <c r="Q1122"/>
      <c r="R1122"/>
    </row>
    <row r="1123" spans="14:18" x14ac:dyDescent="0.25">
      <c r="N1123"/>
      <c r="O1123"/>
      <c r="P1123"/>
      <c r="Q1123"/>
      <c r="R1123"/>
    </row>
    <row r="1124" spans="14:18" x14ac:dyDescent="0.25">
      <c r="N1124"/>
      <c r="O1124"/>
      <c r="P1124"/>
      <c r="Q1124"/>
      <c r="R1124"/>
    </row>
    <row r="1125" spans="14:18" x14ac:dyDescent="0.25">
      <c r="N1125"/>
      <c r="O1125"/>
      <c r="P1125"/>
      <c r="Q1125"/>
      <c r="R1125"/>
    </row>
    <row r="1126" spans="14:18" x14ac:dyDescent="0.25">
      <c r="N1126"/>
      <c r="O1126"/>
      <c r="P1126"/>
      <c r="Q1126"/>
      <c r="R1126"/>
    </row>
    <row r="1127" spans="14:18" x14ac:dyDescent="0.25">
      <c r="N1127"/>
      <c r="O1127"/>
      <c r="P1127"/>
      <c r="Q1127"/>
      <c r="R1127"/>
    </row>
    <row r="1128" spans="14:18" x14ac:dyDescent="0.25">
      <c r="N1128"/>
      <c r="O1128"/>
      <c r="P1128"/>
      <c r="Q1128"/>
      <c r="R1128"/>
    </row>
    <row r="1129" spans="14:18" x14ac:dyDescent="0.25">
      <c r="N1129"/>
      <c r="O1129"/>
      <c r="P1129"/>
      <c r="Q1129"/>
      <c r="R1129"/>
    </row>
    <row r="1130" spans="14:18" x14ac:dyDescent="0.25">
      <c r="N1130"/>
      <c r="O1130"/>
      <c r="P1130"/>
      <c r="Q1130"/>
      <c r="R1130"/>
    </row>
    <row r="1131" spans="14:18" x14ac:dyDescent="0.25">
      <c r="N1131"/>
      <c r="O1131"/>
      <c r="P1131"/>
      <c r="Q1131"/>
      <c r="R1131"/>
    </row>
    <row r="1132" spans="14:18" x14ac:dyDescent="0.25">
      <c r="N1132"/>
      <c r="O1132"/>
      <c r="P1132"/>
      <c r="Q1132"/>
      <c r="R1132"/>
    </row>
    <row r="1133" spans="14:18" x14ac:dyDescent="0.25">
      <c r="N1133"/>
      <c r="O1133"/>
      <c r="P1133"/>
      <c r="Q1133"/>
      <c r="R1133"/>
    </row>
    <row r="1134" spans="14:18" x14ac:dyDescent="0.25">
      <c r="N1134"/>
      <c r="O1134"/>
      <c r="P1134"/>
      <c r="Q1134"/>
      <c r="R1134"/>
    </row>
    <row r="1135" spans="14:18" x14ac:dyDescent="0.25">
      <c r="N1135"/>
      <c r="O1135"/>
      <c r="P1135"/>
      <c r="Q1135"/>
      <c r="R1135"/>
    </row>
    <row r="1136" spans="14:18" x14ac:dyDescent="0.25">
      <c r="N1136"/>
      <c r="O1136"/>
      <c r="P1136"/>
      <c r="Q1136"/>
      <c r="R1136"/>
    </row>
    <row r="1137" spans="14:18" x14ac:dyDescent="0.25">
      <c r="N1137"/>
      <c r="O1137"/>
      <c r="P1137"/>
      <c r="Q1137"/>
      <c r="R1137"/>
    </row>
    <row r="1138" spans="14:18" x14ac:dyDescent="0.25">
      <c r="N1138"/>
      <c r="O1138"/>
      <c r="P1138"/>
      <c r="Q1138"/>
      <c r="R1138"/>
    </row>
    <row r="1139" spans="14:18" x14ac:dyDescent="0.25">
      <c r="N1139"/>
      <c r="O1139"/>
      <c r="P1139"/>
      <c r="Q1139"/>
      <c r="R1139"/>
    </row>
    <row r="1140" spans="14:18" x14ac:dyDescent="0.25">
      <c r="N1140"/>
      <c r="O1140"/>
      <c r="P1140"/>
      <c r="Q1140"/>
      <c r="R1140"/>
    </row>
    <row r="1141" spans="14:18" x14ac:dyDescent="0.25">
      <c r="N1141"/>
      <c r="O1141"/>
      <c r="P1141"/>
      <c r="Q1141"/>
      <c r="R1141"/>
    </row>
    <row r="1142" spans="14:18" x14ac:dyDescent="0.25">
      <c r="N1142"/>
      <c r="O1142"/>
      <c r="P1142"/>
      <c r="Q1142"/>
      <c r="R1142"/>
    </row>
    <row r="1143" spans="14:18" x14ac:dyDescent="0.25">
      <c r="N1143"/>
      <c r="O1143"/>
      <c r="P1143"/>
      <c r="Q1143"/>
      <c r="R1143"/>
    </row>
    <row r="1144" spans="14:18" x14ac:dyDescent="0.25">
      <c r="N1144"/>
      <c r="O1144"/>
      <c r="P1144"/>
      <c r="Q1144"/>
      <c r="R1144"/>
    </row>
    <row r="1145" spans="14:18" x14ac:dyDescent="0.25">
      <c r="N1145"/>
      <c r="O1145"/>
      <c r="P1145"/>
      <c r="Q1145"/>
      <c r="R1145"/>
    </row>
    <row r="1146" spans="14:18" x14ac:dyDescent="0.25">
      <c r="N1146"/>
      <c r="O1146"/>
      <c r="P1146"/>
      <c r="Q1146"/>
      <c r="R1146"/>
    </row>
    <row r="1147" spans="14:18" x14ac:dyDescent="0.25">
      <c r="N1147"/>
      <c r="O1147"/>
      <c r="P1147"/>
      <c r="Q1147"/>
      <c r="R1147"/>
    </row>
    <row r="1148" spans="14:18" x14ac:dyDescent="0.25">
      <c r="N1148"/>
      <c r="O1148"/>
      <c r="P1148"/>
      <c r="Q1148"/>
      <c r="R1148"/>
    </row>
    <row r="1149" spans="14:18" x14ac:dyDescent="0.25">
      <c r="N1149"/>
      <c r="O1149"/>
      <c r="P1149"/>
      <c r="Q1149"/>
      <c r="R1149"/>
    </row>
    <row r="1150" spans="14:18" x14ac:dyDescent="0.25">
      <c r="N1150"/>
      <c r="O1150"/>
      <c r="P1150"/>
      <c r="Q1150"/>
      <c r="R1150"/>
    </row>
    <row r="1151" spans="14:18" x14ac:dyDescent="0.25">
      <c r="N1151"/>
      <c r="O1151"/>
      <c r="P1151"/>
      <c r="Q1151"/>
      <c r="R1151"/>
    </row>
    <row r="1152" spans="14:18" x14ac:dyDescent="0.25">
      <c r="N1152"/>
      <c r="O1152"/>
      <c r="P1152"/>
      <c r="Q1152"/>
      <c r="R1152"/>
    </row>
    <row r="1153" spans="14:18" x14ac:dyDescent="0.25">
      <c r="N1153"/>
      <c r="O1153"/>
      <c r="P1153"/>
      <c r="Q1153"/>
      <c r="R1153"/>
    </row>
    <row r="1154" spans="14:18" x14ac:dyDescent="0.25">
      <c r="N1154"/>
      <c r="O1154"/>
      <c r="P1154"/>
      <c r="Q1154"/>
      <c r="R1154"/>
    </row>
    <row r="1155" spans="14:18" x14ac:dyDescent="0.25">
      <c r="N1155"/>
      <c r="O1155"/>
      <c r="P1155"/>
      <c r="Q1155"/>
      <c r="R1155"/>
    </row>
    <row r="1156" spans="14:18" x14ac:dyDescent="0.25">
      <c r="N1156"/>
      <c r="O1156"/>
      <c r="P1156"/>
      <c r="Q1156"/>
      <c r="R1156"/>
    </row>
    <row r="1157" spans="14:18" x14ac:dyDescent="0.25">
      <c r="N1157"/>
      <c r="O1157"/>
      <c r="P1157"/>
      <c r="Q1157"/>
      <c r="R1157"/>
    </row>
    <row r="1158" spans="14:18" x14ac:dyDescent="0.25">
      <c r="N1158"/>
      <c r="O1158"/>
      <c r="P1158"/>
      <c r="Q1158"/>
      <c r="R1158"/>
    </row>
    <row r="1159" spans="14:18" x14ac:dyDescent="0.25">
      <c r="N1159"/>
      <c r="O1159"/>
      <c r="P1159"/>
      <c r="Q1159"/>
      <c r="R1159"/>
    </row>
    <row r="1160" spans="14:18" x14ac:dyDescent="0.25">
      <c r="N1160"/>
      <c r="O1160"/>
      <c r="P1160"/>
      <c r="Q1160"/>
      <c r="R1160"/>
    </row>
    <row r="1161" spans="14:18" x14ac:dyDescent="0.25">
      <c r="N1161"/>
      <c r="O1161"/>
      <c r="P1161"/>
      <c r="Q1161"/>
      <c r="R1161"/>
    </row>
    <row r="1162" spans="14:18" x14ac:dyDescent="0.25">
      <c r="N1162"/>
      <c r="O1162"/>
      <c r="P1162"/>
      <c r="Q1162"/>
      <c r="R1162"/>
    </row>
    <row r="1163" spans="14:18" x14ac:dyDescent="0.25">
      <c r="N1163"/>
      <c r="O1163"/>
      <c r="P1163"/>
      <c r="Q1163"/>
      <c r="R1163"/>
    </row>
    <row r="1164" spans="14:18" x14ac:dyDescent="0.25">
      <c r="N1164"/>
      <c r="O1164"/>
      <c r="P1164"/>
      <c r="Q1164"/>
      <c r="R1164"/>
    </row>
    <row r="1165" spans="14:18" x14ac:dyDescent="0.25">
      <c r="N1165"/>
      <c r="O1165"/>
      <c r="P1165"/>
      <c r="Q1165"/>
      <c r="R1165"/>
    </row>
    <row r="1166" spans="14:18" x14ac:dyDescent="0.25">
      <c r="N1166"/>
      <c r="O1166"/>
      <c r="P1166"/>
      <c r="Q1166"/>
      <c r="R1166"/>
    </row>
    <row r="1167" spans="14:18" x14ac:dyDescent="0.25">
      <c r="N1167"/>
      <c r="O1167"/>
      <c r="P1167"/>
      <c r="Q1167"/>
      <c r="R1167"/>
    </row>
    <row r="1168" spans="14:18" x14ac:dyDescent="0.25">
      <c r="N1168"/>
      <c r="O1168"/>
      <c r="P1168"/>
      <c r="Q1168"/>
      <c r="R1168"/>
    </row>
    <row r="1169" spans="14:18" x14ac:dyDescent="0.25">
      <c r="N1169"/>
      <c r="O1169"/>
      <c r="P1169"/>
      <c r="Q1169"/>
      <c r="R1169"/>
    </row>
    <row r="1170" spans="14:18" x14ac:dyDescent="0.25">
      <c r="N1170"/>
      <c r="O1170"/>
      <c r="P1170"/>
      <c r="Q1170"/>
      <c r="R1170"/>
    </row>
    <row r="1171" spans="14:18" x14ac:dyDescent="0.25">
      <c r="N1171"/>
      <c r="O1171"/>
      <c r="P1171"/>
      <c r="Q1171"/>
      <c r="R1171"/>
    </row>
    <row r="1172" spans="14:18" x14ac:dyDescent="0.25">
      <c r="N1172"/>
      <c r="O1172"/>
      <c r="P1172"/>
      <c r="Q1172"/>
      <c r="R1172"/>
    </row>
    <row r="1173" spans="14:18" x14ac:dyDescent="0.25">
      <c r="N1173"/>
      <c r="O1173"/>
      <c r="P1173"/>
      <c r="Q1173"/>
      <c r="R1173"/>
    </row>
    <row r="1174" spans="14:18" x14ac:dyDescent="0.25">
      <c r="N1174"/>
      <c r="O1174"/>
      <c r="P1174"/>
      <c r="Q1174"/>
      <c r="R1174"/>
    </row>
    <row r="1175" spans="14:18" x14ac:dyDescent="0.25">
      <c r="N1175"/>
      <c r="O1175"/>
      <c r="P1175"/>
      <c r="Q1175"/>
      <c r="R1175"/>
    </row>
    <row r="1176" spans="14:18" x14ac:dyDescent="0.25">
      <c r="N1176"/>
      <c r="O1176"/>
      <c r="P1176"/>
      <c r="Q1176"/>
      <c r="R1176"/>
    </row>
    <row r="1177" spans="14:18" x14ac:dyDescent="0.25">
      <c r="N1177"/>
      <c r="O1177"/>
      <c r="P1177"/>
      <c r="Q1177"/>
      <c r="R1177"/>
    </row>
    <row r="1178" spans="14:18" x14ac:dyDescent="0.25">
      <c r="N1178"/>
      <c r="O1178"/>
      <c r="P1178"/>
      <c r="Q1178"/>
      <c r="R1178"/>
    </row>
    <row r="1179" spans="14:18" x14ac:dyDescent="0.25">
      <c r="N1179"/>
      <c r="O1179"/>
      <c r="P1179"/>
      <c r="Q1179"/>
      <c r="R1179"/>
    </row>
    <row r="1180" spans="14:18" x14ac:dyDescent="0.25">
      <c r="N1180"/>
      <c r="O1180"/>
      <c r="P1180"/>
      <c r="Q1180"/>
      <c r="R1180"/>
    </row>
    <row r="1181" spans="14:18" x14ac:dyDescent="0.25">
      <c r="N1181"/>
      <c r="O1181"/>
      <c r="P1181"/>
      <c r="Q1181"/>
      <c r="R1181"/>
    </row>
    <row r="1182" spans="14:18" x14ac:dyDescent="0.25">
      <c r="N1182"/>
      <c r="O1182"/>
      <c r="P1182"/>
      <c r="Q1182"/>
      <c r="R1182"/>
    </row>
    <row r="1183" spans="14:18" x14ac:dyDescent="0.25">
      <c r="N1183"/>
      <c r="O1183"/>
      <c r="P1183"/>
      <c r="Q1183"/>
      <c r="R1183"/>
    </row>
    <row r="1184" spans="14:18" x14ac:dyDescent="0.25">
      <c r="N1184"/>
      <c r="O1184"/>
      <c r="P1184"/>
      <c r="Q1184"/>
      <c r="R1184"/>
    </row>
    <row r="1185" spans="14:18" x14ac:dyDescent="0.25">
      <c r="N1185"/>
      <c r="O1185"/>
      <c r="P1185"/>
      <c r="Q1185"/>
      <c r="R1185"/>
    </row>
    <row r="1186" spans="14:18" x14ac:dyDescent="0.25">
      <c r="N1186"/>
      <c r="O1186"/>
      <c r="P1186"/>
      <c r="Q1186"/>
      <c r="R1186"/>
    </row>
    <row r="1187" spans="14:18" x14ac:dyDescent="0.25">
      <c r="N1187"/>
      <c r="O1187"/>
      <c r="P1187"/>
      <c r="Q1187"/>
      <c r="R1187"/>
    </row>
    <row r="1188" spans="14:18" x14ac:dyDescent="0.25">
      <c r="N1188"/>
      <c r="O1188"/>
      <c r="P1188"/>
      <c r="Q1188"/>
      <c r="R1188"/>
    </row>
    <row r="1189" spans="14:18" x14ac:dyDescent="0.25">
      <c r="N1189"/>
      <c r="O1189"/>
      <c r="P1189"/>
      <c r="Q1189"/>
      <c r="R1189"/>
    </row>
    <row r="1190" spans="14:18" x14ac:dyDescent="0.25">
      <c r="N1190"/>
      <c r="O1190"/>
      <c r="P1190"/>
      <c r="Q1190"/>
      <c r="R1190"/>
    </row>
    <row r="1191" spans="14:18" x14ac:dyDescent="0.25">
      <c r="N1191"/>
      <c r="O1191"/>
      <c r="P1191"/>
      <c r="Q1191"/>
      <c r="R1191"/>
    </row>
    <row r="1192" spans="14:18" x14ac:dyDescent="0.25">
      <c r="N1192"/>
      <c r="O1192"/>
      <c r="P1192"/>
      <c r="Q1192"/>
      <c r="R1192"/>
    </row>
    <row r="1193" spans="14:18" x14ac:dyDescent="0.25">
      <c r="N1193"/>
      <c r="O1193"/>
      <c r="P1193"/>
      <c r="Q1193"/>
      <c r="R1193"/>
    </row>
    <row r="1194" spans="14:18" x14ac:dyDescent="0.25">
      <c r="N1194"/>
      <c r="O1194"/>
      <c r="P1194"/>
      <c r="Q1194"/>
      <c r="R1194"/>
    </row>
    <row r="1195" spans="14:18" x14ac:dyDescent="0.25">
      <c r="N1195"/>
      <c r="O1195"/>
      <c r="P1195"/>
      <c r="Q1195"/>
      <c r="R1195"/>
    </row>
    <row r="1196" spans="14:18" x14ac:dyDescent="0.25">
      <c r="N1196"/>
      <c r="O1196"/>
      <c r="P1196"/>
      <c r="Q1196"/>
      <c r="R1196"/>
    </row>
    <row r="1197" spans="14:18" x14ac:dyDescent="0.25">
      <c r="N1197"/>
      <c r="O1197"/>
      <c r="P1197"/>
      <c r="Q1197"/>
      <c r="R1197"/>
    </row>
    <row r="1198" spans="14:18" x14ac:dyDescent="0.25">
      <c r="N1198"/>
      <c r="O1198"/>
      <c r="P1198"/>
      <c r="Q1198"/>
      <c r="R1198"/>
    </row>
    <row r="1199" spans="14:18" x14ac:dyDescent="0.25">
      <c r="N1199"/>
      <c r="O1199"/>
      <c r="P1199"/>
      <c r="Q1199"/>
      <c r="R1199"/>
    </row>
    <row r="1200" spans="14:18" x14ac:dyDescent="0.25">
      <c r="N1200"/>
      <c r="O1200"/>
      <c r="P1200"/>
      <c r="Q1200"/>
      <c r="R1200"/>
    </row>
    <row r="1201" spans="14:18" x14ac:dyDescent="0.25">
      <c r="N1201"/>
      <c r="O1201"/>
      <c r="P1201"/>
      <c r="Q1201"/>
      <c r="R1201"/>
    </row>
    <row r="1202" spans="14:18" x14ac:dyDescent="0.25">
      <c r="N1202"/>
      <c r="O1202"/>
      <c r="P1202"/>
      <c r="Q1202"/>
      <c r="R1202"/>
    </row>
    <row r="1203" spans="14:18" x14ac:dyDescent="0.25">
      <c r="N1203"/>
      <c r="O1203"/>
      <c r="P1203"/>
      <c r="Q1203"/>
      <c r="R1203"/>
    </row>
    <row r="1204" spans="14:18" x14ac:dyDescent="0.25">
      <c r="N1204"/>
      <c r="O1204"/>
      <c r="P1204"/>
      <c r="Q1204"/>
      <c r="R1204"/>
    </row>
    <row r="1205" spans="14:18" x14ac:dyDescent="0.25">
      <c r="N1205"/>
      <c r="O1205"/>
      <c r="P1205"/>
      <c r="Q1205"/>
      <c r="R1205"/>
    </row>
    <row r="1206" spans="14:18" x14ac:dyDescent="0.25">
      <c r="N1206"/>
      <c r="O1206"/>
      <c r="P1206"/>
      <c r="Q1206"/>
      <c r="R1206"/>
    </row>
    <row r="1207" spans="14:18" x14ac:dyDescent="0.25">
      <c r="N1207"/>
      <c r="O1207"/>
      <c r="P1207"/>
      <c r="Q1207"/>
      <c r="R1207"/>
    </row>
    <row r="1208" spans="14:18" x14ac:dyDescent="0.25">
      <c r="N1208"/>
      <c r="O1208"/>
      <c r="P1208"/>
      <c r="Q1208"/>
      <c r="R1208"/>
    </row>
    <row r="1209" spans="14:18" x14ac:dyDescent="0.25">
      <c r="N1209"/>
      <c r="O1209"/>
      <c r="P1209"/>
      <c r="Q1209"/>
      <c r="R1209"/>
    </row>
    <row r="1210" spans="14:18" x14ac:dyDescent="0.25">
      <c r="N1210"/>
      <c r="O1210"/>
      <c r="P1210"/>
      <c r="Q1210"/>
      <c r="R1210"/>
    </row>
    <row r="1211" spans="14:18" x14ac:dyDescent="0.25">
      <c r="N1211"/>
      <c r="O1211"/>
      <c r="P1211"/>
      <c r="Q1211"/>
      <c r="R1211"/>
    </row>
    <row r="1212" spans="14:18" x14ac:dyDescent="0.25">
      <c r="N1212"/>
      <c r="O1212"/>
      <c r="P1212"/>
      <c r="Q1212"/>
      <c r="R1212"/>
    </row>
    <row r="1213" spans="14:18" x14ac:dyDescent="0.25">
      <c r="N1213"/>
      <c r="O1213"/>
      <c r="P1213"/>
      <c r="Q1213"/>
      <c r="R1213"/>
    </row>
    <row r="1214" spans="14:18" x14ac:dyDescent="0.25">
      <c r="N1214"/>
      <c r="O1214"/>
      <c r="P1214"/>
      <c r="Q1214"/>
      <c r="R1214"/>
    </row>
    <row r="1215" spans="14:18" x14ac:dyDescent="0.25">
      <c r="N1215"/>
      <c r="O1215"/>
      <c r="P1215"/>
      <c r="Q1215"/>
      <c r="R1215"/>
    </row>
    <row r="1216" spans="14:18" x14ac:dyDescent="0.25">
      <c r="N1216"/>
      <c r="O1216"/>
      <c r="P1216"/>
      <c r="Q1216"/>
      <c r="R1216"/>
    </row>
    <row r="1217" spans="14:18" x14ac:dyDescent="0.25">
      <c r="N1217"/>
      <c r="O1217"/>
      <c r="P1217"/>
      <c r="Q1217"/>
      <c r="R1217"/>
    </row>
    <row r="1218" spans="14:18" x14ac:dyDescent="0.25">
      <c r="N1218"/>
      <c r="O1218"/>
      <c r="P1218"/>
      <c r="Q1218"/>
      <c r="R1218"/>
    </row>
    <row r="1219" spans="14:18" x14ac:dyDescent="0.25">
      <c r="N1219"/>
      <c r="O1219"/>
      <c r="P1219"/>
      <c r="Q1219"/>
      <c r="R1219"/>
    </row>
    <row r="1220" spans="14:18" x14ac:dyDescent="0.25">
      <c r="N1220"/>
      <c r="O1220"/>
      <c r="P1220"/>
      <c r="Q1220"/>
      <c r="R1220"/>
    </row>
    <row r="1221" spans="14:18" x14ac:dyDescent="0.25">
      <c r="N1221"/>
      <c r="O1221"/>
      <c r="P1221"/>
      <c r="Q1221"/>
      <c r="R1221"/>
    </row>
    <row r="1222" spans="14:18" x14ac:dyDescent="0.25">
      <c r="N1222"/>
      <c r="O1222"/>
      <c r="P1222"/>
      <c r="Q1222"/>
      <c r="R1222"/>
    </row>
    <row r="1223" spans="14:18" x14ac:dyDescent="0.25">
      <c r="N1223"/>
      <c r="O1223"/>
      <c r="P1223"/>
      <c r="Q1223"/>
      <c r="R1223"/>
    </row>
    <row r="1224" spans="14:18" x14ac:dyDescent="0.25">
      <c r="N1224"/>
      <c r="O1224"/>
      <c r="P1224"/>
      <c r="Q1224"/>
      <c r="R1224"/>
    </row>
    <row r="1225" spans="14:18" x14ac:dyDescent="0.25">
      <c r="N1225"/>
      <c r="O1225"/>
      <c r="P1225"/>
      <c r="Q1225"/>
      <c r="R1225"/>
    </row>
    <row r="1226" spans="14:18" x14ac:dyDescent="0.25">
      <c r="N1226"/>
      <c r="O1226"/>
      <c r="P1226"/>
      <c r="Q1226"/>
      <c r="R1226"/>
    </row>
    <row r="1227" spans="14:18" x14ac:dyDescent="0.25">
      <c r="N1227"/>
      <c r="O1227"/>
      <c r="P1227"/>
      <c r="Q1227"/>
      <c r="R1227"/>
    </row>
    <row r="1228" spans="14:18" x14ac:dyDescent="0.25">
      <c r="N1228"/>
      <c r="O1228"/>
      <c r="P1228"/>
      <c r="Q1228"/>
      <c r="R1228"/>
    </row>
    <row r="1229" spans="14:18" x14ac:dyDescent="0.25">
      <c r="N1229"/>
      <c r="O1229"/>
      <c r="P1229"/>
      <c r="Q1229"/>
      <c r="R1229"/>
    </row>
    <row r="1230" spans="14:18" x14ac:dyDescent="0.25">
      <c r="N1230"/>
      <c r="O1230"/>
      <c r="P1230"/>
      <c r="Q1230"/>
      <c r="R1230"/>
    </row>
    <row r="1231" spans="14:18" x14ac:dyDescent="0.25">
      <c r="N1231"/>
      <c r="O1231"/>
      <c r="P1231"/>
      <c r="Q1231"/>
      <c r="R1231"/>
    </row>
    <row r="1232" spans="14:18" x14ac:dyDescent="0.25">
      <c r="N1232"/>
      <c r="O1232"/>
      <c r="P1232"/>
      <c r="Q1232"/>
      <c r="R1232"/>
    </row>
    <row r="1233" spans="14:18" x14ac:dyDescent="0.25">
      <c r="N1233"/>
      <c r="O1233"/>
      <c r="P1233"/>
      <c r="Q1233"/>
      <c r="R1233"/>
    </row>
    <row r="1234" spans="14:18" x14ac:dyDescent="0.25">
      <c r="N1234"/>
      <c r="O1234"/>
      <c r="P1234"/>
      <c r="Q1234"/>
      <c r="R1234"/>
    </row>
    <row r="1235" spans="14:18" x14ac:dyDescent="0.25">
      <c r="N1235"/>
      <c r="O1235"/>
      <c r="P1235"/>
      <c r="Q1235"/>
      <c r="R1235"/>
    </row>
    <row r="1236" spans="14:18" x14ac:dyDescent="0.25">
      <c r="N1236"/>
      <c r="O1236"/>
      <c r="P1236"/>
      <c r="Q1236"/>
      <c r="R1236"/>
    </row>
    <row r="1237" spans="14:18" x14ac:dyDescent="0.25">
      <c r="N1237"/>
      <c r="O1237"/>
      <c r="P1237"/>
      <c r="Q1237"/>
      <c r="R1237"/>
    </row>
    <row r="1238" spans="14:18" x14ac:dyDescent="0.25">
      <c r="N1238"/>
      <c r="O1238"/>
      <c r="P1238"/>
      <c r="Q1238"/>
      <c r="R1238"/>
    </row>
    <row r="1239" spans="14:18" x14ac:dyDescent="0.25">
      <c r="N1239"/>
      <c r="O1239"/>
      <c r="P1239"/>
      <c r="Q1239"/>
      <c r="R1239"/>
    </row>
    <row r="1240" spans="14:18" x14ac:dyDescent="0.25">
      <c r="N1240"/>
      <c r="O1240"/>
      <c r="P1240"/>
      <c r="Q1240"/>
      <c r="R1240"/>
    </row>
    <row r="1241" spans="14:18" x14ac:dyDescent="0.25">
      <c r="N1241"/>
      <c r="O1241"/>
      <c r="P1241"/>
      <c r="Q1241"/>
      <c r="R1241"/>
    </row>
    <row r="1242" spans="14:18" x14ac:dyDescent="0.25">
      <c r="N1242"/>
      <c r="O1242"/>
      <c r="P1242"/>
      <c r="Q1242"/>
      <c r="R1242"/>
    </row>
    <row r="1243" spans="14:18" x14ac:dyDescent="0.25">
      <c r="N1243"/>
      <c r="O1243"/>
      <c r="P1243"/>
      <c r="Q1243"/>
      <c r="R1243"/>
    </row>
    <row r="1244" spans="14:18" x14ac:dyDescent="0.25">
      <c r="N1244"/>
      <c r="O1244"/>
      <c r="P1244"/>
      <c r="Q1244"/>
      <c r="R1244"/>
    </row>
    <row r="1245" spans="14:18" x14ac:dyDescent="0.25">
      <c r="N1245"/>
      <c r="O1245"/>
      <c r="P1245"/>
      <c r="Q1245"/>
      <c r="R1245"/>
    </row>
    <row r="1246" spans="14:18" x14ac:dyDescent="0.25">
      <c r="N1246"/>
      <c r="O1246"/>
      <c r="P1246"/>
      <c r="Q1246"/>
      <c r="R1246"/>
    </row>
    <row r="1247" spans="14:18" x14ac:dyDescent="0.25">
      <c r="N1247"/>
      <c r="O1247"/>
      <c r="P1247"/>
      <c r="Q1247"/>
      <c r="R1247"/>
    </row>
    <row r="1248" spans="14:18" x14ac:dyDescent="0.25">
      <c r="N1248"/>
      <c r="O1248"/>
      <c r="P1248"/>
      <c r="Q1248"/>
      <c r="R1248"/>
    </row>
    <row r="1249" spans="14:18" x14ac:dyDescent="0.25">
      <c r="N1249"/>
      <c r="O1249"/>
      <c r="P1249"/>
      <c r="Q1249"/>
      <c r="R1249"/>
    </row>
    <row r="1250" spans="14:18" x14ac:dyDescent="0.25">
      <c r="N1250"/>
      <c r="O1250"/>
      <c r="P1250"/>
      <c r="Q1250"/>
      <c r="R1250"/>
    </row>
    <row r="1251" spans="14:18" x14ac:dyDescent="0.25">
      <c r="N1251"/>
      <c r="O1251"/>
      <c r="P1251"/>
      <c r="Q1251"/>
      <c r="R1251"/>
    </row>
    <row r="1252" spans="14:18" x14ac:dyDescent="0.25">
      <c r="N1252"/>
      <c r="O1252"/>
      <c r="P1252"/>
      <c r="Q1252"/>
      <c r="R1252"/>
    </row>
    <row r="1253" spans="14:18" x14ac:dyDescent="0.25">
      <c r="N1253"/>
      <c r="O1253"/>
      <c r="P1253"/>
      <c r="Q1253"/>
      <c r="R1253"/>
    </row>
    <row r="1254" spans="14:18" x14ac:dyDescent="0.25">
      <c r="N1254"/>
      <c r="O1254"/>
      <c r="P1254"/>
      <c r="Q1254"/>
      <c r="R1254"/>
    </row>
    <row r="1255" spans="14:18" x14ac:dyDescent="0.25">
      <c r="N1255"/>
      <c r="O1255"/>
      <c r="P1255"/>
      <c r="Q1255"/>
      <c r="R1255"/>
    </row>
    <row r="1256" spans="14:18" x14ac:dyDescent="0.25">
      <c r="N1256"/>
      <c r="O1256"/>
      <c r="P1256"/>
      <c r="Q1256"/>
      <c r="R1256"/>
    </row>
    <row r="1257" spans="14:18" x14ac:dyDescent="0.25">
      <c r="N1257"/>
      <c r="O1257"/>
      <c r="P1257"/>
      <c r="Q1257"/>
      <c r="R1257"/>
    </row>
    <row r="1258" spans="14:18" x14ac:dyDescent="0.25">
      <c r="N1258"/>
      <c r="O1258"/>
      <c r="P1258"/>
      <c r="Q1258"/>
      <c r="R1258"/>
    </row>
    <row r="1259" spans="14:18" x14ac:dyDescent="0.25">
      <c r="N1259"/>
      <c r="O1259"/>
      <c r="P1259"/>
      <c r="Q1259"/>
      <c r="R1259"/>
    </row>
    <row r="1260" spans="14:18" x14ac:dyDescent="0.25">
      <c r="N1260"/>
      <c r="O1260"/>
      <c r="P1260"/>
      <c r="Q1260"/>
      <c r="R1260"/>
    </row>
    <row r="1261" spans="14:18" x14ac:dyDescent="0.25">
      <c r="N1261"/>
      <c r="O1261"/>
      <c r="P1261"/>
      <c r="Q1261"/>
      <c r="R1261"/>
    </row>
    <row r="1262" spans="14:18" x14ac:dyDescent="0.25">
      <c r="N1262"/>
      <c r="O1262"/>
      <c r="P1262"/>
      <c r="Q1262"/>
      <c r="R1262"/>
    </row>
    <row r="1263" spans="14:18" x14ac:dyDescent="0.25">
      <c r="N1263"/>
      <c r="O1263"/>
      <c r="P1263"/>
      <c r="Q1263"/>
      <c r="R1263"/>
    </row>
    <row r="1264" spans="14:18" x14ac:dyDescent="0.25">
      <c r="N1264"/>
      <c r="O1264"/>
      <c r="P1264"/>
      <c r="Q1264"/>
      <c r="R1264"/>
    </row>
    <row r="1265" spans="14:18" x14ac:dyDescent="0.25">
      <c r="N1265"/>
      <c r="O1265"/>
      <c r="P1265"/>
      <c r="Q1265"/>
      <c r="R1265"/>
    </row>
    <row r="1266" spans="14:18" x14ac:dyDescent="0.25">
      <c r="N1266"/>
      <c r="O1266"/>
      <c r="P1266"/>
      <c r="Q1266"/>
      <c r="R1266"/>
    </row>
    <row r="1267" spans="14:18" x14ac:dyDescent="0.25">
      <c r="N1267"/>
      <c r="O1267"/>
      <c r="P1267"/>
      <c r="Q1267"/>
      <c r="R1267"/>
    </row>
    <row r="1268" spans="14:18" x14ac:dyDescent="0.25">
      <c r="N1268"/>
      <c r="O1268"/>
      <c r="P1268"/>
      <c r="Q1268"/>
      <c r="R1268"/>
    </row>
    <row r="1269" spans="14:18" x14ac:dyDescent="0.25">
      <c r="N1269"/>
      <c r="O1269"/>
      <c r="P1269"/>
      <c r="Q1269"/>
      <c r="R1269"/>
    </row>
    <row r="1270" spans="14:18" x14ac:dyDescent="0.25">
      <c r="N1270"/>
      <c r="O1270"/>
      <c r="P1270"/>
      <c r="Q1270"/>
      <c r="R1270"/>
    </row>
    <row r="1271" spans="14:18" x14ac:dyDescent="0.25">
      <c r="N1271"/>
      <c r="O1271"/>
      <c r="P1271"/>
      <c r="Q1271"/>
      <c r="R1271"/>
    </row>
    <row r="1272" spans="14:18" x14ac:dyDescent="0.25">
      <c r="N1272"/>
      <c r="O1272"/>
      <c r="P1272"/>
      <c r="Q1272"/>
      <c r="R1272"/>
    </row>
    <row r="1273" spans="14:18" x14ac:dyDescent="0.25">
      <c r="N1273"/>
      <c r="O1273"/>
      <c r="P1273"/>
      <c r="Q1273"/>
      <c r="R1273"/>
    </row>
    <row r="1274" spans="14:18" x14ac:dyDescent="0.25">
      <c r="N1274"/>
      <c r="O1274"/>
      <c r="P1274"/>
      <c r="Q1274"/>
      <c r="R1274"/>
    </row>
    <row r="1275" spans="14:18" x14ac:dyDescent="0.25">
      <c r="N1275"/>
      <c r="O1275"/>
      <c r="P1275"/>
      <c r="Q1275"/>
      <c r="R1275"/>
    </row>
    <row r="1276" spans="14:18" x14ac:dyDescent="0.25">
      <c r="N1276"/>
      <c r="O1276"/>
      <c r="P1276"/>
      <c r="Q1276"/>
      <c r="R1276"/>
    </row>
    <row r="1277" spans="14:18" x14ac:dyDescent="0.25">
      <c r="N1277"/>
      <c r="O1277"/>
      <c r="P1277"/>
      <c r="Q1277"/>
      <c r="R1277"/>
    </row>
    <row r="1278" spans="14:18" x14ac:dyDescent="0.25">
      <c r="N1278"/>
      <c r="O1278"/>
      <c r="P1278"/>
      <c r="Q1278"/>
      <c r="R1278"/>
    </row>
    <row r="1279" spans="14:18" x14ac:dyDescent="0.25">
      <c r="N1279"/>
      <c r="O1279"/>
      <c r="P1279"/>
      <c r="Q1279"/>
      <c r="R1279"/>
    </row>
    <row r="1280" spans="14:18" x14ac:dyDescent="0.25">
      <c r="N1280"/>
      <c r="O1280"/>
      <c r="P1280"/>
      <c r="Q1280"/>
      <c r="R1280"/>
    </row>
    <row r="1281" spans="14:18" x14ac:dyDescent="0.25">
      <c r="N1281"/>
      <c r="O1281"/>
      <c r="P1281"/>
      <c r="Q1281"/>
      <c r="R1281"/>
    </row>
    <row r="1282" spans="14:18" x14ac:dyDescent="0.25">
      <c r="N1282"/>
      <c r="O1282"/>
      <c r="P1282"/>
      <c r="Q1282"/>
      <c r="R1282"/>
    </row>
    <row r="1283" spans="14:18" x14ac:dyDescent="0.25">
      <c r="N1283"/>
      <c r="O1283"/>
      <c r="P1283"/>
      <c r="Q1283"/>
      <c r="R1283"/>
    </row>
    <row r="1284" spans="14:18" x14ac:dyDescent="0.25">
      <c r="N1284"/>
      <c r="O1284"/>
      <c r="P1284"/>
      <c r="Q1284"/>
      <c r="R1284"/>
    </row>
    <row r="1285" spans="14:18" x14ac:dyDescent="0.25">
      <c r="N1285"/>
      <c r="O1285"/>
      <c r="P1285"/>
      <c r="Q1285"/>
      <c r="R1285"/>
    </row>
    <row r="1286" spans="14:18" x14ac:dyDescent="0.25">
      <c r="N1286"/>
      <c r="O1286"/>
      <c r="P1286"/>
      <c r="Q1286"/>
      <c r="R1286"/>
    </row>
    <row r="1287" spans="14:18" x14ac:dyDescent="0.25">
      <c r="N1287"/>
      <c r="O1287"/>
      <c r="P1287"/>
      <c r="Q1287"/>
      <c r="R1287"/>
    </row>
    <row r="1288" spans="14:18" x14ac:dyDescent="0.25">
      <c r="N1288"/>
      <c r="O1288"/>
      <c r="P1288"/>
      <c r="Q1288"/>
      <c r="R1288"/>
    </row>
    <row r="1289" spans="14:18" x14ac:dyDescent="0.25">
      <c r="N1289"/>
      <c r="O1289"/>
      <c r="P1289"/>
      <c r="Q1289"/>
      <c r="R1289"/>
    </row>
    <row r="1290" spans="14:18" x14ac:dyDescent="0.25">
      <c r="N1290"/>
      <c r="O1290"/>
      <c r="P1290"/>
      <c r="Q1290"/>
      <c r="R1290"/>
    </row>
    <row r="1291" spans="14:18" x14ac:dyDescent="0.25">
      <c r="N1291"/>
      <c r="O1291"/>
      <c r="P1291"/>
      <c r="Q1291"/>
      <c r="R1291"/>
    </row>
    <row r="1292" spans="14:18" x14ac:dyDescent="0.25">
      <c r="N1292"/>
      <c r="O1292"/>
      <c r="P1292"/>
      <c r="Q1292"/>
      <c r="R1292"/>
    </row>
    <row r="1293" spans="14:18" x14ac:dyDescent="0.25">
      <c r="N1293"/>
      <c r="O1293"/>
      <c r="P1293"/>
      <c r="Q1293"/>
      <c r="R1293"/>
    </row>
    <row r="1294" spans="14:18" x14ac:dyDescent="0.25">
      <c r="N1294"/>
      <c r="O1294"/>
      <c r="P1294"/>
      <c r="Q1294"/>
      <c r="R1294"/>
    </row>
    <row r="1295" spans="14:18" x14ac:dyDescent="0.25">
      <c r="N1295"/>
      <c r="O1295"/>
      <c r="P1295"/>
      <c r="Q1295"/>
      <c r="R1295"/>
    </row>
    <row r="1296" spans="14:18" x14ac:dyDescent="0.25">
      <c r="N1296"/>
      <c r="O1296"/>
      <c r="P1296"/>
      <c r="Q1296"/>
      <c r="R1296"/>
    </row>
    <row r="1297" spans="14:18" x14ac:dyDescent="0.25">
      <c r="N1297"/>
      <c r="O1297"/>
      <c r="P1297"/>
      <c r="Q1297"/>
      <c r="R1297"/>
    </row>
    <row r="1298" spans="14:18" x14ac:dyDescent="0.25">
      <c r="N1298"/>
      <c r="O1298"/>
      <c r="P1298"/>
      <c r="Q1298"/>
      <c r="R1298"/>
    </row>
    <row r="1299" spans="14:18" x14ac:dyDescent="0.25">
      <c r="N1299"/>
      <c r="O1299"/>
      <c r="P1299"/>
      <c r="Q1299"/>
      <c r="R1299"/>
    </row>
    <row r="1300" spans="14:18" x14ac:dyDescent="0.25">
      <c r="N1300"/>
      <c r="O1300"/>
      <c r="P1300"/>
      <c r="Q1300"/>
      <c r="R1300"/>
    </row>
    <row r="1301" spans="14:18" x14ac:dyDescent="0.25">
      <c r="N1301"/>
      <c r="O1301"/>
      <c r="P1301"/>
      <c r="Q1301"/>
      <c r="R1301"/>
    </row>
    <row r="1302" spans="14:18" x14ac:dyDescent="0.25">
      <c r="N1302"/>
      <c r="O1302"/>
      <c r="P1302"/>
      <c r="Q1302"/>
      <c r="R1302"/>
    </row>
    <row r="1303" spans="14:18" x14ac:dyDescent="0.25">
      <c r="N1303"/>
      <c r="O1303"/>
      <c r="P1303"/>
      <c r="Q1303"/>
      <c r="R1303"/>
    </row>
    <row r="1304" spans="14:18" x14ac:dyDescent="0.25">
      <c r="N1304"/>
      <c r="O1304"/>
      <c r="P1304"/>
      <c r="Q1304"/>
      <c r="R1304"/>
    </row>
    <row r="1305" spans="14:18" x14ac:dyDescent="0.25">
      <c r="N1305"/>
      <c r="O1305"/>
      <c r="P1305"/>
      <c r="Q1305"/>
      <c r="R1305"/>
    </row>
    <row r="1306" spans="14:18" x14ac:dyDescent="0.25">
      <c r="N1306"/>
      <c r="O1306"/>
      <c r="P1306"/>
      <c r="Q1306"/>
      <c r="R1306"/>
    </row>
    <row r="1307" spans="14:18" x14ac:dyDescent="0.25">
      <c r="N1307"/>
      <c r="O1307"/>
      <c r="P1307"/>
      <c r="Q1307"/>
      <c r="R1307"/>
    </row>
    <row r="1308" spans="14:18" x14ac:dyDescent="0.25">
      <c r="N1308"/>
      <c r="O1308"/>
      <c r="P1308"/>
      <c r="Q1308"/>
      <c r="R1308"/>
    </row>
    <row r="1309" spans="14:18" x14ac:dyDescent="0.25">
      <c r="N1309"/>
      <c r="O1309"/>
      <c r="P1309"/>
      <c r="Q1309"/>
      <c r="R1309"/>
    </row>
    <row r="1310" spans="14:18" x14ac:dyDescent="0.25">
      <c r="N1310"/>
      <c r="O1310"/>
      <c r="P1310"/>
      <c r="Q1310"/>
      <c r="R1310"/>
    </row>
    <row r="1311" spans="14:18" x14ac:dyDescent="0.25">
      <c r="N1311"/>
      <c r="O1311"/>
      <c r="P1311"/>
      <c r="Q1311"/>
      <c r="R1311"/>
    </row>
    <row r="1312" spans="14:18" x14ac:dyDescent="0.25">
      <c r="N1312"/>
      <c r="O1312"/>
      <c r="P1312"/>
      <c r="Q1312"/>
      <c r="R1312"/>
    </row>
    <row r="1313" spans="14:18" x14ac:dyDescent="0.25">
      <c r="N1313"/>
      <c r="O1313"/>
      <c r="P1313"/>
      <c r="Q1313"/>
      <c r="R1313"/>
    </row>
    <row r="1314" spans="14:18" x14ac:dyDescent="0.25">
      <c r="N1314"/>
      <c r="O1314"/>
      <c r="P1314"/>
      <c r="Q1314"/>
      <c r="R1314"/>
    </row>
    <row r="1315" spans="14:18" x14ac:dyDescent="0.25">
      <c r="N1315"/>
      <c r="O1315"/>
      <c r="P1315"/>
      <c r="Q1315"/>
      <c r="R1315"/>
    </row>
    <row r="1316" spans="14:18" x14ac:dyDescent="0.25">
      <c r="N1316"/>
      <c r="O1316"/>
      <c r="P1316"/>
      <c r="Q1316"/>
      <c r="R1316"/>
    </row>
    <row r="1317" spans="14:18" x14ac:dyDescent="0.25">
      <c r="N1317"/>
      <c r="O1317"/>
      <c r="P1317"/>
      <c r="Q1317"/>
      <c r="R1317"/>
    </row>
    <row r="1318" spans="14:18" x14ac:dyDescent="0.25">
      <c r="N1318"/>
      <c r="O1318"/>
      <c r="P1318"/>
      <c r="Q1318"/>
      <c r="R1318"/>
    </row>
    <row r="1319" spans="14:18" x14ac:dyDescent="0.25">
      <c r="N1319"/>
      <c r="O1319"/>
      <c r="P1319"/>
      <c r="Q1319"/>
      <c r="R1319"/>
    </row>
    <row r="1320" spans="14:18" x14ac:dyDescent="0.25">
      <c r="N1320"/>
      <c r="O1320"/>
      <c r="P1320"/>
      <c r="Q1320"/>
      <c r="R1320"/>
    </row>
    <row r="1321" spans="14:18" x14ac:dyDescent="0.25">
      <c r="N1321"/>
      <c r="O1321"/>
      <c r="P1321"/>
      <c r="Q1321"/>
      <c r="R1321"/>
    </row>
    <row r="1322" spans="14:18" x14ac:dyDescent="0.25">
      <c r="N1322"/>
      <c r="O1322"/>
      <c r="P1322"/>
      <c r="Q1322"/>
      <c r="R1322"/>
    </row>
    <row r="1323" spans="14:18" x14ac:dyDescent="0.25">
      <c r="N1323"/>
      <c r="O1323"/>
      <c r="P1323"/>
      <c r="Q1323"/>
      <c r="R1323"/>
    </row>
    <row r="1324" spans="14:18" x14ac:dyDescent="0.25">
      <c r="N1324"/>
      <c r="O1324"/>
      <c r="P1324"/>
      <c r="Q1324"/>
      <c r="R1324"/>
    </row>
    <row r="1325" spans="14:18" x14ac:dyDescent="0.25">
      <c r="N1325"/>
      <c r="O1325"/>
      <c r="P1325"/>
      <c r="Q1325"/>
      <c r="R1325"/>
    </row>
    <row r="1326" spans="14:18" x14ac:dyDescent="0.25">
      <c r="N1326"/>
      <c r="O1326"/>
      <c r="P1326"/>
      <c r="Q1326"/>
      <c r="R1326"/>
    </row>
    <row r="1327" spans="14:18" x14ac:dyDescent="0.25">
      <c r="N1327"/>
      <c r="O1327"/>
      <c r="P1327"/>
      <c r="Q1327"/>
      <c r="R1327"/>
    </row>
    <row r="1328" spans="14:18" x14ac:dyDescent="0.25">
      <c r="N1328"/>
      <c r="O1328"/>
      <c r="P1328"/>
      <c r="Q1328"/>
      <c r="R1328"/>
    </row>
    <row r="1329" spans="14:18" x14ac:dyDescent="0.25">
      <c r="N1329"/>
      <c r="O1329"/>
      <c r="P1329"/>
      <c r="Q1329"/>
      <c r="R1329"/>
    </row>
    <row r="1330" spans="14:18" x14ac:dyDescent="0.25">
      <c r="N1330"/>
      <c r="O1330"/>
      <c r="P1330"/>
      <c r="Q1330"/>
      <c r="R1330"/>
    </row>
    <row r="1331" spans="14:18" x14ac:dyDescent="0.25">
      <c r="N1331"/>
      <c r="O1331"/>
      <c r="P1331"/>
      <c r="Q1331"/>
      <c r="R1331"/>
    </row>
    <row r="1332" spans="14:18" x14ac:dyDescent="0.25">
      <c r="N1332"/>
      <c r="O1332"/>
      <c r="P1332"/>
      <c r="Q1332"/>
      <c r="R1332"/>
    </row>
    <row r="1333" spans="14:18" x14ac:dyDescent="0.25">
      <c r="N1333"/>
      <c r="O1333"/>
      <c r="P1333"/>
      <c r="Q1333"/>
      <c r="R1333"/>
    </row>
    <row r="1334" spans="14:18" x14ac:dyDescent="0.25">
      <c r="N1334"/>
      <c r="O1334"/>
      <c r="P1334"/>
      <c r="Q1334"/>
      <c r="R1334"/>
    </row>
    <row r="1335" spans="14:18" x14ac:dyDescent="0.25">
      <c r="N1335"/>
      <c r="O1335"/>
      <c r="P1335"/>
      <c r="Q1335"/>
      <c r="R1335"/>
    </row>
    <row r="1336" spans="14:18" x14ac:dyDescent="0.25">
      <c r="N1336"/>
      <c r="O1336"/>
      <c r="P1336"/>
      <c r="Q1336"/>
      <c r="R1336"/>
    </row>
    <row r="1337" spans="14:18" x14ac:dyDescent="0.25">
      <c r="N1337"/>
      <c r="O1337"/>
      <c r="P1337"/>
      <c r="Q1337"/>
      <c r="R1337"/>
    </row>
    <row r="1338" spans="14:18" x14ac:dyDescent="0.25">
      <c r="N1338"/>
      <c r="O1338"/>
      <c r="P1338"/>
      <c r="Q1338"/>
      <c r="R1338"/>
    </row>
    <row r="1339" spans="14:18" x14ac:dyDescent="0.25">
      <c r="N1339"/>
      <c r="O1339"/>
      <c r="P1339"/>
      <c r="Q1339"/>
      <c r="R1339"/>
    </row>
    <row r="1340" spans="14:18" x14ac:dyDescent="0.25">
      <c r="N1340"/>
      <c r="O1340"/>
      <c r="P1340"/>
      <c r="Q1340"/>
      <c r="R1340"/>
    </row>
    <row r="1341" spans="14:18" x14ac:dyDescent="0.25">
      <c r="N1341"/>
      <c r="O1341"/>
      <c r="P1341"/>
      <c r="Q1341"/>
      <c r="R1341"/>
    </row>
    <row r="1342" spans="14:18" x14ac:dyDescent="0.25">
      <c r="N1342"/>
      <c r="O1342"/>
      <c r="P1342"/>
      <c r="Q1342"/>
      <c r="R1342"/>
    </row>
    <row r="1343" spans="14:18" x14ac:dyDescent="0.25">
      <c r="N1343"/>
      <c r="O1343"/>
      <c r="P1343"/>
      <c r="Q1343"/>
      <c r="R1343"/>
    </row>
    <row r="1344" spans="14:18" x14ac:dyDescent="0.25">
      <c r="N1344"/>
      <c r="O1344"/>
      <c r="P1344"/>
      <c r="Q1344"/>
      <c r="R1344"/>
    </row>
    <row r="1345" spans="14:18" x14ac:dyDescent="0.25">
      <c r="N1345"/>
      <c r="O1345"/>
      <c r="P1345"/>
      <c r="Q1345"/>
      <c r="R1345"/>
    </row>
    <row r="1346" spans="14:18" x14ac:dyDescent="0.25">
      <c r="N1346"/>
      <c r="O1346"/>
      <c r="P1346"/>
      <c r="Q1346"/>
      <c r="R1346"/>
    </row>
    <row r="1347" spans="14:18" x14ac:dyDescent="0.25">
      <c r="N1347"/>
      <c r="O1347"/>
      <c r="P1347"/>
      <c r="Q1347"/>
      <c r="R1347"/>
    </row>
    <row r="1348" spans="14:18" x14ac:dyDescent="0.25">
      <c r="N1348"/>
      <c r="O1348"/>
      <c r="P1348"/>
      <c r="Q1348"/>
      <c r="R1348"/>
    </row>
    <row r="1349" spans="14:18" x14ac:dyDescent="0.25">
      <c r="N1349"/>
      <c r="O1349"/>
      <c r="P1349"/>
      <c r="Q1349"/>
      <c r="R1349"/>
    </row>
    <row r="1350" spans="14:18" x14ac:dyDescent="0.25">
      <c r="N1350"/>
      <c r="O1350"/>
      <c r="P1350"/>
      <c r="Q1350"/>
      <c r="R1350"/>
    </row>
    <row r="1351" spans="14:18" x14ac:dyDescent="0.25">
      <c r="N1351"/>
      <c r="O1351"/>
      <c r="P1351"/>
      <c r="Q1351"/>
      <c r="R1351"/>
    </row>
    <row r="1352" spans="14:18" x14ac:dyDescent="0.25">
      <c r="N1352"/>
      <c r="O1352"/>
      <c r="P1352"/>
      <c r="Q1352"/>
      <c r="R1352"/>
    </row>
    <row r="1353" spans="14:18" x14ac:dyDescent="0.25">
      <c r="N1353"/>
      <c r="O1353"/>
      <c r="P1353"/>
      <c r="Q1353"/>
      <c r="R1353"/>
    </row>
    <row r="1354" spans="14:18" x14ac:dyDescent="0.25">
      <c r="N1354"/>
      <c r="O1354"/>
      <c r="P1354"/>
      <c r="Q1354"/>
      <c r="R1354"/>
    </row>
    <row r="1355" spans="14:18" x14ac:dyDescent="0.25">
      <c r="N1355"/>
      <c r="O1355"/>
      <c r="P1355"/>
      <c r="Q1355"/>
      <c r="R1355"/>
    </row>
    <row r="1356" spans="14:18" x14ac:dyDescent="0.25">
      <c r="N1356"/>
      <c r="O1356"/>
      <c r="P1356"/>
      <c r="Q1356"/>
      <c r="R1356"/>
    </row>
    <row r="1357" spans="14:18" x14ac:dyDescent="0.25">
      <c r="N1357"/>
      <c r="O1357"/>
      <c r="P1357"/>
      <c r="Q1357"/>
      <c r="R1357"/>
    </row>
    <row r="1358" spans="14:18" x14ac:dyDescent="0.25">
      <c r="N1358"/>
      <c r="O1358"/>
      <c r="P1358"/>
      <c r="Q1358"/>
      <c r="R1358"/>
    </row>
    <row r="1359" spans="14:18" x14ac:dyDescent="0.25">
      <c r="N1359"/>
      <c r="O1359"/>
      <c r="P1359"/>
      <c r="Q1359"/>
      <c r="R1359"/>
    </row>
    <row r="1360" spans="14:18" x14ac:dyDescent="0.25">
      <c r="N1360"/>
      <c r="O1360"/>
      <c r="P1360"/>
      <c r="Q1360"/>
      <c r="R1360"/>
    </row>
    <row r="1361" spans="14:18" x14ac:dyDescent="0.25">
      <c r="N1361"/>
      <c r="O1361"/>
      <c r="P1361"/>
      <c r="Q1361"/>
      <c r="R1361"/>
    </row>
    <row r="1362" spans="14:18" x14ac:dyDescent="0.25">
      <c r="N1362"/>
      <c r="O1362"/>
      <c r="P1362"/>
      <c r="Q1362"/>
      <c r="R1362"/>
    </row>
    <row r="1363" spans="14:18" x14ac:dyDescent="0.25">
      <c r="N1363"/>
      <c r="O1363"/>
      <c r="P1363"/>
      <c r="Q1363"/>
      <c r="R1363"/>
    </row>
    <row r="1364" spans="14:18" x14ac:dyDescent="0.25">
      <c r="N1364"/>
      <c r="O1364"/>
      <c r="P1364"/>
      <c r="Q1364"/>
      <c r="R1364"/>
    </row>
    <row r="1365" spans="14:18" x14ac:dyDescent="0.25">
      <c r="N1365"/>
      <c r="O1365"/>
      <c r="P1365"/>
      <c r="Q1365"/>
      <c r="R1365"/>
    </row>
    <row r="1366" spans="14:18" x14ac:dyDescent="0.25">
      <c r="N1366"/>
      <c r="O1366"/>
      <c r="P1366"/>
      <c r="Q1366"/>
      <c r="R1366"/>
    </row>
    <row r="1367" spans="14:18" x14ac:dyDescent="0.25">
      <c r="N1367"/>
      <c r="O1367"/>
      <c r="P1367"/>
      <c r="Q1367"/>
      <c r="R1367"/>
    </row>
    <row r="1368" spans="14:18" x14ac:dyDescent="0.25">
      <c r="N1368"/>
      <c r="O1368"/>
      <c r="P1368"/>
      <c r="Q1368"/>
      <c r="R1368"/>
    </row>
    <row r="1369" spans="14:18" x14ac:dyDescent="0.25">
      <c r="N1369"/>
      <c r="O1369"/>
      <c r="P1369"/>
      <c r="Q1369"/>
      <c r="R1369"/>
    </row>
    <row r="1370" spans="14:18" x14ac:dyDescent="0.25">
      <c r="N1370"/>
      <c r="O1370"/>
      <c r="P1370"/>
      <c r="Q1370"/>
      <c r="R1370"/>
    </row>
    <row r="1371" spans="14:18" x14ac:dyDescent="0.25">
      <c r="N1371"/>
      <c r="O1371"/>
      <c r="P1371"/>
      <c r="Q1371"/>
      <c r="R1371"/>
    </row>
    <row r="1372" spans="14:18" x14ac:dyDescent="0.25">
      <c r="N1372"/>
      <c r="O1372"/>
      <c r="P1372"/>
      <c r="Q1372"/>
      <c r="R1372"/>
    </row>
    <row r="1373" spans="14:18" x14ac:dyDescent="0.25">
      <c r="N1373"/>
      <c r="O1373"/>
      <c r="P1373"/>
      <c r="Q1373"/>
      <c r="R1373"/>
    </row>
    <row r="1374" spans="14:18" x14ac:dyDescent="0.25">
      <c r="N1374"/>
      <c r="O1374"/>
      <c r="P1374"/>
      <c r="Q1374"/>
      <c r="R1374"/>
    </row>
    <row r="1375" spans="14:18" x14ac:dyDescent="0.25">
      <c r="N1375"/>
      <c r="O1375"/>
      <c r="P1375"/>
      <c r="Q1375"/>
      <c r="R1375"/>
    </row>
    <row r="1376" spans="14:18" x14ac:dyDescent="0.25">
      <c r="N1376"/>
      <c r="O1376"/>
      <c r="P1376"/>
      <c r="Q1376"/>
      <c r="R1376"/>
    </row>
    <row r="1377" spans="14:18" x14ac:dyDescent="0.25">
      <c r="N1377"/>
      <c r="O1377"/>
      <c r="P1377"/>
      <c r="Q1377"/>
      <c r="R1377"/>
    </row>
    <row r="1378" spans="14:18" x14ac:dyDescent="0.25">
      <c r="N1378"/>
      <c r="O1378"/>
      <c r="P1378"/>
      <c r="Q1378"/>
      <c r="R1378"/>
    </row>
    <row r="1379" spans="14:18" x14ac:dyDescent="0.25">
      <c r="N1379"/>
      <c r="O1379"/>
      <c r="P1379"/>
      <c r="Q1379"/>
      <c r="R1379"/>
    </row>
    <row r="1380" spans="14:18" x14ac:dyDescent="0.25">
      <c r="N1380"/>
      <c r="O1380"/>
      <c r="P1380"/>
      <c r="Q1380"/>
      <c r="R1380"/>
    </row>
    <row r="1381" spans="14:18" x14ac:dyDescent="0.25">
      <c r="N1381"/>
      <c r="O1381"/>
      <c r="P1381"/>
      <c r="Q1381"/>
      <c r="R1381"/>
    </row>
    <row r="1382" spans="14:18" x14ac:dyDescent="0.25">
      <c r="N1382"/>
      <c r="O1382"/>
      <c r="P1382"/>
      <c r="Q1382"/>
      <c r="R1382"/>
    </row>
    <row r="1383" spans="14:18" x14ac:dyDescent="0.25">
      <c r="N1383"/>
      <c r="O1383"/>
      <c r="P1383"/>
      <c r="Q1383"/>
      <c r="R1383"/>
    </row>
    <row r="1384" spans="14:18" x14ac:dyDescent="0.25">
      <c r="N1384"/>
      <c r="O1384"/>
      <c r="P1384"/>
      <c r="Q1384"/>
      <c r="R1384"/>
    </row>
    <row r="1385" spans="14:18" x14ac:dyDescent="0.25">
      <c r="N1385"/>
      <c r="O1385"/>
      <c r="P1385"/>
      <c r="Q1385"/>
      <c r="R1385"/>
    </row>
    <row r="1386" spans="14:18" x14ac:dyDescent="0.25">
      <c r="N1386"/>
      <c r="O1386"/>
      <c r="P1386"/>
      <c r="Q1386"/>
      <c r="R1386"/>
    </row>
    <row r="1387" spans="14:18" x14ac:dyDescent="0.25">
      <c r="N1387"/>
      <c r="O1387"/>
      <c r="P1387"/>
      <c r="Q1387"/>
      <c r="R1387"/>
    </row>
    <row r="1388" spans="14:18" x14ac:dyDescent="0.25">
      <c r="N1388"/>
      <c r="O1388"/>
      <c r="P1388"/>
      <c r="Q1388"/>
      <c r="R1388"/>
    </row>
    <row r="1389" spans="14:18" x14ac:dyDescent="0.25">
      <c r="N1389"/>
      <c r="O1389"/>
      <c r="P1389"/>
      <c r="Q1389"/>
      <c r="R1389"/>
    </row>
    <row r="1390" spans="14:18" x14ac:dyDescent="0.25">
      <c r="N1390"/>
      <c r="O1390"/>
      <c r="P1390"/>
      <c r="Q1390"/>
      <c r="R1390"/>
    </row>
    <row r="1391" spans="14:18" x14ac:dyDescent="0.25">
      <c r="N1391"/>
      <c r="O1391"/>
      <c r="P1391"/>
      <c r="Q1391"/>
      <c r="R1391"/>
    </row>
    <row r="1392" spans="14:18" x14ac:dyDescent="0.25">
      <c r="N1392"/>
      <c r="O1392"/>
      <c r="P1392"/>
      <c r="Q1392"/>
      <c r="R1392"/>
    </row>
    <row r="1393" spans="14:18" x14ac:dyDescent="0.25">
      <c r="N1393"/>
      <c r="O1393"/>
      <c r="P1393"/>
      <c r="Q1393"/>
      <c r="R1393"/>
    </row>
    <row r="1394" spans="14:18" x14ac:dyDescent="0.25">
      <c r="N1394"/>
      <c r="O1394"/>
      <c r="P1394"/>
      <c r="Q1394"/>
      <c r="R1394"/>
    </row>
    <row r="1395" spans="14:18" x14ac:dyDescent="0.25">
      <c r="N1395"/>
      <c r="O1395"/>
      <c r="P1395"/>
      <c r="Q1395"/>
      <c r="R1395"/>
    </row>
    <row r="1396" spans="14:18" x14ac:dyDescent="0.25">
      <c r="N1396"/>
      <c r="O1396"/>
      <c r="P1396"/>
      <c r="Q1396"/>
      <c r="R1396"/>
    </row>
    <row r="1397" spans="14:18" x14ac:dyDescent="0.25">
      <c r="N1397"/>
      <c r="O1397"/>
      <c r="P1397"/>
      <c r="Q1397"/>
      <c r="R1397"/>
    </row>
    <row r="1398" spans="14:18" x14ac:dyDescent="0.25">
      <c r="N1398"/>
      <c r="O1398"/>
      <c r="P1398"/>
      <c r="Q1398"/>
      <c r="R1398"/>
    </row>
    <row r="1399" spans="14:18" x14ac:dyDescent="0.25">
      <c r="N1399"/>
      <c r="O1399"/>
      <c r="P1399"/>
      <c r="Q1399"/>
      <c r="R1399"/>
    </row>
    <row r="1400" spans="14:18" x14ac:dyDescent="0.25">
      <c r="N1400"/>
      <c r="O1400"/>
      <c r="P1400"/>
      <c r="Q1400"/>
      <c r="R1400"/>
    </row>
    <row r="1401" spans="14:18" x14ac:dyDescent="0.25">
      <c r="N1401"/>
      <c r="O1401"/>
      <c r="P1401"/>
      <c r="Q1401"/>
      <c r="R1401"/>
    </row>
    <row r="1402" spans="14:18" x14ac:dyDescent="0.25">
      <c r="N1402"/>
      <c r="O1402"/>
      <c r="P1402"/>
      <c r="Q1402"/>
      <c r="R1402"/>
    </row>
    <row r="1403" spans="14:18" x14ac:dyDescent="0.25">
      <c r="N1403"/>
      <c r="O1403"/>
      <c r="P1403"/>
      <c r="Q1403"/>
      <c r="R1403"/>
    </row>
    <row r="1404" spans="14:18" x14ac:dyDescent="0.25">
      <c r="N1404"/>
      <c r="O1404"/>
      <c r="P1404"/>
      <c r="Q1404"/>
      <c r="R1404"/>
    </row>
    <row r="1405" spans="14:18" x14ac:dyDescent="0.25">
      <c r="N1405"/>
      <c r="O1405"/>
      <c r="P1405"/>
      <c r="Q1405"/>
      <c r="R1405"/>
    </row>
    <row r="1406" spans="14:18" x14ac:dyDescent="0.25">
      <c r="N1406"/>
      <c r="O1406"/>
      <c r="P1406"/>
      <c r="Q1406"/>
      <c r="R1406"/>
    </row>
    <row r="1407" spans="14:18" x14ac:dyDescent="0.25">
      <c r="N1407"/>
      <c r="O1407"/>
      <c r="P1407"/>
      <c r="Q1407"/>
      <c r="R1407"/>
    </row>
    <row r="1408" spans="14:18" x14ac:dyDescent="0.25">
      <c r="N1408"/>
      <c r="O1408"/>
      <c r="P1408"/>
      <c r="Q1408"/>
      <c r="R1408"/>
    </row>
    <row r="1409" spans="14:18" x14ac:dyDescent="0.25">
      <c r="N1409"/>
      <c r="O1409"/>
      <c r="P1409"/>
      <c r="Q1409"/>
      <c r="R1409"/>
    </row>
    <row r="1410" spans="14:18" x14ac:dyDescent="0.25">
      <c r="N1410"/>
      <c r="O1410"/>
      <c r="P1410"/>
      <c r="Q1410"/>
      <c r="R1410"/>
    </row>
    <row r="1411" spans="14:18" x14ac:dyDescent="0.25">
      <c r="N1411"/>
      <c r="O1411"/>
      <c r="P1411"/>
      <c r="Q1411"/>
      <c r="R1411"/>
    </row>
    <row r="1412" spans="14:18" x14ac:dyDescent="0.25">
      <c r="N1412"/>
      <c r="O1412"/>
      <c r="P1412"/>
      <c r="Q1412"/>
      <c r="R1412"/>
    </row>
    <row r="1413" spans="14:18" x14ac:dyDescent="0.25">
      <c r="N1413"/>
      <c r="O1413"/>
      <c r="P1413"/>
      <c r="Q1413"/>
      <c r="R1413"/>
    </row>
    <row r="1414" spans="14:18" x14ac:dyDescent="0.25">
      <c r="N1414"/>
      <c r="O1414"/>
      <c r="P1414"/>
      <c r="Q1414"/>
      <c r="R1414"/>
    </row>
    <row r="1415" spans="14:18" x14ac:dyDescent="0.25">
      <c r="N1415"/>
      <c r="O1415"/>
      <c r="P1415"/>
      <c r="Q1415"/>
      <c r="R1415"/>
    </row>
    <row r="1416" spans="14:18" x14ac:dyDescent="0.25">
      <c r="N1416"/>
      <c r="O1416"/>
      <c r="P1416"/>
      <c r="Q1416"/>
      <c r="R1416"/>
    </row>
    <row r="1417" spans="14:18" x14ac:dyDescent="0.25">
      <c r="N1417"/>
      <c r="O1417"/>
      <c r="P1417"/>
      <c r="Q1417"/>
      <c r="R1417"/>
    </row>
    <row r="1418" spans="14:18" x14ac:dyDescent="0.25">
      <c r="N1418"/>
      <c r="O1418"/>
      <c r="P1418"/>
      <c r="Q1418"/>
      <c r="R1418"/>
    </row>
    <row r="1419" spans="14:18" x14ac:dyDescent="0.25">
      <c r="N1419"/>
      <c r="O1419"/>
      <c r="P1419"/>
      <c r="Q1419"/>
      <c r="R1419"/>
    </row>
    <row r="1420" spans="14:18" x14ac:dyDescent="0.25">
      <c r="N1420"/>
      <c r="O1420"/>
      <c r="P1420"/>
      <c r="Q1420"/>
      <c r="R1420"/>
    </row>
    <row r="1421" spans="14:18" x14ac:dyDescent="0.25">
      <c r="N1421"/>
      <c r="O1421"/>
      <c r="P1421"/>
      <c r="Q1421"/>
      <c r="R1421"/>
    </row>
    <row r="1422" spans="14:18" x14ac:dyDescent="0.25">
      <c r="N1422"/>
      <c r="O1422"/>
      <c r="P1422"/>
      <c r="Q1422"/>
      <c r="R1422"/>
    </row>
    <row r="1423" spans="14:18" x14ac:dyDescent="0.25">
      <c r="N1423"/>
      <c r="O1423"/>
      <c r="P1423"/>
      <c r="Q1423"/>
      <c r="R1423"/>
    </row>
    <row r="1424" spans="14:18" x14ac:dyDescent="0.25">
      <c r="N1424"/>
      <c r="O1424"/>
      <c r="P1424"/>
      <c r="Q1424"/>
      <c r="R1424"/>
    </row>
    <row r="1425" spans="14:18" x14ac:dyDescent="0.25">
      <c r="N1425"/>
      <c r="O1425"/>
      <c r="P1425"/>
      <c r="Q1425"/>
      <c r="R1425"/>
    </row>
    <row r="1426" spans="14:18" x14ac:dyDescent="0.25">
      <c r="N1426"/>
      <c r="O1426"/>
      <c r="P1426"/>
      <c r="Q1426"/>
      <c r="R1426"/>
    </row>
    <row r="1427" spans="14:18" x14ac:dyDescent="0.25">
      <c r="N1427"/>
      <c r="O1427"/>
      <c r="P1427"/>
      <c r="Q1427"/>
      <c r="R1427"/>
    </row>
    <row r="1428" spans="14:18" x14ac:dyDescent="0.25">
      <c r="N1428"/>
      <c r="O1428"/>
      <c r="P1428"/>
      <c r="Q1428"/>
      <c r="R1428"/>
    </row>
    <row r="1429" spans="14:18" x14ac:dyDescent="0.25">
      <c r="N1429"/>
      <c r="O1429"/>
      <c r="P1429"/>
      <c r="Q1429"/>
      <c r="R1429"/>
    </row>
    <row r="1430" spans="14:18" x14ac:dyDescent="0.25">
      <c r="N1430"/>
      <c r="O1430"/>
      <c r="P1430"/>
      <c r="Q1430"/>
      <c r="R1430"/>
    </row>
    <row r="1431" spans="14:18" x14ac:dyDescent="0.25">
      <c r="N1431"/>
      <c r="O1431"/>
      <c r="P1431"/>
      <c r="Q1431"/>
      <c r="R1431"/>
    </row>
    <row r="1432" spans="14:18" x14ac:dyDescent="0.25">
      <c r="N1432"/>
      <c r="O1432"/>
      <c r="P1432"/>
      <c r="Q1432"/>
      <c r="R1432"/>
    </row>
    <row r="1433" spans="14:18" x14ac:dyDescent="0.25">
      <c r="N1433"/>
      <c r="O1433"/>
      <c r="P1433"/>
      <c r="Q1433"/>
      <c r="R1433"/>
    </row>
    <row r="1434" spans="14:18" x14ac:dyDescent="0.25">
      <c r="N1434"/>
      <c r="O1434"/>
      <c r="P1434"/>
      <c r="Q1434"/>
      <c r="R1434"/>
    </row>
    <row r="1435" spans="14:18" x14ac:dyDescent="0.25">
      <c r="N1435"/>
      <c r="O1435"/>
      <c r="P1435"/>
      <c r="Q1435"/>
      <c r="R1435"/>
    </row>
    <row r="1436" spans="14:18" x14ac:dyDescent="0.25">
      <c r="N1436"/>
      <c r="O1436"/>
      <c r="P1436"/>
      <c r="Q1436"/>
      <c r="R1436"/>
    </row>
    <row r="1437" spans="14:18" x14ac:dyDescent="0.25">
      <c r="N1437"/>
      <c r="O1437"/>
      <c r="P1437"/>
      <c r="Q1437"/>
      <c r="R1437"/>
    </row>
    <row r="1438" spans="14:18" x14ac:dyDescent="0.25">
      <c r="N1438"/>
      <c r="O1438"/>
      <c r="P1438"/>
      <c r="Q1438"/>
      <c r="R1438"/>
    </row>
    <row r="1439" spans="14:18" x14ac:dyDescent="0.25">
      <c r="N1439"/>
      <c r="O1439"/>
      <c r="P1439"/>
      <c r="Q1439"/>
      <c r="R1439"/>
    </row>
    <row r="1440" spans="14:18" x14ac:dyDescent="0.25">
      <c r="N1440"/>
      <c r="O1440"/>
      <c r="P1440"/>
      <c r="Q1440"/>
      <c r="R1440"/>
    </row>
    <row r="1441" spans="14:18" x14ac:dyDescent="0.25">
      <c r="N1441"/>
      <c r="O1441"/>
      <c r="P1441"/>
      <c r="Q1441"/>
      <c r="R1441"/>
    </row>
    <row r="1442" spans="14:18" x14ac:dyDescent="0.25">
      <c r="N1442"/>
      <c r="O1442"/>
      <c r="P1442"/>
      <c r="Q1442"/>
      <c r="R1442"/>
    </row>
    <row r="1443" spans="14:18" x14ac:dyDescent="0.25">
      <c r="N1443"/>
      <c r="O1443"/>
      <c r="P1443"/>
      <c r="Q1443"/>
      <c r="R1443"/>
    </row>
    <row r="1444" spans="14:18" x14ac:dyDescent="0.25">
      <c r="N1444"/>
      <c r="O1444"/>
      <c r="P1444"/>
      <c r="Q1444"/>
      <c r="R1444"/>
    </row>
    <row r="1445" spans="14:18" x14ac:dyDescent="0.25">
      <c r="N1445"/>
      <c r="O1445"/>
      <c r="P1445"/>
      <c r="Q1445"/>
      <c r="R1445"/>
    </row>
    <row r="1446" spans="14:18" x14ac:dyDescent="0.25">
      <c r="N1446"/>
      <c r="O1446"/>
      <c r="P1446"/>
      <c r="Q1446"/>
      <c r="R1446"/>
    </row>
    <row r="1447" spans="14:18" x14ac:dyDescent="0.25">
      <c r="N1447"/>
      <c r="O1447"/>
      <c r="P1447"/>
      <c r="Q1447"/>
      <c r="R1447"/>
    </row>
    <row r="1448" spans="14:18" x14ac:dyDescent="0.25">
      <c r="N1448"/>
      <c r="O1448"/>
      <c r="P1448"/>
      <c r="Q1448"/>
      <c r="R1448"/>
    </row>
    <row r="1449" spans="14:18" x14ac:dyDescent="0.25">
      <c r="N1449"/>
      <c r="O1449"/>
      <c r="P1449"/>
      <c r="Q1449"/>
      <c r="R1449"/>
    </row>
    <row r="1450" spans="14:18" x14ac:dyDescent="0.25">
      <c r="N1450"/>
      <c r="O1450"/>
      <c r="P1450"/>
      <c r="Q1450"/>
      <c r="R1450"/>
    </row>
    <row r="1451" spans="14:18" x14ac:dyDescent="0.25">
      <c r="N1451"/>
      <c r="O1451"/>
      <c r="P1451"/>
      <c r="Q1451"/>
      <c r="R1451"/>
    </row>
    <row r="1452" spans="14:18" x14ac:dyDescent="0.25">
      <c r="N1452"/>
      <c r="O1452"/>
      <c r="P1452"/>
      <c r="Q1452"/>
      <c r="R1452"/>
    </row>
    <row r="1453" spans="14:18" x14ac:dyDescent="0.25">
      <c r="N1453"/>
      <c r="O1453"/>
      <c r="P1453"/>
      <c r="Q1453"/>
      <c r="R1453"/>
    </row>
    <row r="1454" spans="14:18" x14ac:dyDescent="0.25">
      <c r="N1454"/>
      <c r="O1454"/>
      <c r="P1454"/>
      <c r="Q1454"/>
      <c r="R1454"/>
    </row>
    <row r="1455" spans="14:18" x14ac:dyDescent="0.25">
      <c r="N1455"/>
      <c r="O1455"/>
      <c r="P1455"/>
      <c r="Q1455"/>
      <c r="R1455"/>
    </row>
    <row r="1456" spans="14:18" x14ac:dyDescent="0.25">
      <c r="N1456"/>
      <c r="O1456"/>
      <c r="P1456"/>
      <c r="Q1456"/>
      <c r="R1456"/>
    </row>
    <row r="1457" spans="14:18" x14ac:dyDescent="0.25">
      <c r="N1457"/>
      <c r="O1457"/>
      <c r="P1457"/>
      <c r="Q1457"/>
      <c r="R1457"/>
    </row>
    <row r="1458" spans="14:18" x14ac:dyDescent="0.25">
      <c r="N1458"/>
      <c r="O1458"/>
      <c r="P1458"/>
      <c r="Q1458"/>
      <c r="R1458"/>
    </row>
    <row r="1459" spans="14:18" x14ac:dyDescent="0.25">
      <c r="N1459"/>
      <c r="O1459"/>
      <c r="P1459"/>
      <c r="Q1459"/>
      <c r="R1459"/>
    </row>
    <row r="1460" spans="14:18" x14ac:dyDescent="0.25">
      <c r="N1460"/>
      <c r="O1460"/>
      <c r="P1460"/>
      <c r="Q1460"/>
      <c r="R1460"/>
    </row>
    <row r="1461" spans="14:18" x14ac:dyDescent="0.25">
      <c r="N1461"/>
      <c r="O1461"/>
      <c r="P1461"/>
      <c r="Q1461"/>
      <c r="R1461"/>
    </row>
    <row r="1462" spans="14:18" x14ac:dyDescent="0.25">
      <c r="N1462"/>
      <c r="O1462"/>
      <c r="P1462"/>
      <c r="Q1462"/>
      <c r="R1462"/>
    </row>
    <row r="1463" spans="14:18" x14ac:dyDescent="0.25">
      <c r="N1463"/>
      <c r="O1463"/>
      <c r="P1463"/>
      <c r="Q1463"/>
      <c r="R1463"/>
    </row>
    <row r="1464" spans="14:18" x14ac:dyDescent="0.25">
      <c r="N1464"/>
      <c r="O1464"/>
      <c r="P1464"/>
      <c r="Q1464"/>
      <c r="R1464"/>
    </row>
    <row r="1465" spans="14:18" x14ac:dyDescent="0.25">
      <c r="N1465"/>
      <c r="O1465"/>
      <c r="P1465"/>
      <c r="Q1465"/>
      <c r="R1465"/>
    </row>
    <row r="1466" spans="14:18" x14ac:dyDescent="0.25">
      <c r="N1466"/>
      <c r="O1466"/>
      <c r="P1466"/>
      <c r="Q1466"/>
      <c r="R1466"/>
    </row>
    <row r="1467" spans="14:18" x14ac:dyDescent="0.25">
      <c r="N1467"/>
      <c r="O1467"/>
      <c r="P1467"/>
      <c r="Q1467"/>
      <c r="R1467"/>
    </row>
    <row r="1468" spans="14:18" x14ac:dyDescent="0.25">
      <c r="N1468"/>
      <c r="O1468"/>
      <c r="P1468"/>
      <c r="Q1468"/>
      <c r="R1468"/>
    </row>
    <row r="1469" spans="14:18" x14ac:dyDescent="0.25">
      <c r="N1469"/>
      <c r="O1469"/>
      <c r="P1469"/>
      <c r="Q1469"/>
      <c r="R1469"/>
    </row>
    <row r="1470" spans="14:18" x14ac:dyDescent="0.25">
      <c r="N1470"/>
      <c r="O1470"/>
      <c r="P1470"/>
      <c r="Q1470"/>
      <c r="R1470"/>
    </row>
    <row r="1471" spans="14:18" x14ac:dyDescent="0.25">
      <c r="N1471"/>
      <c r="O1471"/>
      <c r="P1471"/>
      <c r="Q1471"/>
      <c r="R1471"/>
    </row>
    <row r="1472" spans="14:18" x14ac:dyDescent="0.25">
      <c r="N1472"/>
      <c r="O1472"/>
      <c r="P1472"/>
      <c r="Q1472"/>
      <c r="R1472"/>
    </row>
    <row r="1473" spans="14:18" x14ac:dyDescent="0.25">
      <c r="N1473"/>
      <c r="O1473"/>
      <c r="P1473"/>
      <c r="Q1473"/>
      <c r="R1473"/>
    </row>
    <row r="1474" spans="14:18" x14ac:dyDescent="0.25">
      <c r="N1474"/>
      <c r="O1474"/>
      <c r="P1474"/>
      <c r="Q1474"/>
      <c r="R1474"/>
    </row>
    <row r="1475" spans="14:18" x14ac:dyDescent="0.25">
      <c r="N1475"/>
      <c r="O1475"/>
      <c r="P1475"/>
      <c r="Q1475"/>
      <c r="R1475"/>
    </row>
    <row r="1476" spans="14:18" x14ac:dyDescent="0.25">
      <c r="N1476"/>
      <c r="O1476"/>
      <c r="P1476"/>
      <c r="Q1476"/>
      <c r="R1476"/>
    </row>
    <row r="1477" spans="14:18" x14ac:dyDescent="0.25">
      <c r="N1477"/>
      <c r="O1477"/>
      <c r="P1477"/>
      <c r="Q1477"/>
      <c r="R1477"/>
    </row>
    <row r="1478" spans="14:18" x14ac:dyDescent="0.25">
      <c r="N1478"/>
      <c r="O1478"/>
      <c r="P1478"/>
      <c r="Q1478"/>
      <c r="R1478"/>
    </row>
    <row r="1479" spans="14:18" x14ac:dyDescent="0.25">
      <c r="N1479"/>
      <c r="O1479"/>
      <c r="P1479"/>
      <c r="Q1479"/>
      <c r="R1479"/>
    </row>
    <row r="1480" spans="14:18" x14ac:dyDescent="0.25">
      <c r="N1480"/>
      <c r="O1480"/>
      <c r="P1480"/>
      <c r="Q1480"/>
      <c r="R1480"/>
    </row>
    <row r="1481" spans="14:18" x14ac:dyDescent="0.25">
      <c r="N1481"/>
      <c r="O1481"/>
      <c r="P1481"/>
      <c r="Q1481"/>
      <c r="R1481"/>
    </row>
    <row r="1482" spans="14:18" x14ac:dyDescent="0.25">
      <c r="N1482"/>
      <c r="O1482"/>
      <c r="P1482"/>
      <c r="Q1482"/>
      <c r="R1482"/>
    </row>
    <row r="1483" spans="14:18" x14ac:dyDescent="0.25">
      <c r="N1483"/>
      <c r="O1483"/>
      <c r="P1483"/>
      <c r="Q1483"/>
      <c r="R1483"/>
    </row>
    <row r="1484" spans="14:18" x14ac:dyDescent="0.25">
      <c r="N1484"/>
      <c r="O1484"/>
      <c r="P1484"/>
      <c r="Q1484"/>
      <c r="R1484"/>
    </row>
    <row r="1485" spans="14:18" x14ac:dyDescent="0.25">
      <c r="N1485"/>
      <c r="O1485"/>
      <c r="P1485"/>
      <c r="Q1485"/>
      <c r="R1485"/>
    </row>
    <row r="1486" spans="14:18" x14ac:dyDescent="0.25">
      <c r="N1486"/>
      <c r="O1486"/>
      <c r="P1486"/>
      <c r="Q1486"/>
      <c r="R1486"/>
    </row>
    <row r="1487" spans="14:18" x14ac:dyDescent="0.25">
      <c r="N1487"/>
      <c r="O1487"/>
      <c r="P1487"/>
      <c r="Q1487"/>
      <c r="R1487"/>
    </row>
    <row r="1488" spans="14:18" x14ac:dyDescent="0.25">
      <c r="N1488"/>
      <c r="O1488"/>
      <c r="P1488"/>
      <c r="Q1488"/>
      <c r="R1488"/>
    </row>
    <row r="1489" spans="14:18" x14ac:dyDescent="0.25">
      <c r="N1489"/>
      <c r="O1489"/>
      <c r="P1489"/>
      <c r="Q1489"/>
      <c r="R1489"/>
    </row>
    <row r="1490" spans="14:18" x14ac:dyDescent="0.25">
      <c r="N1490"/>
      <c r="O1490"/>
      <c r="P1490"/>
      <c r="Q1490"/>
      <c r="R1490"/>
    </row>
    <row r="1491" spans="14:18" x14ac:dyDescent="0.25">
      <c r="N1491"/>
      <c r="O1491"/>
      <c r="P1491"/>
      <c r="Q1491"/>
      <c r="R1491"/>
    </row>
    <row r="1492" spans="14:18" x14ac:dyDescent="0.25">
      <c r="N1492"/>
      <c r="O1492"/>
      <c r="P1492"/>
      <c r="Q1492"/>
      <c r="R1492"/>
    </row>
    <row r="1493" spans="14:18" x14ac:dyDescent="0.25">
      <c r="N1493"/>
      <c r="O1493"/>
      <c r="P1493"/>
      <c r="Q1493"/>
      <c r="R1493"/>
    </row>
    <row r="1494" spans="14:18" x14ac:dyDescent="0.25">
      <c r="N1494"/>
      <c r="O1494"/>
      <c r="P1494"/>
      <c r="Q1494"/>
      <c r="R1494"/>
    </row>
    <row r="1495" spans="14:18" x14ac:dyDescent="0.25">
      <c r="N1495"/>
      <c r="O1495"/>
      <c r="P1495"/>
      <c r="Q1495"/>
      <c r="R1495"/>
    </row>
    <row r="1496" spans="14:18" x14ac:dyDescent="0.25">
      <c r="N1496"/>
      <c r="O1496"/>
      <c r="P1496"/>
      <c r="Q1496"/>
      <c r="R1496"/>
    </row>
    <row r="1497" spans="14:18" x14ac:dyDescent="0.25">
      <c r="N1497"/>
      <c r="O1497"/>
      <c r="P1497"/>
      <c r="Q1497"/>
      <c r="R1497"/>
    </row>
    <row r="1498" spans="14:18" x14ac:dyDescent="0.25">
      <c r="N1498"/>
      <c r="O1498"/>
      <c r="P1498"/>
      <c r="Q1498"/>
      <c r="R1498"/>
    </row>
    <row r="1499" spans="14:18" x14ac:dyDescent="0.25">
      <c r="N1499"/>
      <c r="O1499"/>
      <c r="P1499"/>
      <c r="Q1499"/>
      <c r="R1499"/>
    </row>
    <row r="1500" spans="14:18" x14ac:dyDescent="0.25">
      <c r="N1500"/>
      <c r="O1500"/>
      <c r="P1500"/>
      <c r="Q1500"/>
      <c r="R1500"/>
    </row>
    <row r="1501" spans="14:18" x14ac:dyDescent="0.25">
      <c r="N1501"/>
      <c r="O1501"/>
      <c r="P1501"/>
      <c r="Q1501"/>
      <c r="R1501"/>
    </row>
    <row r="1502" spans="14:18" x14ac:dyDescent="0.25">
      <c r="N1502"/>
      <c r="O1502"/>
      <c r="P1502"/>
      <c r="Q1502"/>
      <c r="R1502"/>
    </row>
    <row r="1503" spans="14:18" x14ac:dyDescent="0.25">
      <c r="N1503"/>
      <c r="O1503"/>
      <c r="P1503"/>
      <c r="Q1503"/>
      <c r="R1503"/>
    </row>
    <row r="1504" spans="14:18" x14ac:dyDescent="0.25">
      <c r="N1504"/>
      <c r="O1504"/>
      <c r="P1504"/>
      <c r="Q1504"/>
      <c r="R1504"/>
    </row>
    <row r="1505" spans="14:18" x14ac:dyDescent="0.25">
      <c r="N1505"/>
      <c r="O1505"/>
      <c r="P1505"/>
      <c r="Q1505"/>
      <c r="R1505"/>
    </row>
    <row r="1506" spans="14:18" x14ac:dyDescent="0.25">
      <c r="N1506"/>
      <c r="O1506"/>
      <c r="P1506"/>
      <c r="Q1506"/>
      <c r="R1506"/>
    </row>
    <row r="1507" spans="14:18" x14ac:dyDescent="0.25">
      <c r="N1507"/>
      <c r="O1507"/>
      <c r="P1507"/>
      <c r="Q1507"/>
      <c r="R1507"/>
    </row>
    <row r="1508" spans="14:18" x14ac:dyDescent="0.25">
      <c r="N1508"/>
      <c r="O1508"/>
      <c r="P1508"/>
      <c r="Q1508"/>
      <c r="R1508"/>
    </row>
    <row r="1509" spans="14:18" x14ac:dyDescent="0.25">
      <c r="N1509"/>
      <c r="O1509"/>
      <c r="P1509"/>
      <c r="Q1509"/>
      <c r="R1509"/>
    </row>
    <row r="1510" spans="14:18" x14ac:dyDescent="0.25">
      <c r="N1510"/>
      <c r="O1510"/>
      <c r="P1510"/>
      <c r="Q1510"/>
      <c r="R1510"/>
    </row>
    <row r="1511" spans="14:18" x14ac:dyDescent="0.25">
      <c r="N1511"/>
      <c r="O1511"/>
      <c r="P1511"/>
      <c r="Q1511"/>
      <c r="R1511"/>
    </row>
    <row r="1512" spans="14:18" x14ac:dyDescent="0.25">
      <c r="N1512"/>
      <c r="O1512"/>
      <c r="P1512"/>
      <c r="Q1512"/>
      <c r="R1512"/>
    </row>
    <row r="1513" spans="14:18" x14ac:dyDescent="0.25">
      <c r="N1513"/>
      <c r="O1513"/>
      <c r="P1513"/>
      <c r="Q1513"/>
      <c r="R1513"/>
    </row>
    <row r="1514" spans="14:18" x14ac:dyDescent="0.25">
      <c r="N1514"/>
      <c r="O1514"/>
      <c r="P1514"/>
      <c r="Q1514"/>
      <c r="R1514"/>
    </row>
    <row r="1515" spans="14:18" x14ac:dyDescent="0.25">
      <c r="N1515"/>
      <c r="O1515"/>
      <c r="P1515"/>
      <c r="Q1515"/>
      <c r="R1515"/>
    </row>
    <row r="1516" spans="14:18" x14ac:dyDescent="0.25">
      <c r="N1516"/>
      <c r="O1516"/>
      <c r="P1516"/>
      <c r="Q1516"/>
      <c r="R1516"/>
    </row>
    <row r="1517" spans="14:18" x14ac:dyDescent="0.25">
      <c r="N1517"/>
      <c r="O1517"/>
      <c r="P1517"/>
      <c r="Q1517"/>
      <c r="R1517"/>
    </row>
    <row r="1518" spans="14:18" x14ac:dyDescent="0.25">
      <c r="N1518"/>
      <c r="O1518"/>
      <c r="P1518"/>
      <c r="Q1518"/>
      <c r="R1518"/>
    </row>
    <row r="1519" spans="14:18" x14ac:dyDescent="0.25">
      <c r="N1519"/>
      <c r="O1519"/>
      <c r="P1519"/>
      <c r="Q1519"/>
      <c r="R1519"/>
    </row>
    <row r="1520" spans="14:18" x14ac:dyDescent="0.25">
      <c r="N1520"/>
      <c r="O1520"/>
      <c r="P1520"/>
      <c r="Q1520"/>
      <c r="R1520"/>
    </row>
    <row r="1521" spans="14:18" x14ac:dyDescent="0.25">
      <c r="N1521"/>
      <c r="O1521"/>
      <c r="P1521"/>
      <c r="Q1521"/>
      <c r="R1521"/>
    </row>
    <row r="1522" spans="14:18" x14ac:dyDescent="0.25">
      <c r="N1522"/>
      <c r="O1522"/>
      <c r="P1522"/>
      <c r="Q1522"/>
      <c r="R1522"/>
    </row>
    <row r="1523" spans="14:18" x14ac:dyDescent="0.25">
      <c r="N1523"/>
      <c r="O1523"/>
      <c r="P1523"/>
      <c r="Q1523"/>
      <c r="R1523"/>
    </row>
    <row r="1524" spans="14:18" x14ac:dyDescent="0.25">
      <c r="N1524"/>
      <c r="O1524"/>
      <c r="P1524"/>
      <c r="Q1524"/>
      <c r="R1524"/>
    </row>
    <row r="1525" spans="14:18" x14ac:dyDescent="0.25">
      <c r="N1525"/>
      <c r="O1525"/>
      <c r="P1525"/>
      <c r="Q1525"/>
      <c r="R1525"/>
    </row>
    <row r="1526" spans="14:18" x14ac:dyDescent="0.25">
      <c r="N1526"/>
      <c r="O1526"/>
      <c r="P1526"/>
      <c r="Q1526"/>
      <c r="R1526"/>
    </row>
    <row r="1527" spans="14:18" x14ac:dyDescent="0.25">
      <c r="N1527"/>
      <c r="O1527"/>
      <c r="P1527"/>
      <c r="Q1527"/>
      <c r="R1527"/>
    </row>
    <row r="1528" spans="14:18" x14ac:dyDescent="0.25">
      <c r="N1528"/>
      <c r="O1528"/>
      <c r="P1528"/>
      <c r="Q1528"/>
      <c r="R1528"/>
    </row>
    <row r="1529" spans="14:18" x14ac:dyDescent="0.25">
      <c r="N1529"/>
      <c r="O1529"/>
      <c r="P1529"/>
      <c r="Q1529"/>
      <c r="R1529"/>
    </row>
    <row r="1530" spans="14:18" x14ac:dyDescent="0.25">
      <c r="N1530"/>
      <c r="O1530"/>
      <c r="P1530"/>
      <c r="Q1530"/>
      <c r="R1530"/>
    </row>
    <row r="1531" spans="14:18" x14ac:dyDescent="0.25">
      <c r="N1531"/>
      <c r="O1531"/>
      <c r="P1531"/>
      <c r="Q1531"/>
      <c r="R1531"/>
    </row>
    <row r="1532" spans="14:18" x14ac:dyDescent="0.25">
      <c r="N1532"/>
      <c r="O1532"/>
      <c r="P1532"/>
      <c r="Q1532"/>
      <c r="R1532"/>
    </row>
    <row r="1533" spans="14:18" x14ac:dyDescent="0.25">
      <c r="N1533"/>
      <c r="O1533"/>
      <c r="P1533"/>
      <c r="Q1533"/>
      <c r="R1533"/>
    </row>
    <row r="1534" spans="14:18" x14ac:dyDescent="0.25">
      <c r="N1534"/>
      <c r="O1534"/>
      <c r="P1534"/>
      <c r="Q1534"/>
      <c r="R1534"/>
    </row>
    <row r="1535" spans="14:18" x14ac:dyDescent="0.25">
      <c r="N1535"/>
      <c r="O1535"/>
      <c r="P1535"/>
      <c r="Q1535"/>
      <c r="R1535"/>
    </row>
    <row r="1536" spans="14:18" x14ac:dyDescent="0.25">
      <c r="N1536"/>
      <c r="O1536"/>
      <c r="P1536"/>
      <c r="Q1536"/>
      <c r="R1536"/>
    </row>
    <row r="1537" spans="14:18" x14ac:dyDescent="0.25">
      <c r="N1537"/>
      <c r="O1537"/>
      <c r="P1537"/>
      <c r="Q1537"/>
      <c r="R1537"/>
    </row>
    <row r="1538" spans="14:18" x14ac:dyDescent="0.25">
      <c r="N1538"/>
      <c r="O1538"/>
      <c r="P1538"/>
      <c r="Q1538"/>
      <c r="R1538"/>
    </row>
    <row r="1539" spans="14:18" x14ac:dyDescent="0.25">
      <c r="N1539"/>
      <c r="O1539"/>
      <c r="P1539"/>
      <c r="Q1539"/>
      <c r="R1539"/>
    </row>
    <row r="1540" spans="14:18" x14ac:dyDescent="0.25">
      <c r="N1540"/>
      <c r="O1540"/>
      <c r="P1540"/>
      <c r="Q1540"/>
      <c r="R1540"/>
    </row>
    <row r="1541" spans="14:18" x14ac:dyDescent="0.25">
      <c r="N1541"/>
      <c r="O1541"/>
      <c r="P1541"/>
      <c r="Q1541"/>
      <c r="R1541"/>
    </row>
    <row r="1542" spans="14:18" x14ac:dyDescent="0.25">
      <c r="N1542"/>
      <c r="O1542"/>
      <c r="P1542"/>
      <c r="Q1542"/>
      <c r="R1542"/>
    </row>
    <row r="1543" spans="14:18" x14ac:dyDescent="0.25">
      <c r="N1543"/>
      <c r="O1543"/>
      <c r="P1543"/>
      <c r="Q1543"/>
      <c r="R1543"/>
    </row>
    <row r="1544" spans="14:18" x14ac:dyDescent="0.25">
      <c r="N1544"/>
      <c r="O1544"/>
      <c r="P1544"/>
      <c r="Q1544"/>
      <c r="R1544"/>
    </row>
    <row r="1545" spans="14:18" x14ac:dyDescent="0.25">
      <c r="N1545"/>
      <c r="O1545"/>
      <c r="P1545"/>
      <c r="Q1545"/>
      <c r="R1545"/>
    </row>
    <row r="1546" spans="14:18" x14ac:dyDescent="0.25">
      <c r="N1546"/>
      <c r="O1546"/>
      <c r="P1546"/>
      <c r="Q1546"/>
      <c r="R1546"/>
    </row>
    <row r="1547" spans="14:18" x14ac:dyDescent="0.25">
      <c r="N1547"/>
      <c r="O1547"/>
      <c r="P1547"/>
      <c r="Q1547"/>
      <c r="R1547"/>
    </row>
    <row r="1548" spans="14:18" x14ac:dyDescent="0.25">
      <c r="N1548"/>
      <c r="O1548"/>
      <c r="P1548"/>
      <c r="Q1548"/>
      <c r="R1548"/>
    </row>
    <row r="1549" spans="14:18" x14ac:dyDescent="0.25">
      <c r="N1549"/>
      <c r="O1549"/>
      <c r="P1549"/>
      <c r="Q1549"/>
      <c r="R1549"/>
    </row>
    <row r="1550" spans="14:18" x14ac:dyDescent="0.25">
      <c r="N1550"/>
      <c r="O1550"/>
      <c r="P1550"/>
      <c r="Q1550"/>
      <c r="R1550"/>
    </row>
    <row r="1551" spans="14:18" x14ac:dyDescent="0.25">
      <c r="N1551"/>
      <c r="O1551"/>
      <c r="P1551"/>
      <c r="Q1551"/>
      <c r="R1551"/>
    </row>
    <row r="1552" spans="14:18" x14ac:dyDescent="0.25">
      <c r="N1552"/>
      <c r="O1552"/>
      <c r="P1552"/>
      <c r="Q1552"/>
      <c r="R1552"/>
    </row>
    <row r="1553" spans="14:18" x14ac:dyDescent="0.25">
      <c r="N1553"/>
      <c r="O1553"/>
      <c r="P1553"/>
      <c r="Q1553"/>
      <c r="R1553"/>
    </row>
    <row r="1554" spans="14:18" x14ac:dyDescent="0.25">
      <c r="N1554"/>
      <c r="O1554"/>
      <c r="P1554"/>
      <c r="Q1554"/>
      <c r="R1554"/>
    </row>
    <row r="1555" spans="14:18" x14ac:dyDescent="0.25">
      <c r="N1555"/>
      <c r="O1555"/>
      <c r="P1555"/>
      <c r="Q1555"/>
      <c r="R1555"/>
    </row>
    <row r="1556" spans="14:18" x14ac:dyDescent="0.25">
      <c r="N1556"/>
      <c r="O1556"/>
      <c r="P1556"/>
      <c r="Q1556"/>
      <c r="R1556"/>
    </row>
    <row r="1557" spans="14:18" x14ac:dyDescent="0.25">
      <c r="N1557"/>
      <c r="O1557"/>
      <c r="P1557"/>
      <c r="Q1557"/>
      <c r="R1557"/>
    </row>
    <row r="1558" spans="14:18" x14ac:dyDescent="0.25">
      <c r="N1558"/>
      <c r="O1558"/>
      <c r="P1558"/>
      <c r="Q1558"/>
      <c r="R1558"/>
    </row>
    <row r="1559" spans="14:18" x14ac:dyDescent="0.25">
      <c r="N1559"/>
      <c r="O1559"/>
      <c r="P1559"/>
      <c r="Q1559"/>
      <c r="R1559"/>
    </row>
    <row r="1560" spans="14:18" x14ac:dyDescent="0.25">
      <c r="N1560"/>
      <c r="O1560"/>
      <c r="P1560"/>
      <c r="Q1560"/>
      <c r="R1560"/>
    </row>
    <row r="1561" spans="14:18" x14ac:dyDescent="0.25">
      <c r="N1561"/>
      <c r="O1561"/>
      <c r="P1561"/>
      <c r="Q1561"/>
      <c r="R1561"/>
    </row>
    <row r="1562" spans="14:18" x14ac:dyDescent="0.25">
      <c r="N1562"/>
      <c r="O1562"/>
      <c r="P1562"/>
      <c r="Q1562"/>
      <c r="R1562"/>
    </row>
    <row r="1563" spans="14:18" x14ac:dyDescent="0.25">
      <c r="N1563"/>
      <c r="O1563"/>
      <c r="P1563"/>
      <c r="Q1563"/>
      <c r="R1563"/>
    </row>
    <row r="1564" spans="14:18" x14ac:dyDescent="0.25">
      <c r="N1564"/>
      <c r="O1564"/>
      <c r="P1564"/>
      <c r="Q1564"/>
      <c r="R1564"/>
    </row>
    <row r="1565" spans="14:18" x14ac:dyDescent="0.25">
      <c r="N1565"/>
      <c r="O1565"/>
      <c r="P1565"/>
      <c r="Q1565"/>
      <c r="R1565"/>
    </row>
    <row r="1566" spans="14:18" x14ac:dyDescent="0.25">
      <c r="N1566"/>
      <c r="O1566"/>
      <c r="P1566"/>
      <c r="Q1566"/>
      <c r="R1566"/>
    </row>
    <row r="1567" spans="14:18" x14ac:dyDescent="0.25">
      <c r="N1567"/>
      <c r="O1567"/>
      <c r="P1567"/>
      <c r="Q1567"/>
      <c r="R1567"/>
    </row>
    <row r="1568" spans="14:18" x14ac:dyDescent="0.25">
      <c r="N1568"/>
      <c r="O1568"/>
      <c r="P1568"/>
      <c r="Q1568"/>
      <c r="R1568"/>
    </row>
    <row r="1569" spans="14:18" x14ac:dyDescent="0.25">
      <c r="N1569"/>
      <c r="O1569"/>
      <c r="P1569"/>
      <c r="Q1569"/>
      <c r="R1569"/>
    </row>
    <row r="1570" spans="14:18" x14ac:dyDescent="0.25">
      <c r="N1570"/>
      <c r="O1570"/>
      <c r="P1570"/>
      <c r="Q1570"/>
      <c r="R1570"/>
    </row>
    <row r="1571" spans="14:18" x14ac:dyDescent="0.25">
      <c r="N1571"/>
      <c r="O1571"/>
      <c r="P1571"/>
      <c r="Q1571"/>
      <c r="R1571"/>
    </row>
    <row r="1572" spans="14:18" x14ac:dyDescent="0.25">
      <c r="N1572"/>
      <c r="O1572"/>
      <c r="P1572"/>
      <c r="Q1572"/>
      <c r="R1572"/>
    </row>
    <row r="1573" spans="14:18" x14ac:dyDescent="0.25">
      <c r="N1573"/>
      <c r="O1573"/>
      <c r="P1573"/>
      <c r="Q1573"/>
      <c r="R1573"/>
    </row>
    <row r="1574" spans="14:18" x14ac:dyDescent="0.25">
      <c r="N1574"/>
      <c r="O1574"/>
      <c r="P1574"/>
      <c r="Q1574"/>
      <c r="R1574"/>
    </row>
    <row r="1575" spans="14:18" x14ac:dyDescent="0.25">
      <c r="N1575"/>
      <c r="O1575"/>
      <c r="P1575"/>
      <c r="Q1575"/>
      <c r="R1575"/>
    </row>
    <row r="1576" spans="14:18" x14ac:dyDescent="0.25">
      <c r="N1576"/>
      <c r="O1576"/>
      <c r="P1576"/>
      <c r="Q1576"/>
      <c r="R1576"/>
    </row>
    <row r="1577" spans="14:18" x14ac:dyDescent="0.25">
      <c r="N1577"/>
      <c r="O1577"/>
      <c r="P1577"/>
      <c r="Q1577"/>
      <c r="R1577"/>
    </row>
    <row r="1578" spans="14:18" x14ac:dyDescent="0.25">
      <c r="N1578"/>
      <c r="O1578"/>
      <c r="P1578"/>
      <c r="Q1578"/>
      <c r="R1578"/>
    </row>
    <row r="1579" spans="14:18" x14ac:dyDescent="0.25">
      <c r="N1579"/>
      <c r="O1579"/>
      <c r="P1579"/>
      <c r="Q1579"/>
      <c r="R1579"/>
    </row>
    <row r="1580" spans="14:18" x14ac:dyDescent="0.25">
      <c r="N1580"/>
      <c r="O1580"/>
      <c r="P1580"/>
      <c r="Q1580"/>
      <c r="R1580"/>
    </row>
    <row r="1581" spans="14:18" x14ac:dyDescent="0.25">
      <c r="N1581"/>
      <c r="O1581"/>
      <c r="P1581"/>
      <c r="Q1581"/>
      <c r="R1581"/>
    </row>
    <row r="1582" spans="14:18" x14ac:dyDescent="0.25">
      <c r="N1582"/>
      <c r="O1582"/>
      <c r="P1582"/>
      <c r="Q1582"/>
      <c r="R1582"/>
    </row>
    <row r="1583" spans="14:18" x14ac:dyDescent="0.25">
      <c r="N1583"/>
      <c r="O1583"/>
      <c r="P1583"/>
      <c r="Q1583"/>
      <c r="R1583"/>
    </row>
    <row r="1584" spans="14:18" x14ac:dyDescent="0.25">
      <c r="N1584"/>
      <c r="O1584"/>
      <c r="P1584"/>
      <c r="Q1584"/>
      <c r="R1584"/>
    </row>
    <row r="1585" spans="14:18" x14ac:dyDescent="0.25">
      <c r="N1585"/>
      <c r="O1585"/>
      <c r="P1585"/>
      <c r="Q1585"/>
      <c r="R1585"/>
    </row>
    <row r="1586" spans="14:18" x14ac:dyDescent="0.25">
      <c r="N1586"/>
      <c r="O1586"/>
      <c r="P1586"/>
      <c r="Q1586"/>
      <c r="R1586"/>
    </row>
    <row r="1587" spans="14:18" x14ac:dyDescent="0.25">
      <c r="N1587"/>
      <c r="O1587"/>
      <c r="P1587"/>
      <c r="Q1587"/>
      <c r="R1587"/>
    </row>
    <row r="1588" spans="14:18" x14ac:dyDescent="0.25">
      <c r="N1588"/>
      <c r="O1588"/>
      <c r="P1588"/>
      <c r="Q1588"/>
      <c r="R1588"/>
    </row>
    <row r="1589" spans="14:18" x14ac:dyDescent="0.25">
      <c r="N1589"/>
      <c r="O1589"/>
      <c r="P1589"/>
      <c r="Q1589"/>
      <c r="R1589"/>
    </row>
    <row r="1590" spans="14:18" x14ac:dyDescent="0.25">
      <c r="N1590"/>
      <c r="O1590"/>
      <c r="P1590"/>
      <c r="Q1590"/>
      <c r="R1590"/>
    </row>
    <row r="1591" spans="14:18" x14ac:dyDescent="0.25">
      <c r="N1591"/>
      <c r="O1591"/>
      <c r="P1591"/>
      <c r="Q1591"/>
      <c r="R1591"/>
    </row>
    <row r="1592" spans="14:18" x14ac:dyDescent="0.25">
      <c r="N1592"/>
      <c r="O1592"/>
      <c r="P1592"/>
      <c r="Q1592"/>
      <c r="R1592"/>
    </row>
    <row r="1593" spans="14:18" x14ac:dyDescent="0.25">
      <c r="N1593"/>
      <c r="O1593"/>
      <c r="P1593"/>
      <c r="Q1593"/>
      <c r="R1593"/>
    </row>
    <row r="1594" spans="14:18" x14ac:dyDescent="0.25">
      <c r="N1594"/>
      <c r="O1594"/>
      <c r="P1594"/>
      <c r="Q1594"/>
      <c r="R1594"/>
    </row>
    <row r="1595" spans="14:18" x14ac:dyDescent="0.25">
      <c r="N1595"/>
      <c r="O1595"/>
      <c r="P1595"/>
      <c r="Q1595"/>
      <c r="R1595"/>
    </row>
    <row r="1596" spans="14:18" x14ac:dyDescent="0.25">
      <c r="N1596"/>
      <c r="O1596"/>
      <c r="P1596"/>
      <c r="Q1596"/>
      <c r="R1596"/>
    </row>
    <row r="1597" spans="14:18" x14ac:dyDescent="0.25">
      <c r="N1597"/>
      <c r="O1597"/>
      <c r="P1597"/>
      <c r="Q1597"/>
      <c r="R1597"/>
    </row>
    <row r="1598" spans="14:18" x14ac:dyDescent="0.25">
      <c r="N1598"/>
      <c r="O1598"/>
      <c r="P1598"/>
      <c r="Q1598"/>
      <c r="R1598"/>
    </row>
    <row r="1599" spans="14:18" x14ac:dyDescent="0.25">
      <c r="N1599"/>
      <c r="O1599"/>
      <c r="P1599"/>
      <c r="Q1599"/>
      <c r="R1599"/>
    </row>
    <row r="1600" spans="14:18" x14ac:dyDescent="0.25">
      <c r="N1600"/>
      <c r="O1600"/>
      <c r="P1600"/>
      <c r="Q1600"/>
      <c r="R1600"/>
    </row>
    <row r="1601" spans="14:18" x14ac:dyDescent="0.25">
      <c r="N1601"/>
      <c r="O1601"/>
      <c r="P1601"/>
      <c r="Q1601"/>
      <c r="R1601"/>
    </row>
    <row r="1602" spans="14:18" x14ac:dyDescent="0.25">
      <c r="N1602"/>
      <c r="O1602"/>
      <c r="P1602"/>
      <c r="Q1602"/>
      <c r="R1602"/>
    </row>
    <row r="1603" spans="14:18" x14ac:dyDescent="0.25">
      <c r="N1603"/>
      <c r="O1603"/>
      <c r="P1603"/>
      <c r="Q1603"/>
      <c r="R1603"/>
    </row>
    <row r="1604" spans="14:18" x14ac:dyDescent="0.25">
      <c r="N1604"/>
      <c r="O1604"/>
      <c r="P1604"/>
      <c r="Q1604"/>
      <c r="R1604"/>
    </row>
    <row r="1605" spans="14:18" x14ac:dyDescent="0.25">
      <c r="N1605"/>
      <c r="O1605"/>
      <c r="P1605"/>
      <c r="Q1605"/>
      <c r="R1605"/>
    </row>
    <row r="1606" spans="14:18" x14ac:dyDescent="0.25">
      <c r="N1606"/>
      <c r="O1606"/>
      <c r="P1606"/>
      <c r="Q1606"/>
      <c r="R1606"/>
    </row>
    <row r="1607" spans="14:18" x14ac:dyDescent="0.25">
      <c r="N1607"/>
      <c r="O1607"/>
      <c r="P1607"/>
      <c r="Q1607"/>
      <c r="R1607"/>
    </row>
    <row r="1608" spans="14:18" x14ac:dyDescent="0.25">
      <c r="N1608"/>
      <c r="O1608"/>
      <c r="P1608"/>
      <c r="Q1608"/>
      <c r="R1608"/>
    </row>
    <row r="1609" spans="14:18" x14ac:dyDescent="0.25">
      <c r="N1609"/>
      <c r="O1609"/>
      <c r="P1609"/>
      <c r="Q1609"/>
      <c r="R1609"/>
    </row>
    <row r="1610" spans="14:18" x14ac:dyDescent="0.25">
      <c r="N1610"/>
      <c r="O1610"/>
      <c r="P1610"/>
      <c r="Q1610"/>
      <c r="R1610"/>
    </row>
    <row r="1611" spans="14:18" x14ac:dyDescent="0.25">
      <c r="N1611"/>
      <c r="O1611"/>
      <c r="P1611"/>
      <c r="Q1611"/>
      <c r="R1611"/>
    </row>
    <row r="1612" spans="14:18" x14ac:dyDescent="0.25">
      <c r="N1612"/>
      <c r="O1612"/>
      <c r="P1612"/>
      <c r="Q1612"/>
      <c r="R1612"/>
    </row>
    <row r="1613" spans="14:18" x14ac:dyDescent="0.25">
      <c r="N1613"/>
      <c r="O1613"/>
      <c r="P1613"/>
      <c r="Q1613"/>
      <c r="R1613"/>
    </row>
    <row r="1614" spans="14:18" x14ac:dyDescent="0.25">
      <c r="N1614"/>
      <c r="O1614"/>
      <c r="P1614"/>
      <c r="Q1614"/>
      <c r="R1614"/>
    </row>
    <row r="1615" spans="14:18" x14ac:dyDescent="0.25">
      <c r="N1615"/>
      <c r="O1615"/>
      <c r="P1615"/>
      <c r="Q1615"/>
      <c r="R1615"/>
    </row>
    <row r="1616" spans="14:18" x14ac:dyDescent="0.25">
      <c r="N1616"/>
      <c r="O1616"/>
      <c r="P1616"/>
      <c r="Q1616"/>
      <c r="R1616"/>
    </row>
    <row r="1617" spans="14:18" x14ac:dyDescent="0.25">
      <c r="N1617"/>
      <c r="O1617"/>
      <c r="P1617"/>
      <c r="Q1617"/>
      <c r="R1617"/>
    </row>
    <row r="1618" spans="14:18" x14ac:dyDescent="0.25">
      <c r="N1618"/>
      <c r="O1618"/>
      <c r="P1618"/>
      <c r="Q1618"/>
      <c r="R1618"/>
    </row>
    <row r="1619" spans="14:18" x14ac:dyDescent="0.25">
      <c r="N1619"/>
      <c r="O1619"/>
      <c r="P1619"/>
      <c r="Q1619"/>
      <c r="R1619"/>
    </row>
    <row r="1620" spans="14:18" x14ac:dyDescent="0.25">
      <c r="N1620"/>
      <c r="O1620"/>
      <c r="P1620"/>
      <c r="Q1620"/>
      <c r="R1620"/>
    </row>
    <row r="1621" spans="14:18" x14ac:dyDescent="0.25">
      <c r="N1621"/>
      <c r="O1621"/>
      <c r="P1621"/>
      <c r="Q1621"/>
      <c r="R1621"/>
    </row>
    <row r="1622" spans="14:18" x14ac:dyDescent="0.25">
      <c r="N1622"/>
      <c r="O1622"/>
      <c r="P1622"/>
      <c r="Q1622"/>
      <c r="R1622"/>
    </row>
    <row r="1623" spans="14:18" x14ac:dyDescent="0.25">
      <c r="N1623"/>
      <c r="O1623"/>
      <c r="P1623"/>
      <c r="Q1623"/>
      <c r="R1623"/>
    </row>
    <row r="1624" spans="14:18" x14ac:dyDescent="0.25">
      <c r="N1624"/>
      <c r="O1624"/>
      <c r="P1624"/>
      <c r="Q1624"/>
      <c r="R1624"/>
    </row>
    <row r="1625" spans="14:18" x14ac:dyDescent="0.25">
      <c r="N1625"/>
      <c r="O1625"/>
      <c r="P1625"/>
      <c r="Q1625"/>
      <c r="R1625"/>
    </row>
    <row r="1626" spans="14:18" x14ac:dyDescent="0.25">
      <c r="N1626"/>
      <c r="O1626"/>
      <c r="P1626"/>
      <c r="Q1626"/>
      <c r="R1626"/>
    </row>
    <row r="1627" spans="14:18" x14ac:dyDescent="0.25">
      <c r="N1627"/>
      <c r="O1627"/>
      <c r="P1627"/>
      <c r="Q1627"/>
      <c r="R1627"/>
    </row>
    <row r="1628" spans="14:18" x14ac:dyDescent="0.25">
      <c r="N1628"/>
      <c r="O1628"/>
      <c r="P1628"/>
      <c r="Q1628"/>
      <c r="R1628"/>
    </row>
    <row r="1629" spans="14:18" x14ac:dyDescent="0.25">
      <c r="N1629"/>
      <c r="O1629"/>
      <c r="P1629"/>
      <c r="Q1629"/>
      <c r="R1629"/>
    </row>
    <row r="1630" spans="14:18" x14ac:dyDescent="0.25">
      <c r="N1630"/>
      <c r="O1630"/>
      <c r="P1630"/>
      <c r="Q1630"/>
      <c r="R1630"/>
    </row>
    <row r="1631" spans="14:18" x14ac:dyDescent="0.25">
      <c r="N1631"/>
      <c r="O1631"/>
      <c r="P1631"/>
      <c r="Q1631"/>
      <c r="R1631"/>
    </row>
    <row r="1632" spans="14:18" x14ac:dyDescent="0.25">
      <c r="N1632"/>
      <c r="O1632"/>
      <c r="P1632"/>
      <c r="Q1632"/>
      <c r="R1632"/>
    </row>
    <row r="1633" spans="14:18" x14ac:dyDescent="0.25">
      <c r="N1633"/>
      <c r="O1633"/>
      <c r="P1633"/>
      <c r="Q1633"/>
      <c r="R1633"/>
    </row>
    <row r="1634" spans="14:18" x14ac:dyDescent="0.25">
      <c r="N1634"/>
      <c r="O1634"/>
      <c r="P1634"/>
      <c r="Q1634"/>
      <c r="R1634"/>
    </row>
    <row r="1635" spans="14:18" x14ac:dyDescent="0.25">
      <c r="N1635"/>
      <c r="O1635"/>
      <c r="P1635"/>
      <c r="Q1635"/>
      <c r="R1635"/>
    </row>
    <row r="1636" spans="14:18" x14ac:dyDescent="0.25">
      <c r="N1636"/>
      <c r="O1636"/>
      <c r="P1636"/>
      <c r="Q1636"/>
      <c r="R1636"/>
    </row>
    <row r="1637" spans="14:18" x14ac:dyDescent="0.25">
      <c r="N1637"/>
      <c r="O1637"/>
      <c r="P1637"/>
      <c r="Q1637"/>
      <c r="R1637"/>
    </row>
    <row r="1638" spans="14:18" x14ac:dyDescent="0.25">
      <c r="N1638"/>
      <c r="O1638"/>
      <c r="P1638"/>
      <c r="Q1638"/>
      <c r="R1638"/>
    </row>
    <row r="1639" spans="14:18" x14ac:dyDescent="0.25">
      <c r="N1639"/>
      <c r="O1639"/>
      <c r="P1639"/>
      <c r="Q1639"/>
      <c r="R1639"/>
    </row>
    <row r="1640" spans="14:18" x14ac:dyDescent="0.25">
      <c r="N1640"/>
      <c r="O1640"/>
      <c r="P1640"/>
      <c r="Q1640"/>
      <c r="R1640"/>
    </row>
    <row r="1641" spans="14:18" x14ac:dyDescent="0.25">
      <c r="N1641"/>
      <c r="O1641"/>
      <c r="P1641"/>
      <c r="Q1641"/>
      <c r="R1641"/>
    </row>
    <row r="1642" spans="14:18" x14ac:dyDescent="0.25">
      <c r="N1642"/>
      <c r="O1642"/>
      <c r="P1642"/>
      <c r="Q1642"/>
      <c r="R1642"/>
    </row>
    <row r="1643" spans="14:18" x14ac:dyDescent="0.25">
      <c r="N1643"/>
      <c r="O1643"/>
      <c r="P1643"/>
      <c r="Q1643"/>
      <c r="R1643"/>
    </row>
    <row r="1644" spans="14:18" x14ac:dyDescent="0.25">
      <c r="N1644"/>
      <c r="O1644"/>
      <c r="P1644"/>
      <c r="Q1644"/>
      <c r="R1644"/>
    </row>
    <row r="1645" spans="14:18" x14ac:dyDescent="0.25">
      <c r="N1645"/>
      <c r="O1645"/>
      <c r="P1645"/>
      <c r="Q1645"/>
      <c r="R1645"/>
    </row>
    <row r="1646" spans="14:18" x14ac:dyDescent="0.25">
      <c r="N1646"/>
      <c r="O1646"/>
      <c r="P1646"/>
      <c r="Q1646"/>
      <c r="R1646"/>
    </row>
    <row r="1647" spans="14:18" x14ac:dyDescent="0.25">
      <c r="N1647"/>
      <c r="O1647"/>
      <c r="P1647"/>
      <c r="Q1647"/>
      <c r="R1647"/>
    </row>
    <row r="1648" spans="14:18" x14ac:dyDescent="0.25">
      <c r="N1648"/>
      <c r="O1648"/>
      <c r="P1648"/>
      <c r="Q1648"/>
      <c r="R1648"/>
    </row>
    <row r="1649" spans="14:18" x14ac:dyDescent="0.25">
      <c r="N1649"/>
      <c r="O1649"/>
      <c r="P1649"/>
      <c r="Q1649"/>
      <c r="R1649"/>
    </row>
    <row r="1650" spans="14:18" x14ac:dyDescent="0.25">
      <c r="N1650"/>
      <c r="O1650"/>
      <c r="P1650"/>
      <c r="Q1650"/>
      <c r="R1650"/>
    </row>
    <row r="1651" spans="14:18" x14ac:dyDescent="0.25">
      <c r="N1651"/>
      <c r="O1651"/>
      <c r="P1651"/>
      <c r="Q1651"/>
      <c r="R1651"/>
    </row>
    <row r="1652" spans="14:18" x14ac:dyDescent="0.25">
      <c r="N1652"/>
      <c r="O1652"/>
      <c r="P1652"/>
      <c r="Q1652"/>
      <c r="R1652"/>
    </row>
    <row r="1653" spans="14:18" x14ac:dyDescent="0.25">
      <c r="N1653"/>
      <c r="O1653"/>
      <c r="P1653"/>
      <c r="Q1653"/>
      <c r="R1653"/>
    </row>
    <row r="1654" spans="14:18" x14ac:dyDescent="0.25">
      <c r="N1654"/>
      <c r="O1654"/>
      <c r="P1654"/>
      <c r="Q1654"/>
      <c r="R1654"/>
    </row>
    <row r="1655" spans="14:18" x14ac:dyDescent="0.25">
      <c r="N1655"/>
      <c r="O1655"/>
      <c r="P1655"/>
      <c r="Q1655"/>
      <c r="R1655"/>
    </row>
    <row r="1656" spans="14:18" x14ac:dyDescent="0.25">
      <c r="N1656"/>
      <c r="O1656"/>
      <c r="P1656"/>
      <c r="Q1656"/>
      <c r="R1656"/>
    </row>
    <row r="1657" spans="14:18" x14ac:dyDescent="0.25">
      <c r="N1657"/>
      <c r="O1657"/>
      <c r="P1657"/>
      <c r="Q1657"/>
      <c r="R1657"/>
    </row>
    <row r="1658" spans="14:18" x14ac:dyDescent="0.25">
      <c r="N1658"/>
      <c r="O1658"/>
      <c r="P1658"/>
      <c r="Q1658"/>
      <c r="R1658"/>
    </row>
    <row r="1659" spans="14:18" x14ac:dyDescent="0.25">
      <c r="N1659"/>
      <c r="O1659"/>
      <c r="P1659"/>
      <c r="Q1659"/>
      <c r="R1659"/>
    </row>
    <row r="1660" spans="14:18" x14ac:dyDescent="0.25">
      <c r="N1660"/>
      <c r="O1660"/>
      <c r="P1660"/>
      <c r="Q1660"/>
      <c r="R1660"/>
    </row>
    <row r="1661" spans="14:18" x14ac:dyDescent="0.25">
      <c r="N1661"/>
      <c r="O1661"/>
      <c r="P1661"/>
      <c r="Q1661"/>
      <c r="R1661"/>
    </row>
    <row r="1662" spans="14:18" x14ac:dyDescent="0.25">
      <c r="N1662"/>
      <c r="O1662"/>
      <c r="P1662"/>
      <c r="Q1662"/>
      <c r="R1662"/>
    </row>
    <row r="1663" spans="14:18" x14ac:dyDescent="0.25">
      <c r="N1663"/>
      <c r="O1663"/>
      <c r="P1663"/>
      <c r="Q1663"/>
      <c r="R1663"/>
    </row>
    <row r="1664" spans="14:18" x14ac:dyDescent="0.25">
      <c r="N1664"/>
      <c r="O1664"/>
      <c r="P1664"/>
      <c r="Q1664"/>
      <c r="R1664"/>
    </row>
    <row r="1665" spans="14:18" x14ac:dyDescent="0.25">
      <c r="N1665"/>
      <c r="O1665"/>
      <c r="P1665"/>
      <c r="Q1665"/>
      <c r="R1665"/>
    </row>
    <row r="1666" spans="14:18" x14ac:dyDescent="0.25">
      <c r="N1666"/>
      <c r="O1666"/>
      <c r="P1666"/>
      <c r="Q1666"/>
      <c r="R1666"/>
    </row>
    <row r="1667" spans="14:18" x14ac:dyDescent="0.25">
      <c r="N1667"/>
      <c r="O1667"/>
      <c r="P1667"/>
      <c r="Q1667"/>
      <c r="R1667"/>
    </row>
    <row r="1668" spans="14:18" x14ac:dyDescent="0.25">
      <c r="N1668"/>
      <c r="O1668"/>
      <c r="P1668"/>
      <c r="Q1668"/>
      <c r="R1668"/>
    </row>
    <row r="1669" spans="14:18" x14ac:dyDescent="0.25">
      <c r="N1669"/>
      <c r="O1669"/>
      <c r="P1669"/>
      <c r="Q1669"/>
      <c r="R1669"/>
    </row>
    <row r="1670" spans="14:18" x14ac:dyDescent="0.25">
      <c r="N1670"/>
      <c r="O1670"/>
      <c r="P1670"/>
      <c r="Q1670"/>
      <c r="R1670"/>
    </row>
    <row r="1671" spans="14:18" x14ac:dyDescent="0.25">
      <c r="N1671"/>
      <c r="O1671"/>
      <c r="P1671"/>
      <c r="Q1671"/>
      <c r="R1671"/>
    </row>
    <row r="1672" spans="14:18" x14ac:dyDescent="0.25">
      <c r="N1672"/>
      <c r="O1672"/>
      <c r="P1672"/>
      <c r="Q1672"/>
      <c r="R1672"/>
    </row>
    <row r="1673" spans="14:18" x14ac:dyDescent="0.25">
      <c r="N1673"/>
      <c r="O1673"/>
      <c r="P1673"/>
      <c r="Q1673"/>
      <c r="R1673"/>
    </row>
    <row r="1674" spans="14:18" x14ac:dyDescent="0.25">
      <c r="N1674"/>
      <c r="O1674"/>
      <c r="P1674"/>
      <c r="Q1674"/>
      <c r="R1674"/>
    </row>
    <row r="1675" spans="14:18" x14ac:dyDescent="0.25">
      <c r="N1675"/>
      <c r="O1675"/>
      <c r="P1675"/>
      <c r="Q1675"/>
      <c r="R1675"/>
    </row>
    <row r="1676" spans="14:18" x14ac:dyDescent="0.25">
      <c r="N1676"/>
      <c r="O1676"/>
      <c r="P1676"/>
      <c r="Q1676"/>
      <c r="R1676"/>
    </row>
    <row r="1677" spans="14:18" x14ac:dyDescent="0.25">
      <c r="N1677"/>
      <c r="O1677"/>
      <c r="P1677"/>
      <c r="Q1677"/>
      <c r="R1677"/>
    </row>
    <row r="1678" spans="14:18" x14ac:dyDescent="0.25">
      <c r="N1678"/>
      <c r="O1678"/>
      <c r="P1678"/>
      <c r="Q1678"/>
      <c r="R1678"/>
    </row>
    <row r="1679" spans="14:18" x14ac:dyDescent="0.25">
      <c r="N1679"/>
      <c r="O1679"/>
      <c r="P1679"/>
      <c r="Q1679"/>
      <c r="R1679"/>
    </row>
    <row r="1680" spans="14:18" x14ac:dyDescent="0.25">
      <c r="N1680"/>
      <c r="O1680"/>
      <c r="P1680"/>
      <c r="Q1680"/>
      <c r="R1680"/>
    </row>
    <row r="1681" spans="14:18" x14ac:dyDescent="0.25">
      <c r="N1681"/>
      <c r="O1681"/>
      <c r="P1681"/>
      <c r="Q1681"/>
      <c r="R1681"/>
    </row>
    <row r="1682" spans="14:18" x14ac:dyDescent="0.25">
      <c r="N1682"/>
      <c r="O1682"/>
      <c r="P1682"/>
      <c r="Q1682"/>
      <c r="R1682"/>
    </row>
    <row r="1683" spans="14:18" x14ac:dyDescent="0.25">
      <c r="N1683"/>
      <c r="O1683"/>
      <c r="P1683"/>
      <c r="Q1683"/>
      <c r="R1683"/>
    </row>
    <row r="1684" spans="14:18" x14ac:dyDescent="0.25">
      <c r="N1684"/>
      <c r="O1684"/>
      <c r="P1684"/>
      <c r="Q1684"/>
      <c r="R1684"/>
    </row>
    <row r="1685" spans="14:18" x14ac:dyDescent="0.25">
      <c r="N1685"/>
      <c r="O1685"/>
      <c r="P1685"/>
      <c r="Q1685"/>
      <c r="R1685"/>
    </row>
    <row r="1686" spans="14:18" x14ac:dyDescent="0.25">
      <c r="N1686"/>
      <c r="O1686"/>
      <c r="P1686"/>
      <c r="Q1686"/>
      <c r="R1686"/>
    </row>
    <row r="1687" spans="14:18" x14ac:dyDescent="0.25">
      <c r="N1687"/>
      <c r="O1687"/>
      <c r="P1687"/>
      <c r="Q1687"/>
      <c r="R1687"/>
    </row>
    <row r="1688" spans="14:18" x14ac:dyDescent="0.25">
      <c r="N1688"/>
      <c r="O1688"/>
      <c r="P1688"/>
      <c r="Q1688"/>
      <c r="R1688"/>
    </row>
    <row r="1689" spans="14:18" x14ac:dyDescent="0.25">
      <c r="N1689"/>
      <c r="O1689"/>
      <c r="P1689"/>
      <c r="Q1689"/>
      <c r="R1689"/>
    </row>
    <row r="1690" spans="14:18" x14ac:dyDescent="0.25">
      <c r="N1690"/>
      <c r="O1690"/>
      <c r="P1690"/>
      <c r="Q1690"/>
      <c r="R1690"/>
    </row>
    <row r="1691" spans="14:18" x14ac:dyDescent="0.25">
      <c r="N1691"/>
      <c r="O1691"/>
      <c r="P1691"/>
      <c r="Q1691"/>
      <c r="R1691"/>
    </row>
    <row r="1692" spans="14:18" x14ac:dyDescent="0.25">
      <c r="N1692"/>
      <c r="O1692"/>
      <c r="P1692"/>
      <c r="Q1692"/>
      <c r="R1692"/>
    </row>
    <row r="1693" spans="14:18" x14ac:dyDescent="0.25">
      <c r="N1693"/>
      <c r="O1693"/>
      <c r="P1693"/>
      <c r="Q1693"/>
      <c r="R1693"/>
    </row>
    <row r="1694" spans="14:18" x14ac:dyDescent="0.25">
      <c r="N1694"/>
      <c r="O1694"/>
      <c r="P1694"/>
      <c r="Q1694"/>
      <c r="R1694"/>
    </row>
    <row r="1695" spans="14:18" x14ac:dyDescent="0.25">
      <c r="N1695"/>
      <c r="O1695"/>
      <c r="P1695"/>
      <c r="Q1695"/>
      <c r="R1695"/>
    </row>
    <row r="1696" spans="14:18" x14ac:dyDescent="0.25">
      <c r="N1696"/>
      <c r="O1696"/>
      <c r="P1696"/>
      <c r="Q1696"/>
      <c r="R1696"/>
    </row>
    <row r="1697" spans="14:18" x14ac:dyDescent="0.25">
      <c r="N1697"/>
      <c r="O1697"/>
      <c r="P1697"/>
      <c r="Q1697"/>
      <c r="R1697"/>
    </row>
    <row r="1698" spans="14:18" x14ac:dyDescent="0.25">
      <c r="N1698"/>
      <c r="O1698"/>
      <c r="P1698"/>
      <c r="Q1698"/>
      <c r="R1698"/>
    </row>
    <row r="1699" spans="14:18" x14ac:dyDescent="0.25">
      <c r="N1699"/>
      <c r="O1699"/>
      <c r="P1699"/>
      <c r="Q1699"/>
      <c r="R1699"/>
    </row>
    <row r="1700" spans="14:18" x14ac:dyDescent="0.25">
      <c r="N1700"/>
      <c r="O1700"/>
      <c r="P1700"/>
      <c r="Q1700"/>
      <c r="R1700"/>
    </row>
    <row r="1701" spans="14:18" x14ac:dyDescent="0.25">
      <c r="N1701"/>
      <c r="O1701"/>
      <c r="P1701"/>
      <c r="Q1701"/>
      <c r="R1701"/>
    </row>
    <row r="1702" spans="14:18" x14ac:dyDescent="0.25">
      <c r="N1702"/>
      <c r="O1702"/>
      <c r="P1702"/>
      <c r="Q1702"/>
      <c r="R1702"/>
    </row>
    <row r="1703" spans="14:18" x14ac:dyDescent="0.25">
      <c r="N1703"/>
      <c r="O1703"/>
      <c r="P1703"/>
      <c r="Q1703"/>
      <c r="R1703"/>
    </row>
    <row r="1704" spans="14:18" x14ac:dyDescent="0.25">
      <c r="N1704"/>
      <c r="O1704"/>
      <c r="P1704"/>
      <c r="Q1704"/>
      <c r="R1704"/>
    </row>
    <row r="1705" spans="14:18" x14ac:dyDescent="0.25">
      <c r="N1705"/>
      <c r="O1705"/>
      <c r="P1705"/>
      <c r="Q1705"/>
      <c r="R1705"/>
    </row>
    <row r="1706" spans="14:18" x14ac:dyDescent="0.25">
      <c r="N1706"/>
      <c r="O1706"/>
      <c r="P1706"/>
      <c r="Q1706"/>
      <c r="R1706"/>
    </row>
    <row r="1707" spans="14:18" x14ac:dyDescent="0.25">
      <c r="N1707"/>
      <c r="O1707"/>
      <c r="P1707"/>
      <c r="Q1707"/>
      <c r="R1707"/>
    </row>
    <row r="1708" spans="14:18" x14ac:dyDescent="0.25">
      <c r="N1708"/>
      <c r="O1708"/>
      <c r="P1708"/>
      <c r="Q1708"/>
      <c r="R1708"/>
    </row>
    <row r="1709" spans="14:18" x14ac:dyDescent="0.25">
      <c r="N1709"/>
      <c r="O1709"/>
      <c r="P1709"/>
      <c r="Q1709"/>
      <c r="R1709"/>
    </row>
    <row r="1710" spans="14:18" x14ac:dyDescent="0.25">
      <c r="N1710"/>
      <c r="O1710"/>
      <c r="P1710"/>
      <c r="Q1710"/>
      <c r="R1710"/>
    </row>
    <row r="1711" spans="14:18" x14ac:dyDescent="0.25">
      <c r="N1711"/>
      <c r="O1711"/>
      <c r="P1711"/>
      <c r="Q1711"/>
      <c r="R1711"/>
    </row>
    <row r="1712" spans="14:18" x14ac:dyDescent="0.25">
      <c r="N1712"/>
      <c r="O1712"/>
      <c r="P1712"/>
      <c r="Q1712"/>
      <c r="R1712"/>
    </row>
    <row r="1713" spans="14:18" x14ac:dyDescent="0.25">
      <c r="N1713"/>
      <c r="O1713"/>
      <c r="P1713"/>
      <c r="Q1713"/>
      <c r="R1713"/>
    </row>
    <row r="1714" spans="14:18" x14ac:dyDescent="0.25">
      <c r="N1714"/>
      <c r="O1714"/>
      <c r="P1714"/>
      <c r="Q1714"/>
      <c r="R1714"/>
    </row>
    <row r="1715" spans="14:18" x14ac:dyDescent="0.25">
      <c r="N1715"/>
      <c r="O1715"/>
      <c r="P1715"/>
      <c r="Q1715"/>
      <c r="R1715"/>
    </row>
    <row r="1716" spans="14:18" x14ac:dyDescent="0.25">
      <c r="N1716"/>
      <c r="O1716"/>
      <c r="P1716"/>
      <c r="Q1716"/>
      <c r="R1716"/>
    </row>
    <row r="1717" spans="14:18" x14ac:dyDescent="0.25">
      <c r="N1717"/>
      <c r="O1717"/>
      <c r="P1717"/>
      <c r="Q1717"/>
      <c r="R1717"/>
    </row>
    <row r="1718" spans="14:18" x14ac:dyDescent="0.25">
      <c r="N1718"/>
      <c r="O1718"/>
      <c r="P1718"/>
      <c r="Q1718"/>
      <c r="R1718"/>
    </row>
    <row r="1719" spans="14:18" x14ac:dyDescent="0.25">
      <c r="N1719"/>
      <c r="O1719"/>
      <c r="P1719"/>
      <c r="Q1719"/>
      <c r="R1719"/>
    </row>
    <row r="1720" spans="14:18" x14ac:dyDescent="0.25">
      <c r="N1720"/>
      <c r="O1720"/>
      <c r="P1720"/>
      <c r="Q1720"/>
      <c r="R1720"/>
    </row>
    <row r="1721" spans="14:18" x14ac:dyDescent="0.25">
      <c r="N1721"/>
      <c r="O1721"/>
      <c r="P1721"/>
      <c r="Q1721"/>
      <c r="R1721"/>
    </row>
    <row r="1722" spans="14:18" x14ac:dyDescent="0.25">
      <c r="N1722"/>
      <c r="O1722"/>
      <c r="P1722"/>
      <c r="Q1722"/>
      <c r="R1722"/>
    </row>
    <row r="1723" spans="14:18" x14ac:dyDescent="0.25">
      <c r="N1723"/>
      <c r="O1723"/>
      <c r="P1723"/>
      <c r="Q1723"/>
      <c r="R1723"/>
    </row>
    <row r="1724" spans="14:18" x14ac:dyDescent="0.25">
      <c r="N1724"/>
      <c r="O1724"/>
      <c r="P1724"/>
      <c r="Q1724"/>
      <c r="R1724"/>
    </row>
    <row r="1725" spans="14:18" x14ac:dyDescent="0.25">
      <c r="N1725"/>
      <c r="O1725"/>
      <c r="P1725"/>
      <c r="Q1725"/>
      <c r="R1725"/>
    </row>
    <row r="1726" spans="14:18" x14ac:dyDescent="0.25">
      <c r="N1726"/>
      <c r="O1726"/>
      <c r="P1726"/>
      <c r="Q1726"/>
      <c r="R1726"/>
    </row>
    <row r="1727" spans="14:18" x14ac:dyDescent="0.25">
      <c r="N1727"/>
      <c r="O1727"/>
      <c r="P1727"/>
      <c r="Q1727"/>
      <c r="R1727"/>
    </row>
    <row r="1728" spans="14:18" x14ac:dyDescent="0.25">
      <c r="N1728"/>
      <c r="O1728"/>
      <c r="P1728"/>
      <c r="Q1728"/>
      <c r="R1728"/>
    </row>
    <row r="1729" spans="14:18" x14ac:dyDescent="0.25">
      <c r="N1729"/>
      <c r="O1729"/>
      <c r="P1729"/>
      <c r="Q1729"/>
      <c r="R1729"/>
    </row>
    <row r="1730" spans="14:18" x14ac:dyDescent="0.25">
      <c r="N1730"/>
      <c r="O1730"/>
      <c r="P1730"/>
      <c r="Q1730"/>
      <c r="R1730"/>
    </row>
    <row r="1731" spans="14:18" x14ac:dyDescent="0.25">
      <c r="N1731"/>
      <c r="O1731"/>
      <c r="P1731"/>
      <c r="Q1731"/>
      <c r="R1731"/>
    </row>
    <row r="1732" spans="14:18" x14ac:dyDescent="0.25">
      <c r="N1732"/>
      <c r="O1732"/>
      <c r="P1732"/>
      <c r="Q1732"/>
      <c r="R1732"/>
    </row>
    <row r="1733" spans="14:18" x14ac:dyDescent="0.25">
      <c r="N1733"/>
      <c r="O1733"/>
      <c r="P1733"/>
      <c r="Q1733"/>
      <c r="R1733"/>
    </row>
    <row r="1734" spans="14:18" x14ac:dyDescent="0.25">
      <c r="N1734"/>
      <c r="O1734"/>
      <c r="P1734"/>
      <c r="Q1734"/>
      <c r="R1734"/>
    </row>
    <row r="1735" spans="14:18" x14ac:dyDescent="0.25">
      <c r="N1735"/>
      <c r="O1735"/>
      <c r="P1735"/>
      <c r="Q1735"/>
      <c r="R1735"/>
    </row>
    <row r="1736" spans="14:18" x14ac:dyDescent="0.25">
      <c r="N1736"/>
      <c r="O1736"/>
      <c r="P1736"/>
      <c r="Q1736"/>
      <c r="R1736"/>
    </row>
    <row r="1737" spans="14:18" x14ac:dyDescent="0.25">
      <c r="N1737"/>
      <c r="O1737"/>
      <c r="P1737"/>
      <c r="Q1737"/>
      <c r="R1737"/>
    </row>
    <row r="1738" spans="14:18" x14ac:dyDescent="0.25">
      <c r="N1738"/>
      <c r="O1738"/>
      <c r="P1738"/>
      <c r="Q1738"/>
      <c r="R1738"/>
    </row>
    <row r="1739" spans="14:18" x14ac:dyDescent="0.25">
      <c r="N1739"/>
      <c r="O1739"/>
      <c r="P1739"/>
      <c r="Q1739"/>
      <c r="R1739"/>
    </row>
    <row r="1740" spans="14:18" x14ac:dyDescent="0.25">
      <c r="N1740"/>
      <c r="O1740"/>
      <c r="P1740"/>
      <c r="Q1740"/>
      <c r="R1740"/>
    </row>
    <row r="1741" spans="14:18" x14ac:dyDescent="0.25">
      <c r="N1741"/>
      <c r="O1741"/>
      <c r="P1741"/>
      <c r="Q1741"/>
      <c r="R1741"/>
    </row>
    <row r="1742" spans="14:18" x14ac:dyDescent="0.25">
      <c r="N1742"/>
      <c r="O1742"/>
      <c r="P1742"/>
      <c r="Q1742"/>
      <c r="R1742"/>
    </row>
    <row r="1743" spans="14:18" x14ac:dyDescent="0.25">
      <c r="N1743"/>
      <c r="O1743"/>
      <c r="P1743"/>
      <c r="Q1743"/>
      <c r="R1743"/>
    </row>
    <row r="1744" spans="14:18" x14ac:dyDescent="0.25">
      <c r="N1744"/>
      <c r="O1744"/>
      <c r="P1744"/>
      <c r="Q1744"/>
      <c r="R1744"/>
    </row>
    <row r="1745" spans="14:18" x14ac:dyDescent="0.25">
      <c r="N1745"/>
      <c r="O1745"/>
      <c r="P1745"/>
      <c r="Q1745"/>
      <c r="R1745"/>
    </row>
    <row r="1746" spans="14:18" x14ac:dyDescent="0.25">
      <c r="N1746"/>
      <c r="O1746"/>
      <c r="P1746"/>
      <c r="Q1746"/>
      <c r="R1746"/>
    </row>
    <row r="1747" spans="14:18" x14ac:dyDescent="0.25">
      <c r="N1747"/>
      <c r="O1747"/>
      <c r="P1747"/>
      <c r="Q1747"/>
      <c r="R1747"/>
    </row>
    <row r="1748" spans="14:18" x14ac:dyDescent="0.25">
      <c r="N1748"/>
      <c r="O1748"/>
      <c r="P1748"/>
      <c r="Q1748"/>
      <c r="R1748"/>
    </row>
    <row r="1749" spans="14:18" x14ac:dyDescent="0.25">
      <c r="N1749"/>
      <c r="O1749"/>
      <c r="P1749"/>
      <c r="Q1749"/>
      <c r="R1749"/>
    </row>
    <row r="1750" spans="14:18" x14ac:dyDescent="0.25">
      <c r="N1750"/>
      <c r="O1750"/>
      <c r="P1750"/>
      <c r="Q1750"/>
      <c r="R1750"/>
    </row>
    <row r="1751" spans="14:18" x14ac:dyDescent="0.25">
      <c r="N1751"/>
      <c r="O1751"/>
      <c r="P1751"/>
      <c r="Q1751"/>
      <c r="R1751"/>
    </row>
    <row r="1752" spans="14:18" x14ac:dyDescent="0.25">
      <c r="N1752"/>
      <c r="O1752"/>
      <c r="P1752"/>
      <c r="Q1752"/>
      <c r="R1752"/>
    </row>
    <row r="1753" spans="14:18" x14ac:dyDescent="0.25">
      <c r="N1753"/>
      <c r="O1753"/>
      <c r="P1753"/>
      <c r="Q1753"/>
      <c r="R1753"/>
    </row>
    <row r="1754" spans="14:18" x14ac:dyDescent="0.25">
      <c r="N1754"/>
      <c r="O1754"/>
      <c r="P1754"/>
      <c r="Q1754"/>
      <c r="R1754"/>
    </row>
    <row r="1755" spans="14:18" x14ac:dyDescent="0.25">
      <c r="N1755"/>
      <c r="O1755"/>
      <c r="P1755"/>
      <c r="Q1755"/>
      <c r="R1755"/>
    </row>
    <row r="1756" spans="14:18" x14ac:dyDescent="0.25">
      <c r="N1756"/>
      <c r="O1756"/>
      <c r="P1756"/>
      <c r="Q1756"/>
      <c r="R1756"/>
    </row>
    <row r="1757" spans="14:18" x14ac:dyDescent="0.25">
      <c r="N1757"/>
      <c r="O1757"/>
      <c r="P1757"/>
      <c r="Q1757"/>
      <c r="R1757"/>
    </row>
    <row r="1758" spans="14:18" x14ac:dyDescent="0.25">
      <c r="N1758"/>
      <c r="O1758"/>
      <c r="P1758"/>
      <c r="Q1758"/>
      <c r="R1758"/>
    </row>
    <row r="1759" spans="14:18" x14ac:dyDescent="0.25">
      <c r="N1759"/>
      <c r="O1759"/>
      <c r="P1759"/>
      <c r="Q1759"/>
      <c r="R1759"/>
    </row>
    <row r="1760" spans="14:18" x14ac:dyDescent="0.25">
      <c r="N1760"/>
      <c r="O1760"/>
      <c r="P1760"/>
      <c r="Q1760"/>
      <c r="R1760"/>
    </row>
    <row r="1761" spans="14:18" x14ac:dyDescent="0.25">
      <c r="N1761"/>
      <c r="O1761"/>
      <c r="P1761"/>
      <c r="Q1761"/>
      <c r="R1761"/>
    </row>
    <row r="1762" spans="14:18" x14ac:dyDescent="0.25">
      <c r="N1762"/>
      <c r="O1762"/>
      <c r="P1762"/>
      <c r="Q1762"/>
      <c r="R1762"/>
    </row>
    <row r="1763" spans="14:18" x14ac:dyDescent="0.25">
      <c r="N1763"/>
      <c r="O1763"/>
      <c r="P1763"/>
      <c r="Q1763"/>
      <c r="R1763"/>
    </row>
    <row r="1764" spans="14:18" x14ac:dyDescent="0.25">
      <c r="N1764"/>
      <c r="O1764"/>
      <c r="P1764"/>
      <c r="Q1764"/>
      <c r="R1764"/>
    </row>
    <row r="1765" spans="14:18" x14ac:dyDescent="0.25">
      <c r="N1765"/>
      <c r="O1765"/>
      <c r="P1765"/>
      <c r="Q1765"/>
      <c r="R1765"/>
    </row>
    <row r="1766" spans="14:18" x14ac:dyDescent="0.25">
      <c r="N1766"/>
      <c r="O1766"/>
      <c r="P1766"/>
      <c r="Q1766"/>
      <c r="R1766"/>
    </row>
    <row r="1767" spans="14:18" x14ac:dyDescent="0.25">
      <c r="N1767"/>
      <c r="O1767"/>
      <c r="P1767"/>
      <c r="Q1767"/>
      <c r="R1767"/>
    </row>
    <row r="1768" spans="14:18" x14ac:dyDescent="0.25">
      <c r="N1768"/>
      <c r="O1768"/>
      <c r="P1768"/>
      <c r="Q1768"/>
      <c r="R1768"/>
    </row>
    <row r="1769" spans="14:18" x14ac:dyDescent="0.25">
      <c r="N1769"/>
      <c r="O1769"/>
      <c r="P1769"/>
      <c r="Q1769"/>
      <c r="R1769"/>
    </row>
    <row r="1770" spans="14:18" x14ac:dyDescent="0.25">
      <c r="N1770"/>
      <c r="O1770"/>
      <c r="P1770"/>
      <c r="Q1770"/>
      <c r="R1770"/>
    </row>
    <row r="1771" spans="14:18" x14ac:dyDescent="0.25">
      <c r="N1771"/>
      <c r="O1771"/>
      <c r="P1771"/>
      <c r="Q1771"/>
      <c r="R1771"/>
    </row>
    <row r="1772" spans="14:18" x14ac:dyDescent="0.25">
      <c r="N1772"/>
      <c r="O1772"/>
      <c r="P1772"/>
      <c r="Q1772"/>
      <c r="R1772"/>
    </row>
    <row r="1773" spans="14:18" x14ac:dyDescent="0.25">
      <c r="N1773"/>
      <c r="O1773"/>
      <c r="P1773"/>
      <c r="Q1773"/>
      <c r="R1773"/>
    </row>
    <row r="1774" spans="14:18" x14ac:dyDescent="0.25">
      <c r="N1774"/>
      <c r="O1774"/>
      <c r="P1774"/>
      <c r="Q1774"/>
      <c r="R1774"/>
    </row>
    <row r="1775" spans="14:18" x14ac:dyDescent="0.25">
      <c r="N1775"/>
      <c r="O1775"/>
      <c r="P1775"/>
      <c r="Q1775"/>
      <c r="R1775"/>
    </row>
    <row r="1776" spans="14:18" x14ac:dyDescent="0.25">
      <c r="N1776"/>
      <c r="O1776"/>
      <c r="P1776"/>
      <c r="Q1776"/>
      <c r="R1776"/>
    </row>
    <row r="1777" spans="14:18" x14ac:dyDescent="0.25">
      <c r="N1777"/>
      <c r="O1777"/>
      <c r="P1777"/>
      <c r="Q1777"/>
      <c r="R1777"/>
    </row>
    <row r="1778" spans="14:18" x14ac:dyDescent="0.25">
      <c r="N1778"/>
      <c r="O1778"/>
      <c r="P1778"/>
      <c r="Q1778"/>
      <c r="R1778"/>
    </row>
    <row r="1779" spans="14:18" x14ac:dyDescent="0.25">
      <c r="N1779"/>
      <c r="O1779"/>
      <c r="P1779"/>
      <c r="Q1779"/>
      <c r="R1779"/>
    </row>
    <row r="1780" spans="14:18" x14ac:dyDescent="0.25">
      <c r="N1780"/>
      <c r="O1780"/>
      <c r="P1780"/>
      <c r="Q1780"/>
      <c r="R1780"/>
    </row>
    <row r="1781" spans="14:18" x14ac:dyDescent="0.25">
      <c r="N1781"/>
      <c r="O1781"/>
      <c r="P1781"/>
      <c r="Q1781"/>
      <c r="R1781"/>
    </row>
    <row r="1782" spans="14:18" x14ac:dyDescent="0.25">
      <c r="N1782"/>
      <c r="O1782"/>
      <c r="P1782"/>
      <c r="Q1782"/>
      <c r="R1782"/>
    </row>
    <row r="1783" spans="14:18" x14ac:dyDescent="0.25">
      <c r="N1783"/>
      <c r="O1783"/>
      <c r="P1783"/>
      <c r="Q1783"/>
      <c r="R1783"/>
    </row>
    <row r="1784" spans="14:18" x14ac:dyDescent="0.25">
      <c r="N1784"/>
      <c r="O1784"/>
      <c r="P1784"/>
      <c r="Q1784"/>
      <c r="R1784"/>
    </row>
    <row r="1785" spans="14:18" x14ac:dyDescent="0.25">
      <c r="N1785"/>
      <c r="O1785"/>
      <c r="P1785"/>
      <c r="Q1785"/>
      <c r="R1785"/>
    </row>
    <row r="1786" spans="14:18" x14ac:dyDescent="0.25">
      <c r="N1786"/>
      <c r="O1786"/>
      <c r="P1786"/>
      <c r="Q1786"/>
      <c r="R1786"/>
    </row>
    <row r="1787" spans="14:18" x14ac:dyDescent="0.25">
      <c r="N1787"/>
      <c r="O1787"/>
      <c r="P1787"/>
      <c r="Q1787"/>
      <c r="R1787"/>
    </row>
    <row r="1788" spans="14:18" x14ac:dyDescent="0.25">
      <c r="N1788"/>
      <c r="O1788"/>
      <c r="P1788"/>
      <c r="Q1788"/>
      <c r="R1788"/>
    </row>
    <row r="1789" spans="14:18" x14ac:dyDescent="0.25">
      <c r="N1789"/>
      <c r="O1789"/>
      <c r="P1789"/>
      <c r="Q1789"/>
      <c r="R1789"/>
    </row>
    <row r="1790" spans="14:18" x14ac:dyDescent="0.25">
      <c r="N1790"/>
      <c r="O1790"/>
      <c r="P1790"/>
      <c r="Q1790"/>
      <c r="R1790"/>
    </row>
    <row r="1791" spans="14:18" x14ac:dyDescent="0.25">
      <c r="N1791"/>
      <c r="O1791"/>
      <c r="P1791"/>
      <c r="Q1791"/>
      <c r="R1791"/>
    </row>
    <row r="1792" spans="14:18" x14ac:dyDescent="0.25">
      <c r="N1792"/>
      <c r="O1792"/>
      <c r="P1792"/>
      <c r="Q1792"/>
      <c r="R1792"/>
    </row>
    <row r="1793" spans="14:18" x14ac:dyDescent="0.25">
      <c r="N1793"/>
      <c r="O1793"/>
      <c r="P1793"/>
      <c r="Q1793"/>
      <c r="R1793"/>
    </row>
    <row r="1794" spans="14:18" x14ac:dyDescent="0.25">
      <c r="N1794"/>
      <c r="O1794"/>
      <c r="P1794"/>
      <c r="Q1794"/>
      <c r="R1794"/>
    </row>
    <row r="1795" spans="14:18" x14ac:dyDescent="0.25">
      <c r="N1795"/>
      <c r="O1795"/>
      <c r="P1795"/>
      <c r="Q1795"/>
      <c r="R1795"/>
    </row>
    <row r="1796" spans="14:18" x14ac:dyDescent="0.25">
      <c r="N1796"/>
      <c r="O1796"/>
      <c r="P1796"/>
      <c r="Q1796"/>
      <c r="R1796"/>
    </row>
    <row r="1797" spans="14:18" x14ac:dyDescent="0.25">
      <c r="N1797"/>
      <c r="O1797"/>
      <c r="P1797"/>
      <c r="Q1797"/>
      <c r="R1797"/>
    </row>
    <row r="1798" spans="14:18" x14ac:dyDescent="0.25">
      <c r="N1798"/>
      <c r="O1798"/>
      <c r="P1798"/>
      <c r="Q1798"/>
      <c r="R1798"/>
    </row>
    <row r="1799" spans="14:18" x14ac:dyDescent="0.25">
      <c r="N1799"/>
      <c r="O1799"/>
      <c r="P1799"/>
      <c r="Q1799"/>
      <c r="R1799"/>
    </row>
    <row r="1800" spans="14:18" x14ac:dyDescent="0.25">
      <c r="N1800"/>
      <c r="O1800"/>
      <c r="P1800"/>
      <c r="Q1800"/>
      <c r="R1800"/>
    </row>
    <row r="1801" spans="14:18" x14ac:dyDescent="0.25">
      <c r="N1801"/>
      <c r="O1801"/>
      <c r="P1801"/>
      <c r="Q1801"/>
      <c r="R1801"/>
    </row>
    <row r="1802" spans="14:18" x14ac:dyDescent="0.25">
      <c r="N1802"/>
      <c r="O1802"/>
      <c r="P1802"/>
      <c r="Q1802"/>
      <c r="R1802"/>
    </row>
    <row r="1803" spans="14:18" x14ac:dyDescent="0.25">
      <c r="N1803"/>
      <c r="O1803"/>
      <c r="P1803"/>
      <c r="Q1803"/>
      <c r="R1803"/>
    </row>
    <row r="1804" spans="14:18" x14ac:dyDescent="0.25">
      <c r="N1804"/>
      <c r="O1804"/>
      <c r="P1804"/>
      <c r="Q1804"/>
      <c r="R1804"/>
    </row>
    <row r="1805" spans="14:18" x14ac:dyDescent="0.25">
      <c r="N1805"/>
      <c r="O1805"/>
      <c r="P1805"/>
      <c r="Q1805"/>
      <c r="R1805"/>
    </row>
    <row r="1806" spans="14:18" x14ac:dyDescent="0.25">
      <c r="N1806"/>
      <c r="O1806"/>
      <c r="P1806"/>
      <c r="Q1806"/>
      <c r="R1806"/>
    </row>
    <row r="1807" spans="14:18" x14ac:dyDescent="0.25">
      <c r="N1807"/>
      <c r="O1807"/>
      <c r="P1807"/>
      <c r="Q1807"/>
      <c r="R1807"/>
    </row>
    <row r="1808" spans="14:18" x14ac:dyDescent="0.25">
      <c r="N1808"/>
      <c r="O1808"/>
      <c r="P1808"/>
      <c r="Q1808"/>
      <c r="R1808"/>
    </row>
    <row r="1809" spans="14:18" x14ac:dyDescent="0.25">
      <c r="N1809"/>
      <c r="O1809"/>
      <c r="P1809"/>
      <c r="Q1809"/>
      <c r="R1809"/>
    </row>
    <row r="1810" spans="14:18" x14ac:dyDescent="0.25">
      <c r="N1810"/>
      <c r="O1810"/>
      <c r="P1810"/>
      <c r="Q1810"/>
      <c r="R1810"/>
    </row>
    <row r="1811" spans="14:18" x14ac:dyDescent="0.25">
      <c r="N1811"/>
      <c r="O1811"/>
      <c r="P1811"/>
      <c r="Q1811"/>
      <c r="R1811"/>
    </row>
    <row r="1812" spans="14:18" x14ac:dyDescent="0.25">
      <c r="N1812"/>
      <c r="O1812"/>
      <c r="P1812"/>
      <c r="Q1812"/>
      <c r="R1812"/>
    </row>
    <row r="1813" spans="14:18" x14ac:dyDescent="0.25">
      <c r="N1813"/>
      <c r="O1813"/>
      <c r="P1813"/>
      <c r="Q1813"/>
      <c r="R1813"/>
    </row>
    <row r="1814" spans="14:18" x14ac:dyDescent="0.25">
      <c r="N1814"/>
      <c r="O1814"/>
      <c r="P1814"/>
      <c r="Q1814"/>
      <c r="R1814"/>
    </row>
    <row r="1815" spans="14:18" x14ac:dyDescent="0.25">
      <c r="N1815"/>
      <c r="O1815"/>
      <c r="P1815"/>
      <c r="Q1815"/>
      <c r="R1815"/>
    </row>
    <row r="1816" spans="14:18" x14ac:dyDescent="0.25">
      <c r="N1816"/>
      <c r="O1816"/>
      <c r="P1816"/>
      <c r="Q1816"/>
      <c r="R1816"/>
    </row>
    <row r="1817" spans="14:18" x14ac:dyDescent="0.25">
      <c r="N1817"/>
      <c r="O1817"/>
      <c r="P1817"/>
      <c r="Q1817"/>
      <c r="R1817"/>
    </row>
    <row r="1818" spans="14:18" x14ac:dyDescent="0.25">
      <c r="N1818"/>
      <c r="O1818"/>
      <c r="P1818"/>
      <c r="Q1818"/>
      <c r="R1818"/>
    </row>
    <row r="1819" spans="14:18" x14ac:dyDescent="0.25">
      <c r="N1819"/>
      <c r="O1819"/>
      <c r="P1819"/>
      <c r="Q1819"/>
      <c r="R1819"/>
    </row>
    <row r="1820" spans="14:18" x14ac:dyDescent="0.25">
      <c r="N1820"/>
      <c r="O1820"/>
      <c r="P1820"/>
      <c r="Q1820"/>
      <c r="R1820"/>
    </row>
    <row r="1821" spans="14:18" x14ac:dyDescent="0.25">
      <c r="N1821"/>
      <c r="O1821"/>
      <c r="P1821"/>
      <c r="Q1821"/>
      <c r="R1821"/>
    </row>
    <row r="1822" spans="14:18" x14ac:dyDescent="0.25">
      <c r="N1822"/>
      <c r="O1822"/>
      <c r="P1822"/>
      <c r="Q1822"/>
      <c r="R1822"/>
    </row>
    <row r="1823" spans="14:18" x14ac:dyDescent="0.25">
      <c r="N1823"/>
      <c r="O1823"/>
      <c r="P1823"/>
      <c r="Q1823"/>
      <c r="R1823"/>
    </row>
    <row r="1824" spans="14:18" x14ac:dyDescent="0.25">
      <c r="N1824"/>
      <c r="O1824"/>
      <c r="P1824"/>
      <c r="Q1824"/>
      <c r="R1824"/>
    </row>
    <row r="1825" spans="14:18" x14ac:dyDescent="0.25">
      <c r="N1825"/>
      <c r="O1825"/>
      <c r="P1825"/>
      <c r="Q1825"/>
      <c r="R1825"/>
    </row>
    <row r="1826" spans="14:18" x14ac:dyDescent="0.25">
      <c r="N1826"/>
      <c r="O1826"/>
      <c r="P1826"/>
      <c r="Q1826"/>
      <c r="R1826"/>
    </row>
    <row r="1827" spans="14:18" x14ac:dyDescent="0.25">
      <c r="N1827"/>
      <c r="O1827"/>
      <c r="P1827"/>
      <c r="Q1827"/>
      <c r="R1827"/>
    </row>
    <row r="1828" spans="14:18" x14ac:dyDescent="0.25">
      <c r="N1828"/>
      <c r="O1828"/>
      <c r="P1828"/>
      <c r="Q1828"/>
      <c r="R1828"/>
    </row>
    <row r="1829" spans="14:18" x14ac:dyDescent="0.25">
      <c r="N1829"/>
      <c r="O1829"/>
      <c r="P1829"/>
      <c r="Q1829"/>
      <c r="R1829"/>
    </row>
    <row r="1830" spans="14:18" x14ac:dyDescent="0.25">
      <c r="N1830"/>
      <c r="O1830"/>
      <c r="P1830"/>
      <c r="Q1830"/>
      <c r="R1830"/>
    </row>
    <row r="1831" spans="14:18" x14ac:dyDescent="0.25">
      <c r="N1831"/>
      <c r="O1831"/>
      <c r="P1831"/>
      <c r="Q1831"/>
      <c r="R1831"/>
    </row>
    <row r="1832" spans="14:18" x14ac:dyDescent="0.25">
      <c r="N1832"/>
      <c r="O1832"/>
      <c r="P1832"/>
      <c r="Q1832"/>
      <c r="R1832"/>
    </row>
    <row r="1833" spans="14:18" x14ac:dyDescent="0.25">
      <c r="N1833"/>
      <c r="O1833"/>
      <c r="P1833"/>
      <c r="Q1833"/>
      <c r="R1833"/>
    </row>
    <row r="1834" spans="14:18" x14ac:dyDescent="0.25">
      <c r="N1834"/>
      <c r="O1834"/>
      <c r="P1834"/>
      <c r="Q1834"/>
      <c r="R1834"/>
    </row>
    <row r="1835" spans="14:18" x14ac:dyDescent="0.25">
      <c r="N1835"/>
      <c r="O1835"/>
      <c r="P1835"/>
      <c r="Q1835"/>
      <c r="R1835"/>
    </row>
    <row r="1836" spans="14:18" x14ac:dyDescent="0.25">
      <c r="N1836"/>
      <c r="O1836"/>
      <c r="P1836"/>
      <c r="Q1836"/>
      <c r="R1836"/>
    </row>
    <row r="1837" spans="14:18" x14ac:dyDescent="0.25">
      <c r="N1837"/>
      <c r="O1837"/>
      <c r="P1837"/>
      <c r="Q1837"/>
      <c r="R1837"/>
    </row>
    <row r="1838" spans="14:18" x14ac:dyDescent="0.25">
      <c r="N1838"/>
      <c r="O1838"/>
      <c r="P1838"/>
      <c r="Q1838"/>
      <c r="R1838"/>
    </row>
    <row r="1839" spans="14:18" x14ac:dyDescent="0.25">
      <c r="N1839"/>
      <c r="O1839"/>
      <c r="P1839"/>
      <c r="Q1839"/>
      <c r="R1839"/>
    </row>
    <row r="1840" spans="14:18" x14ac:dyDescent="0.25">
      <c r="N1840"/>
      <c r="O1840"/>
      <c r="P1840"/>
      <c r="Q1840"/>
      <c r="R1840"/>
    </row>
    <row r="1841" spans="14:18" x14ac:dyDescent="0.25">
      <c r="N1841"/>
      <c r="O1841"/>
      <c r="P1841"/>
      <c r="Q1841"/>
      <c r="R1841"/>
    </row>
    <row r="1842" spans="14:18" x14ac:dyDescent="0.25">
      <c r="N1842"/>
      <c r="O1842"/>
      <c r="P1842"/>
      <c r="Q1842"/>
      <c r="R1842"/>
    </row>
    <row r="1843" spans="14:18" x14ac:dyDescent="0.25">
      <c r="N1843"/>
      <c r="O1843"/>
      <c r="P1843"/>
      <c r="Q1843"/>
      <c r="R1843"/>
    </row>
    <row r="1844" spans="14:18" x14ac:dyDescent="0.25">
      <c r="N1844"/>
      <c r="O1844"/>
      <c r="P1844"/>
      <c r="Q1844"/>
      <c r="R1844"/>
    </row>
    <row r="1845" spans="14:18" x14ac:dyDescent="0.25">
      <c r="N1845"/>
      <c r="O1845"/>
      <c r="P1845"/>
      <c r="Q1845"/>
      <c r="R1845"/>
    </row>
    <row r="1846" spans="14:18" x14ac:dyDescent="0.25">
      <c r="N1846"/>
      <c r="O1846"/>
      <c r="P1846"/>
      <c r="Q1846"/>
      <c r="R1846"/>
    </row>
    <row r="1847" spans="14:18" x14ac:dyDescent="0.25">
      <c r="N1847"/>
      <c r="O1847"/>
      <c r="P1847"/>
      <c r="Q1847"/>
      <c r="R1847"/>
    </row>
    <row r="1848" spans="14:18" x14ac:dyDescent="0.25">
      <c r="N1848"/>
      <c r="O1848"/>
      <c r="P1848"/>
      <c r="Q1848"/>
      <c r="R1848"/>
    </row>
    <row r="1849" spans="14:18" x14ac:dyDescent="0.25">
      <c r="N1849"/>
      <c r="O1849"/>
      <c r="P1849"/>
      <c r="Q1849"/>
      <c r="R1849"/>
    </row>
    <row r="1850" spans="14:18" x14ac:dyDescent="0.25">
      <c r="N1850"/>
      <c r="O1850"/>
      <c r="P1850"/>
      <c r="Q1850"/>
      <c r="R1850"/>
    </row>
    <row r="1851" spans="14:18" x14ac:dyDescent="0.25">
      <c r="N1851"/>
      <c r="O1851"/>
      <c r="P1851"/>
      <c r="Q1851"/>
      <c r="R1851"/>
    </row>
    <row r="1852" spans="14:18" x14ac:dyDescent="0.25">
      <c r="N1852"/>
      <c r="O1852"/>
      <c r="P1852"/>
      <c r="Q1852"/>
      <c r="R1852"/>
    </row>
    <row r="1853" spans="14:18" x14ac:dyDescent="0.25">
      <c r="N1853"/>
      <c r="O1853"/>
      <c r="P1853"/>
      <c r="Q1853"/>
      <c r="R1853"/>
    </row>
    <row r="1854" spans="14:18" x14ac:dyDescent="0.25">
      <c r="N1854"/>
      <c r="O1854"/>
      <c r="P1854"/>
      <c r="Q1854"/>
      <c r="R1854"/>
    </row>
    <row r="1855" spans="14:18" x14ac:dyDescent="0.25">
      <c r="N1855"/>
      <c r="O1855"/>
      <c r="P1855"/>
      <c r="Q1855"/>
      <c r="R1855"/>
    </row>
    <row r="1856" spans="14:18" x14ac:dyDescent="0.25">
      <c r="N1856"/>
      <c r="O1856"/>
      <c r="P1856"/>
      <c r="Q1856"/>
      <c r="R1856"/>
    </row>
    <row r="1857" spans="14:18" x14ac:dyDescent="0.25">
      <c r="N1857"/>
      <c r="O1857"/>
      <c r="P1857"/>
      <c r="Q1857"/>
      <c r="R1857"/>
    </row>
    <row r="1858" spans="14:18" x14ac:dyDescent="0.25">
      <c r="N1858"/>
      <c r="O1858"/>
      <c r="P1858"/>
      <c r="Q1858"/>
      <c r="R1858"/>
    </row>
    <row r="1859" spans="14:18" x14ac:dyDescent="0.25">
      <c r="N1859"/>
      <c r="O1859"/>
      <c r="P1859"/>
      <c r="Q1859"/>
      <c r="R1859"/>
    </row>
    <row r="1860" spans="14:18" x14ac:dyDescent="0.25">
      <c r="N1860"/>
      <c r="O1860"/>
      <c r="P1860"/>
      <c r="Q1860"/>
      <c r="R1860"/>
    </row>
    <row r="1861" spans="14:18" x14ac:dyDescent="0.25">
      <c r="N1861"/>
      <c r="O1861"/>
      <c r="P1861"/>
      <c r="Q1861"/>
      <c r="R1861"/>
    </row>
    <row r="1862" spans="14:18" x14ac:dyDescent="0.25">
      <c r="N1862"/>
      <c r="O1862"/>
      <c r="P1862"/>
      <c r="Q1862"/>
      <c r="R1862"/>
    </row>
    <row r="1863" spans="14:18" x14ac:dyDescent="0.25">
      <c r="N1863"/>
      <c r="O1863"/>
      <c r="P1863"/>
      <c r="Q1863"/>
      <c r="R1863"/>
    </row>
    <row r="1864" spans="14:18" x14ac:dyDescent="0.25">
      <c r="N1864"/>
      <c r="O1864"/>
      <c r="P1864"/>
      <c r="Q1864"/>
      <c r="R1864"/>
    </row>
    <row r="1865" spans="14:18" x14ac:dyDescent="0.25">
      <c r="N1865"/>
      <c r="O1865"/>
      <c r="P1865"/>
      <c r="Q1865"/>
      <c r="R1865"/>
    </row>
    <row r="1866" spans="14:18" x14ac:dyDescent="0.25">
      <c r="N1866"/>
      <c r="O1866"/>
      <c r="P1866"/>
      <c r="Q1866"/>
      <c r="R1866"/>
    </row>
    <row r="1867" spans="14:18" x14ac:dyDescent="0.25">
      <c r="N1867"/>
      <c r="O1867"/>
      <c r="P1867"/>
      <c r="Q1867"/>
      <c r="R1867"/>
    </row>
    <row r="1868" spans="14:18" x14ac:dyDescent="0.25">
      <c r="N1868"/>
      <c r="O1868"/>
      <c r="P1868"/>
      <c r="Q1868"/>
      <c r="R1868"/>
    </row>
    <row r="1869" spans="14:18" x14ac:dyDescent="0.25">
      <c r="N1869"/>
      <c r="O1869"/>
      <c r="P1869"/>
      <c r="Q1869"/>
      <c r="R1869"/>
    </row>
    <row r="1870" spans="14:18" x14ac:dyDescent="0.25">
      <c r="N1870"/>
      <c r="O1870"/>
      <c r="P1870"/>
      <c r="Q1870"/>
      <c r="R1870"/>
    </row>
    <row r="1871" spans="14:18" x14ac:dyDescent="0.25">
      <c r="N1871"/>
      <c r="O1871"/>
      <c r="P1871"/>
      <c r="Q1871"/>
      <c r="R1871"/>
    </row>
    <row r="1872" spans="14:18" x14ac:dyDescent="0.25">
      <c r="N1872"/>
      <c r="O1872"/>
      <c r="P1872"/>
      <c r="Q1872"/>
      <c r="R1872"/>
    </row>
    <row r="1873" spans="14:18" x14ac:dyDescent="0.25">
      <c r="N1873"/>
      <c r="O1873"/>
      <c r="P1873"/>
      <c r="Q1873"/>
      <c r="R1873"/>
    </row>
    <row r="1874" spans="14:18" x14ac:dyDescent="0.25">
      <c r="N1874"/>
      <c r="O1874"/>
      <c r="P1874"/>
      <c r="Q1874"/>
      <c r="R1874"/>
    </row>
    <row r="1875" spans="14:18" x14ac:dyDescent="0.25">
      <c r="N1875"/>
      <c r="O1875"/>
      <c r="P1875"/>
      <c r="Q1875"/>
      <c r="R1875"/>
    </row>
    <row r="1876" spans="14:18" x14ac:dyDescent="0.25">
      <c r="N1876"/>
      <c r="O1876"/>
      <c r="P1876"/>
      <c r="Q1876"/>
      <c r="R1876"/>
    </row>
    <row r="1877" spans="14:18" x14ac:dyDescent="0.25">
      <c r="N1877"/>
      <c r="O1877"/>
      <c r="P1877"/>
      <c r="Q1877"/>
      <c r="R1877"/>
    </row>
    <row r="1878" spans="14:18" x14ac:dyDescent="0.25">
      <c r="N1878"/>
      <c r="O1878"/>
      <c r="P1878"/>
      <c r="Q1878"/>
      <c r="R1878"/>
    </row>
    <row r="1879" spans="14:18" x14ac:dyDescent="0.25">
      <c r="N1879"/>
      <c r="O1879"/>
      <c r="P1879"/>
      <c r="Q1879"/>
      <c r="R1879"/>
    </row>
    <row r="1880" spans="14:18" x14ac:dyDescent="0.25">
      <c r="N1880"/>
      <c r="O1880"/>
      <c r="P1880"/>
      <c r="Q1880"/>
      <c r="R1880"/>
    </row>
    <row r="1881" spans="14:18" x14ac:dyDescent="0.25">
      <c r="N1881"/>
      <c r="O1881"/>
      <c r="P1881"/>
      <c r="Q1881"/>
      <c r="R1881"/>
    </row>
    <row r="1882" spans="14:18" x14ac:dyDescent="0.25">
      <c r="N1882"/>
      <c r="O1882"/>
      <c r="P1882"/>
      <c r="Q1882"/>
      <c r="R1882"/>
    </row>
    <row r="1883" spans="14:18" x14ac:dyDescent="0.25">
      <c r="N1883"/>
      <c r="O1883"/>
      <c r="P1883"/>
      <c r="Q1883"/>
      <c r="R1883"/>
    </row>
    <row r="1884" spans="14:18" x14ac:dyDescent="0.25">
      <c r="N1884"/>
      <c r="O1884"/>
      <c r="P1884"/>
      <c r="Q1884"/>
      <c r="R1884"/>
    </row>
    <row r="1885" spans="14:18" x14ac:dyDescent="0.25">
      <c r="N1885"/>
      <c r="O1885"/>
      <c r="P1885"/>
      <c r="Q1885"/>
      <c r="R1885"/>
    </row>
    <row r="1886" spans="14:18" x14ac:dyDescent="0.25">
      <c r="N1886"/>
      <c r="O1886"/>
      <c r="P1886"/>
      <c r="Q1886"/>
      <c r="R1886"/>
    </row>
    <row r="1887" spans="14:18" x14ac:dyDescent="0.25">
      <c r="N1887"/>
      <c r="O1887"/>
      <c r="P1887"/>
      <c r="Q1887"/>
      <c r="R1887"/>
    </row>
    <row r="1888" spans="14:18" x14ac:dyDescent="0.25">
      <c r="N1888"/>
      <c r="O1888"/>
      <c r="P1888"/>
      <c r="Q1888"/>
      <c r="R1888"/>
    </row>
    <row r="1889" spans="14:18" x14ac:dyDescent="0.25">
      <c r="N1889"/>
      <c r="O1889"/>
      <c r="P1889"/>
      <c r="Q1889"/>
      <c r="R1889"/>
    </row>
    <row r="1890" spans="14:18" x14ac:dyDescent="0.25">
      <c r="N1890"/>
      <c r="O1890"/>
      <c r="P1890"/>
      <c r="Q1890"/>
      <c r="R1890"/>
    </row>
    <row r="1891" spans="14:18" x14ac:dyDescent="0.25">
      <c r="N1891"/>
      <c r="O1891"/>
      <c r="P1891"/>
      <c r="Q1891"/>
      <c r="R1891"/>
    </row>
    <row r="1892" spans="14:18" x14ac:dyDescent="0.25">
      <c r="N1892"/>
      <c r="O1892"/>
      <c r="P1892"/>
      <c r="Q1892"/>
      <c r="R1892"/>
    </row>
    <row r="1893" spans="14:18" x14ac:dyDescent="0.25">
      <c r="N1893"/>
      <c r="O1893"/>
      <c r="P1893"/>
      <c r="Q1893"/>
      <c r="R1893"/>
    </row>
    <row r="1894" spans="14:18" x14ac:dyDescent="0.25">
      <c r="N1894"/>
      <c r="O1894"/>
      <c r="P1894"/>
      <c r="Q1894"/>
      <c r="R1894"/>
    </row>
    <row r="1895" spans="14:18" x14ac:dyDescent="0.25">
      <c r="N1895"/>
      <c r="O1895"/>
      <c r="P1895"/>
      <c r="Q1895"/>
      <c r="R1895"/>
    </row>
    <row r="1896" spans="14:18" x14ac:dyDescent="0.25">
      <c r="N1896"/>
      <c r="O1896"/>
      <c r="P1896"/>
      <c r="Q1896"/>
      <c r="R1896"/>
    </row>
    <row r="1897" spans="14:18" x14ac:dyDescent="0.25">
      <c r="N1897"/>
      <c r="O1897"/>
      <c r="P1897"/>
      <c r="Q1897"/>
      <c r="R1897"/>
    </row>
    <row r="1898" spans="14:18" x14ac:dyDescent="0.25">
      <c r="N1898"/>
      <c r="O1898"/>
      <c r="P1898"/>
      <c r="Q1898"/>
      <c r="R1898"/>
    </row>
    <row r="1899" spans="14:18" x14ac:dyDescent="0.25">
      <c r="N1899"/>
      <c r="O1899"/>
      <c r="P1899"/>
      <c r="Q1899"/>
      <c r="R1899"/>
    </row>
    <row r="1900" spans="14:18" x14ac:dyDescent="0.25">
      <c r="N1900"/>
      <c r="O1900"/>
      <c r="P1900"/>
      <c r="Q1900"/>
      <c r="R1900"/>
    </row>
    <row r="1901" spans="14:18" x14ac:dyDescent="0.25">
      <c r="N1901"/>
      <c r="O1901"/>
      <c r="P1901"/>
      <c r="Q1901"/>
      <c r="R1901"/>
    </row>
    <row r="1902" spans="14:18" x14ac:dyDescent="0.25">
      <c r="N1902"/>
      <c r="O1902"/>
      <c r="P1902"/>
      <c r="Q1902"/>
      <c r="R1902"/>
    </row>
    <row r="1903" spans="14:18" x14ac:dyDescent="0.25">
      <c r="N1903"/>
      <c r="O1903"/>
      <c r="P1903"/>
      <c r="Q1903"/>
      <c r="R1903"/>
    </row>
    <row r="1904" spans="14:18" x14ac:dyDescent="0.25">
      <c r="N1904"/>
      <c r="O1904"/>
      <c r="P1904"/>
      <c r="Q1904"/>
      <c r="R1904"/>
    </row>
    <row r="1905" spans="14:18" x14ac:dyDescent="0.25">
      <c r="N1905"/>
      <c r="O1905"/>
      <c r="P1905"/>
      <c r="Q1905"/>
      <c r="R1905"/>
    </row>
    <row r="1906" spans="14:18" x14ac:dyDescent="0.25">
      <c r="N1906"/>
      <c r="O1906"/>
      <c r="P1906"/>
      <c r="Q1906"/>
      <c r="R1906"/>
    </row>
    <row r="1907" spans="14:18" x14ac:dyDescent="0.25">
      <c r="N1907"/>
      <c r="O1907"/>
      <c r="P1907"/>
      <c r="Q1907"/>
      <c r="R1907"/>
    </row>
    <row r="1908" spans="14:18" x14ac:dyDescent="0.25">
      <c r="N1908"/>
      <c r="O1908"/>
      <c r="P1908"/>
      <c r="Q1908"/>
      <c r="R1908"/>
    </row>
    <row r="1909" spans="14:18" x14ac:dyDescent="0.25">
      <c r="N1909"/>
      <c r="O1909"/>
      <c r="P1909"/>
      <c r="Q1909"/>
      <c r="R1909"/>
    </row>
    <row r="1910" spans="14:18" x14ac:dyDescent="0.25">
      <c r="N1910"/>
      <c r="O1910"/>
      <c r="P1910"/>
      <c r="Q1910"/>
      <c r="R1910"/>
    </row>
    <row r="1911" spans="14:18" x14ac:dyDescent="0.25">
      <c r="N1911"/>
      <c r="O1911"/>
      <c r="P1911"/>
      <c r="Q1911"/>
      <c r="R1911"/>
    </row>
    <row r="1912" spans="14:18" x14ac:dyDescent="0.25">
      <c r="N1912"/>
      <c r="O1912"/>
      <c r="P1912"/>
      <c r="Q1912"/>
      <c r="R1912"/>
    </row>
    <row r="1913" spans="14:18" x14ac:dyDescent="0.25">
      <c r="N1913"/>
      <c r="O1913"/>
      <c r="P1913"/>
      <c r="Q1913"/>
      <c r="R1913"/>
    </row>
    <row r="1914" spans="14:18" x14ac:dyDescent="0.25">
      <c r="N1914"/>
      <c r="O1914"/>
      <c r="P1914"/>
      <c r="Q1914"/>
      <c r="R1914"/>
    </row>
    <row r="1915" spans="14:18" x14ac:dyDescent="0.25">
      <c r="N1915"/>
      <c r="O1915"/>
      <c r="P1915"/>
      <c r="Q1915"/>
      <c r="R1915"/>
    </row>
    <row r="1916" spans="14:18" x14ac:dyDescent="0.25">
      <c r="N1916"/>
      <c r="O1916"/>
      <c r="P1916"/>
      <c r="Q1916"/>
      <c r="R1916"/>
    </row>
    <row r="1917" spans="14:18" x14ac:dyDescent="0.25">
      <c r="N1917"/>
      <c r="O1917"/>
      <c r="P1917"/>
      <c r="Q1917"/>
      <c r="R1917"/>
    </row>
    <row r="1918" spans="14:18" x14ac:dyDescent="0.25">
      <c r="N1918"/>
      <c r="O1918"/>
      <c r="P1918"/>
      <c r="Q1918"/>
      <c r="R1918"/>
    </row>
    <row r="1919" spans="14:18" x14ac:dyDescent="0.25">
      <c r="N1919"/>
      <c r="O1919"/>
      <c r="P1919"/>
      <c r="Q1919"/>
      <c r="R1919"/>
    </row>
    <row r="1920" spans="14:18" x14ac:dyDescent="0.25">
      <c r="N1920"/>
      <c r="O1920"/>
      <c r="P1920"/>
      <c r="Q1920"/>
      <c r="R1920"/>
    </row>
    <row r="1921" spans="14:18" x14ac:dyDescent="0.25">
      <c r="N1921"/>
      <c r="O1921"/>
      <c r="P1921"/>
      <c r="Q1921"/>
      <c r="R1921"/>
    </row>
    <row r="1922" spans="14:18" x14ac:dyDescent="0.25">
      <c r="N1922"/>
      <c r="O1922"/>
      <c r="P1922"/>
      <c r="Q1922"/>
      <c r="R1922"/>
    </row>
    <row r="1923" spans="14:18" x14ac:dyDescent="0.25">
      <c r="N1923"/>
      <c r="O1923"/>
      <c r="P1923"/>
      <c r="Q1923"/>
      <c r="R1923"/>
    </row>
    <row r="1924" spans="14:18" x14ac:dyDescent="0.25">
      <c r="N1924"/>
      <c r="O1924"/>
      <c r="P1924"/>
      <c r="Q1924"/>
      <c r="R1924"/>
    </row>
    <row r="1925" spans="14:18" x14ac:dyDescent="0.25">
      <c r="N1925"/>
      <c r="O1925"/>
      <c r="P1925"/>
      <c r="Q1925"/>
      <c r="R1925"/>
    </row>
    <row r="1926" spans="14:18" x14ac:dyDescent="0.25">
      <c r="N1926"/>
      <c r="O1926"/>
      <c r="P1926"/>
      <c r="Q1926"/>
      <c r="R1926"/>
    </row>
    <row r="1927" spans="14:18" x14ac:dyDescent="0.25">
      <c r="N1927"/>
      <c r="O1927"/>
      <c r="P1927"/>
      <c r="Q1927"/>
      <c r="R1927"/>
    </row>
    <row r="1928" spans="14:18" x14ac:dyDescent="0.25">
      <c r="N1928"/>
      <c r="O1928"/>
      <c r="P1928"/>
      <c r="Q1928"/>
      <c r="R1928"/>
    </row>
    <row r="1929" spans="14:18" x14ac:dyDescent="0.25">
      <c r="N1929"/>
      <c r="O1929"/>
      <c r="P1929"/>
      <c r="Q1929"/>
      <c r="R1929"/>
    </row>
    <row r="1930" spans="14:18" x14ac:dyDescent="0.25">
      <c r="N1930"/>
      <c r="O1930"/>
      <c r="P1930"/>
      <c r="Q1930"/>
      <c r="R1930"/>
    </row>
    <row r="1931" spans="14:18" x14ac:dyDescent="0.25">
      <c r="N1931"/>
      <c r="O1931"/>
      <c r="P1931"/>
      <c r="Q1931"/>
      <c r="R1931"/>
    </row>
    <row r="1932" spans="14:18" x14ac:dyDescent="0.25">
      <c r="N1932"/>
      <c r="O1932"/>
      <c r="P1932"/>
      <c r="Q1932"/>
      <c r="R1932"/>
    </row>
    <row r="1933" spans="14:18" x14ac:dyDescent="0.25">
      <c r="N1933"/>
      <c r="O1933"/>
      <c r="P1933"/>
      <c r="Q1933"/>
      <c r="R1933"/>
    </row>
    <row r="1934" spans="14:18" x14ac:dyDescent="0.25">
      <c r="N1934"/>
      <c r="O1934"/>
      <c r="P1934"/>
      <c r="Q1934"/>
      <c r="R1934"/>
    </row>
    <row r="1935" spans="14:18" x14ac:dyDescent="0.25">
      <c r="N1935"/>
      <c r="O1935"/>
      <c r="P1935"/>
      <c r="Q1935"/>
      <c r="R1935"/>
    </row>
    <row r="1936" spans="14:18" x14ac:dyDescent="0.25">
      <c r="N1936"/>
      <c r="O1936"/>
      <c r="P1936"/>
      <c r="Q1936"/>
      <c r="R1936"/>
    </row>
    <row r="1937" spans="14:18" x14ac:dyDescent="0.25">
      <c r="N1937"/>
      <c r="O1937"/>
      <c r="P1937"/>
      <c r="Q1937"/>
      <c r="R1937"/>
    </row>
    <row r="1938" spans="14:18" x14ac:dyDescent="0.25">
      <c r="N1938"/>
      <c r="O1938"/>
      <c r="P1938"/>
      <c r="Q1938"/>
      <c r="R1938"/>
    </row>
    <row r="1939" spans="14:18" x14ac:dyDescent="0.25">
      <c r="N1939"/>
      <c r="O1939"/>
      <c r="P1939"/>
      <c r="Q1939"/>
      <c r="R1939"/>
    </row>
    <row r="1940" spans="14:18" x14ac:dyDescent="0.25">
      <c r="N1940"/>
      <c r="O1940"/>
      <c r="P1940"/>
      <c r="Q1940"/>
      <c r="R1940"/>
    </row>
    <row r="1941" spans="14:18" x14ac:dyDescent="0.25">
      <c r="N1941"/>
      <c r="O1941"/>
      <c r="P1941"/>
      <c r="Q1941"/>
      <c r="R1941"/>
    </row>
    <row r="1942" spans="14:18" x14ac:dyDescent="0.25">
      <c r="N1942"/>
      <c r="O1942"/>
      <c r="P1942"/>
      <c r="Q1942"/>
      <c r="R1942"/>
    </row>
    <row r="1943" spans="14:18" x14ac:dyDescent="0.25">
      <c r="N1943"/>
      <c r="O1943"/>
      <c r="P1943"/>
      <c r="Q1943"/>
      <c r="R1943"/>
    </row>
    <row r="1944" spans="14:18" x14ac:dyDescent="0.25">
      <c r="N1944"/>
      <c r="O1944"/>
      <c r="P1944"/>
      <c r="Q1944"/>
      <c r="R1944"/>
    </row>
    <row r="1945" spans="14:18" x14ac:dyDescent="0.25">
      <c r="N1945"/>
      <c r="O1945"/>
      <c r="P1945"/>
      <c r="Q1945"/>
      <c r="R1945"/>
    </row>
    <row r="1946" spans="14:18" x14ac:dyDescent="0.25">
      <c r="N1946"/>
      <c r="O1946"/>
      <c r="P1946"/>
      <c r="Q1946"/>
      <c r="R1946"/>
    </row>
    <row r="1947" spans="14:18" x14ac:dyDescent="0.25">
      <c r="N1947"/>
      <c r="O1947"/>
      <c r="P1947"/>
      <c r="Q1947"/>
      <c r="R1947"/>
    </row>
    <row r="1948" spans="14:18" x14ac:dyDescent="0.25">
      <c r="N1948"/>
      <c r="O1948"/>
      <c r="P1948"/>
      <c r="Q1948"/>
      <c r="R1948"/>
    </row>
    <row r="1949" spans="14:18" x14ac:dyDescent="0.25">
      <c r="N1949"/>
      <c r="O1949"/>
      <c r="P1949"/>
      <c r="Q1949"/>
      <c r="R1949"/>
    </row>
    <row r="1950" spans="14:18" x14ac:dyDescent="0.25">
      <c r="N1950"/>
      <c r="O1950"/>
      <c r="P1950"/>
      <c r="Q1950"/>
      <c r="R1950"/>
    </row>
    <row r="1951" spans="14:18" x14ac:dyDescent="0.25">
      <c r="N1951"/>
      <c r="O1951"/>
      <c r="P1951"/>
      <c r="Q1951"/>
      <c r="R1951"/>
    </row>
    <row r="1952" spans="14:18" x14ac:dyDescent="0.25">
      <c r="N1952"/>
      <c r="O1952"/>
      <c r="P1952"/>
      <c r="Q1952"/>
      <c r="R1952"/>
    </row>
    <row r="1953" spans="14:18" x14ac:dyDescent="0.25">
      <c r="N1953"/>
      <c r="O1953"/>
      <c r="P1953"/>
      <c r="Q1953"/>
      <c r="R1953"/>
    </row>
    <row r="1954" spans="14:18" x14ac:dyDescent="0.25">
      <c r="N1954"/>
      <c r="O1954"/>
      <c r="P1954"/>
      <c r="Q1954"/>
      <c r="R1954"/>
    </row>
    <row r="1955" spans="14:18" x14ac:dyDescent="0.25">
      <c r="N1955"/>
      <c r="O1955"/>
      <c r="P1955"/>
      <c r="Q1955"/>
      <c r="R1955"/>
    </row>
    <row r="1956" spans="14:18" x14ac:dyDescent="0.25">
      <c r="N1956"/>
      <c r="O1956"/>
      <c r="P1956"/>
      <c r="Q1956"/>
      <c r="R1956"/>
    </row>
    <row r="1957" spans="14:18" x14ac:dyDescent="0.25">
      <c r="N1957"/>
      <c r="O1957"/>
      <c r="P1957"/>
      <c r="Q1957"/>
      <c r="R1957"/>
    </row>
    <row r="1958" spans="14:18" x14ac:dyDescent="0.25">
      <c r="N1958"/>
      <c r="O1958"/>
      <c r="P1958"/>
      <c r="Q1958"/>
      <c r="R1958"/>
    </row>
    <row r="1959" spans="14:18" x14ac:dyDescent="0.25">
      <c r="N1959"/>
      <c r="O1959"/>
      <c r="P1959"/>
      <c r="Q1959"/>
      <c r="R1959"/>
    </row>
    <row r="1960" spans="14:18" x14ac:dyDescent="0.25">
      <c r="N1960"/>
      <c r="O1960"/>
      <c r="P1960"/>
      <c r="Q1960"/>
      <c r="R1960"/>
    </row>
    <row r="1961" spans="14:18" x14ac:dyDescent="0.25">
      <c r="N1961"/>
      <c r="O1961"/>
      <c r="P1961"/>
      <c r="Q1961"/>
      <c r="R1961"/>
    </row>
    <row r="1962" spans="14:18" x14ac:dyDescent="0.25">
      <c r="N1962"/>
      <c r="O1962"/>
      <c r="P1962"/>
      <c r="Q1962"/>
      <c r="R1962"/>
    </row>
    <row r="1963" spans="14:18" x14ac:dyDescent="0.25">
      <c r="N1963"/>
      <c r="O1963"/>
      <c r="P1963"/>
      <c r="Q1963"/>
      <c r="R1963"/>
    </row>
    <row r="1964" spans="14:18" x14ac:dyDescent="0.25">
      <c r="N1964"/>
      <c r="O1964"/>
      <c r="P1964"/>
      <c r="Q1964"/>
      <c r="R1964"/>
    </row>
    <row r="1965" spans="14:18" x14ac:dyDescent="0.25">
      <c r="N1965"/>
      <c r="O1965"/>
      <c r="P1965"/>
      <c r="Q1965"/>
      <c r="R1965"/>
    </row>
    <row r="1966" spans="14:18" x14ac:dyDescent="0.25">
      <c r="N1966"/>
      <c r="O1966"/>
      <c r="P1966"/>
      <c r="Q1966"/>
      <c r="R1966"/>
    </row>
    <row r="1967" spans="14:18" x14ac:dyDescent="0.25">
      <c r="N1967"/>
      <c r="O1967"/>
      <c r="P1967"/>
      <c r="Q1967"/>
      <c r="R1967"/>
    </row>
    <row r="1968" spans="14:18" x14ac:dyDescent="0.25">
      <c r="N1968"/>
      <c r="O1968"/>
      <c r="P1968"/>
      <c r="Q1968"/>
      <c r="R1968"/>
    </row>
    <row r="1969" spans="14:18" x14ac:dyDescent="0.25">
      <c r="N1969"/>
      <c r="O1969"/>
      <c r="P1969"/>
      <c r="Q1969"/>
      <c r="R1969"/>
    </row>
    <row r="1970" spans="14:18" x14ac:dyDescent="0.25">
      <c r="N1970"/>
      <c r="O1970"/>
      <c r="P1970"/>
      <c r="Q1970"/>
      <c r="R1970"/>
    </row>
    <row r="1971" spans="14:18" x14ac:dyDescent="0.25">
      <c r="N1971"/>
      <c r="O1971"/>
      <c r="P1971"/>
      <c r="Q1971"/>
      <c r="R1971"/>
    </row>
    <row r="1972" spans="14:18" x14ac:dyDescent="0.25">
      <c r="N1972"/>
      <c r="O1972"/>
      <c r="P1972"/>
      <c r="Q1972"/>
      <c r="R1972"/>
    </row>
    <row r="1973" spans="14:18" x14ac:dyDescent="0.25">
      <c r="N1973"/>
      <c r="O1973"/>
      <c r="P1973"/>
      <c r="Q1973"/>
      <c r="R1973"/>
    </row>
    <row r="1974" spans="14:18" x14ac:dyDescent="0.25">
      <c r="N1974"/>
      <c r="O1974"/>
      <c r="P1974"/>
      <c r="Q1974"/>
      <c r="R1974"/>
    </row>
    <row r="1975" spans="14:18" x14ac:dyDescent="0.25">
      <c r="N1975"/>
      <c r="O1975"/>
      <c r="P1975"/>
      <c r="Q1975"/>
      <c r="R1975"/>
    </row>
    <row r="1976" spans="14:18" x14ac:dyDescent="0.25">
      <c r="N1976"/>
      <c r="O1976"/>
      <c r="P1976"/>
      <c r="Q1976"/>
      <c r="R1976"/>
    </row>
    <row r="1977" spans="14:18" x14ac:dyDescent="0.25">
      <c r="N1977"/>
      <c r="O1977"/>
      <c r="P1977"/>
      <c r="Q1977"/>
      <c r="R1977"/>
    </row>
    <row r="1978" spans="14:18" x14ac:dyDescent="0.25">
      <c r="N1978"/>
      <c r="O1978"/>
      <c r="P1978"/>
      <c r="Q1978"/>
      <c r="R1978"/>
    </row>
    <row r="1979" spans="14:18" x14ac:dyDescent="0.25">
      <c r="N1979"/>
      <c r="O1979"/>
      <c r="P1979"/>
      <c r="Q1979"/>
      <c r="R1979"/>
    </row>
    <row r="1980" spans="14:18" x14ac:dyDescent="0.25">
      <c r="N1980"/>
      <c r="O1980"/>
      <c r="P1980"/>
      <c r="Q1980"/>
      <c r="R1980"/>
    </row>
    <row r="1981" spans="14:18" x14ac:dyDescent="0.25">
      <c r="N1981"/>
      <c r="O1981"/>
      <c r="P1981"/>
      <c r="Q1981"/>
      <c r="R1981"/>
    </row>
    <row r="1982" spans="14:18" x14ac:dyDescent="0.25">
      <c r="N1982"/>
      <c r="O1982"/>
      <c r="P1982"/>
      <c r="Q1982"/>
      <c r="R1982"/>
    </row>
    <row r="1983" spans="14:18" x14ac:dyDescent="0.25">
      <c r="N1983"/>
      <c r="O1983"/>
      <c r="P1983"/>
      <c r="Q1983"/>
      <c r="R1983"/>
    </row>
    <row r="1984" spans="14:18" x14ac:dyDescent="0.25">
      <c r="N1984"/>
      <c r="O1984"/>
      <c r="P1984"/>
      <c r="Q1984"/>
      <c r="R1984"/>
    </row>
    <row r="1985" spans="14:18" x14ac:dyDescent="0.25">
      <c r="N1985"/>
      <c r="O1985"/>
      <c r="P1985"/>
      <c r="Q1985"/>
      <c r="R1985"/>
    </row>
    <row r="1986" spans="14:18" x14ac:dyDescent="0.25">
      <c r="N1986"/>
      <c r="O1986"/>
      <c r="P1986"/>
      <c r="Q1986"/>
      <c r="R1986"/>
    </row>
    <row r="1987" spans="14:18" x14ac:dyDescent="0.25">
      <c r="N1987"/>
      <c r="O1987"/>
      <c r="P1987"/>
      <c r="Q1987"/>
      <c r="R1987"/>
    </row>
    <row r="1988" spans="14:18" x14ac:dyDescent="0.25">
      <c r="N1988"/>
      <c r="O1988"/>
      <c r="P1988"/>
      <c r="Q1988"/>
      <c r="R1988"/>
    </row>
    <row r="1989" spans="14:18" x14ac:dyDescent="0.25">
      <c r="N1989"/>
      <c r="O1989"/>
      <c r="P1989"/>
      <c r="Q1989"/>
      <c r="R1989"/>
    </row>
    <row r="1990" spans="14:18" x14ac:dyDescent="0.25">
      <c r="N1990"/>
      <c r="O1990"/>
      <c r="P1990"/>
      <c r="Q1990"/>
      <c r="R1990"/>
    </row>
    <row r="1991" spans="14:18" x14ac:dyDescent="0.25">
      <c r="N1991"/>
      <c r="O1991"/>
      <c r="P1991"/>
      <c r="Q1991"/>
      <c r="R1991"/>
    </row>
    <row r="1992" spans="14:18" x14ac:dyDescent="0.25">
      <c r="N1992"/>
      <c r="O1992"/>
      <c r="P1992"/>
      <c r="Q1992"/>
      <c r="R1992"/>
    </row>
    <row r="1993" spans="14:18" x14ac:dyDescent="0.25">
      <c r="N1993"/>
      <c r="O1993"/>
      <c r="P1993"/>
      <c r="Q1993"/>
      <c r="R1993"/>
    </row>
    <row r="1994" spans="14:18" x14ac:dyDescent="0.25">
      <c r="N1994"/>
      <c r="O1994"/>
      <c r="P1994"/>
      <c r="Q1994"/>
      <c r="R1994"/>
    </row>
    <row r="1995" spans="14:18" x14ac:dyDescent="0.25">
      <c r="N1995"/>
      <c r="O1995"/>
      <c r="P1995"/>
      <c r="Q1995"/>
      <c r="R1995"/>
    </row>
    <row r="1996" spans="14:18" x14ac:dyDescent="0.25">
      <c r="N1996"/>
      <c r="O1996"/>
      <c r="P1996"/>
      <c r="Q1996"/>
      <c r="R1996"/>
    </row>
    <row r="1997" spans="14:18" x14ac:dyDescent="0.25">
      <c r="N1997"/>
      <c r="O1997"/>
      <c r="P1997"/>
      <c r="Q1997"/>
      <c r="R1997"/>
    </row>
    <row r="1998" spans="14:18" x14ac:dyDescent="0.25">
      <c r="N1998"/>
      <c r="O1998"/>
      <c r="P1998"/>
      <c r="Q1998"/>
      <c r="R1998"/>
    </row>
    <row r="1999" spans="14:18" x14ac:dyDescent="0.25">
      <c r="N1999"/>
      <c r="O1999"/>
      <c r="P1999"/>
      <c r="Q1999"/>
      <c r="R1999"/>
    </row>
    <row r="2000" spans="14:18" x14ac:dyDescent="0.25">
      <c r="N2000"/>
      <c r="O2000"/>
      <c r="P2000"/>
      <c r="Q2000"/>
      <c r="R2000"/>
    </row>
    <row r="2001" spans="14:18" x14ac:dyDescent="0.25">
      <c r="N2001"/>
      <c r="O2001"/>
      <c r="P2001"/>
      <c r="Q2001"/>
      <c r="R2001"/>
    </row>
    <row r="2002" spans="14:18" x14ac:dyDescent="0.25">
      <c r="N2002"/>
      <c r="O2002"/>
      <c r="P2002"/>
      <c r="Q2002"/>
      <c r="R2002"/>
    </row>
    <row r="2003" spans="14:18" x14ac:dyDescent="0.25">
      <c r="N2003"/>
      <c r="O2003"/>
      <c r="P2003"/>
      <c r="Q2003"/>
      <c r="R2003"/>
    </row>
    <row r="2004" spans="14:18" x14ac:dyDescent="0.25">
      <c r="N2004"/>
      <c r="O2004"/>
      <c r="P2004"/>
      <c r="Q2004"/>
      <c r="R2004"/>
    </row>
    <row r="2005" spans="14:18" x14ac:dyDescent="0.25">
      <c r="N2005"/>
      <c r="O2005"/>
      <c r="P2005"/>
      <c r="Q2005"/>
      <c r="R2005"/>
    </row>
    <row r="2006" spans="14:18" x14ac:dyDescent="0.25">
      <c r="N2006"/>
      <c r="O2006"/>
      <c r="P2006"/>
      <c r="Q2006"/>
      <c r="R2006"/>
    </row>
    <row r="2007" spans="14:18" x14ac:dyDescent="0.25">
      <c r="N2007"/>
      <c r="O2007"/>
      <c r="P2007"/>
      <c r="Q2007"/>
      <c r="R2007"/>
    </row>
    <row r="2008" spans="14:18" x14ac:dyDescent="0.25">
      <c r="N2008"/>
      <c r="O2008"/>
      <c r="P2008"/>
      <c r="Q2008"/>
      <c r="R2008"/>
    </row>
    <row r="2009" spans="14:18" x14ac:dyDescent="0.25">
      <c r="N2009"/>
      <c r="O2009"/>
      <c r="P2009"/>
      <c r="Q2009"/>
      <c r="R2009"/>
    </row>
    <row r="2010" spans="14:18" x14ac:dyDescent="0.25">
      <c r="N2010"/>
      <c r="O2010"/>
      <c r="P2010"/>
      <c r="Q2010"/>
      <c r="R2010"/>
    </row>
    <row r="2011" spans="14:18" x14ac:dyDescent="0.25">
      <c r="N2011"/>
      <c r="O2011"/>
      <c r="P2011"/>
      <c r="Q2011"/>
      <c r="R2011"/>
    </row>
    <row r="2012" spans="14:18" x14ac:dyDescent="0.25">
      <c r="N2012"/>
      <c r="O2012"/>
      <c r="P2012"/>
      <c r="Q2012"/>
      <c r="R2012"/>
    </row>
    <row r="2013" spans="14:18" x14ac:dyDescent="0.25">
      <c r="N2013"/>
      <c r="O2013"/>
      <c r="P2013"/>
      <c r="Q2013"/>
      <c r="R2013"/>
    </row>
    <row r="2014" spans="14:18" x14ac:dyDescent="0.25">
      <c r="N2014"/>
      <c r="O2014"/>
      <c r="P2014"/>
      <c r="Q2014"/>
      <c r="R2014"/>
    </row>
    <row r="2015" spans="14:18" x14ac:dyDescent="0.25">
      <c r="N2015"/>
      <c r="O2015"/>
      <c r="P2015"/>
      <c r="Q2015"/>
      <c r="R2015"/>
    </row>
    <row r="2016" spans="14:18" x14ac:dyDescent="0.25">
      <c r="N2016"/>
      <c r="O2016"/>
      <c r="P2016"/>
      <c r="Q2016"/>
      <c r="R2016"/>
    </row>
    <row r="2017" spans="14:18" x14ac:dyDescent="0.25">
      <c r="N2017"/>
      <c r="O2017"/>
      <c r="P2017"/>
      <c r="Q2017"/>
      <c r="R2017"/>
    </row>
    <row r="2018" spans="14:18" x14ac:dyDescent="0.25">
      <c r="N2018"/>
      <c r="O2018"/>
      <c r="P2018"/>
      <c r="Q2018"/>
      <c r="R2018"/>
    </row>
    <row r="2019" spans="14:18" x14ac:dyDescent="0.25">
      <c r="N2019"/>
      <c r="O2019"/>
      <c r="P2019"/>
      <c r="Q2019"/>
      <c r="R2019"/>
    </row>
    <row r="2020" spans="14:18" x14ac:dyDescent="0.25">
      <c r="N2020"/>
      <c r="O2020"/>
      <c r="P2020"/>
      <c r="Q2020"/>
      <c r="R2020"/>
    </row>
    <row r="2021" spans="14:18" x14ac:dyDescent="0.25">
      <c r="N2021"/>
      <c r="O2021"/>
      <c r="P2021"/>
      <c r="Q2021"/>
      <c r="R2021"/>
    </row>
    <row r="2022" spans="14:18" x14ac:dyDescent="0.25">
      <c r="N2022"/>
      <c r="O2022"/>
      <c r="P2022"/>
      <c r="Q2022"/>
      <c r="R2022"/>
    </row>
    <row r="2023" spans="14:18" x14ac:dyDescent="0.25">
      <c r="N2023"/>
      <c r="O2023"/>
      <c r="P2023"/>
      <c r="Q2023"/>
      <c r="R2023"/>
    </row>
    <row r="2024" spans="14:18" x14ac:dyDescent="0.25">
      <c r="N2024"/>
      <c r="O2024"/>
      <c r="P2024"/>
      <c r="Q2024"/>
      <c r="R2024"/>
    </row>
    <row r="2025" spans="14:18" x14ac:dyDescent="0.25">
      <c r="N2025"/>
      <c r="O2025"/>
      <c r="P2025"/>
      <c r="Q2025"/>
      <c r="R2025"/>
    </row>
    <row r="2026" spans="14:18" x14ac:dyDescent="0.25">
      <c r="N2026"/>
      <c r="O2026"/>
      <c r="P2026"/>
      <c r="Q2026"/>
      <c r="R2026"/>
    </row>
    <row r="2027" spans="14:18" x14ac:dyDescent="0.25">
      <c r="N2027"/>
      <c r="O2027"/>
      <c r="P2027"/>
      <c r="Q2027"/>
      <c r="R2027"/>
    </row>
    <row r="2028" spans="14:18" x14ac:dyDescent="0.25">
      <c r="N2028"/>
      <c r="O2028"/>
      <c r="P2028"/>
      <c r="Q2028"/>
      <c r="R2028"/>
    </row>
    <row r="2029" spans="14:18" x14ac:dyDescent="0.25">
      <c r="N2029"/>
      <c r="O2029"/>
      <c r="P2029"/>
      <c r="Q2029"/>
      <c r="R2029"/>
    </row>
    <row r="2030" spans="14:18" x14ac:dyDescent="0.25">
      <c r="N2030"/>
      <c r="O2030"/>
      <c r="P2030"/>
      <c r="Q2030"/>
      <c r="R2030"/>
    </row>
    <row r="2031" spans="14:18" x14ac:dyDescent="0.25">
      <c r="N2031"/>
      <c r="O2031"/>
      <c r="P2031"/>
      <c r="Q2031"/>
      <c r="R2031"/>
    </row>
    <row r="2032" spans="14:18" x14ac:dyDescent="0.25">
      <c r="N2032"/>
      <c r="O2032"/>
      <c r="P2032"/>
      <c r="Q2032"/>
      <c r="R2032"/>
    </row>
    <row r="2033" spans="14:18" x14ac:dyDescent="0.25">
      <c r="N2033"/>
      <c r="O2033"/>
      <c r="P2033"/>
      <c r="Q2033"/>
      <c r="R2033"/>
    </row>
    <row r="2034" spans="14:18" x14ac:dyDescent="0.25">
      <c r="N2034"/>
      <c r="O2034"/>
      <c r="P2034"/>
      <c r="Q2034"/>
      <c r="R2034"/>
    </row>
    <row r="2035" spans="14:18" x14ac:dyDescent="0.25">
      <c r="N2035"/>
      <c r="O2035"/>
      <c r="P2035"/>
      <c r="Q2035"/>
      <c r="R2035"/>
    </row>
    <row r="2036" spans="14:18" x14ac:dyDescent="0.25">
      <c r="N2036"/>
      <c r="O2036"/>
      <c r="P2036"/>
      <c r="Q2036"/>
      <c r="R2036"/>
    </row>
    <row r="2037" spans="14:18" x14ac:dyDescent="0.25">
      <c r="N2037"/>
      <c r="O2037"/>
      <c r="P2037"/>
      <c r="Q2037"/>
      <c r="R2037"/>
    </row>
    <row r="2038" spans="14:18" x14ac:dyDescent="0.25">
      <c r="N2038"/>
      <c r="O2038"/>
      <c r="P2038"/>
      <c r="Q2038"/>
      <c r="R2038"/>
    </row>
    <row r="2039" spans="14:18" x14ac:dyDescent="0.25">
      <c r="N2039"/>
      <c r="O2039"/>
      <c r="P2039"/>
      <c r="Q2039"/>
      <c r="R2039"/>
    </row>
    <row r="2040" spans="14:18" x14ac:dyDescent="0.25">
      <c r="N2040"/>
      <c r="O2040"/>
      <c r="P2040"/>
      <c r="Q2040"/>
      <c r="R2040"/>
    </row>
    <row r="2041" spans="14:18" x14ac:dyDescent="0.25">
      <c r="N2041"/>
      <c r="O2041"/>
      <c r="P2041"/>
      <c r="Q2041"/>
      <c r="R2041"/>
    </row>
    <row r="2042" spans="14:18" x14ac:dyDescent="0.25">
      <c r="N2042"/>
      <c r="O2042"/>
      <c r="P2042"/>
      <c r="Q2042"/>
      <c r="R2042"/>
    </row>
    <row r="2043" spans="14:18" x14ac:dyDescent="0.25">
      <c r="N2043"/>
      <c r="O2043"/>
      <c r="P2043"/>
      <c r="Q2043"/>
      <c r="R2043"/>
    </row>
    <row r="2044" spans="14:18" x14ac:dyDescent="0.25">
      <c r="N2044"/>
      <c r="O2044"/>
      <c r="P2044"/>
      <c r="Q2044"/>
      <c r="R2044"/>
    </row>
    <row r="2045" spans="14:18" x14ac:dyDescent="0.25">
      <c r="N2045"/>
      <c r="O2045"/>
      <c r="P2045"/>
      <c r="Q2045"/>
      <c r="R2045"/>
    </row>
    <row r="2046" spans="14:18" x14ac:dyDescent="0.25">
      <c r="N2046"/>
      <c r="O2046"/>
      <c r="P2046"/>
      <c r="Q2046"/>
      <c r="R2046"/>
    </row>
    <row r="2047" spans="14:18" x14ac:dyDescent="0.25">
      <c r="N2047"/>
      <c r="O2047"/>
      <c r="P2047"/>
      <c r="Q2047"/>
      <c r="R2047"/>
    </row>
    <row r="2048" spans="14:18" x14ac:dyDescent="0.25">
      <c r="N2048"/>
      <c r="O2048"/>
      <c r="P2048"/>
      <c r="Q2048"/>
      <c r="R2048"/>
    </row>
    <row r="2049" spans="14:18" x14ac:dyDescent="0.25">
      <c r="N2049"/>
      <c r="O2049"/>
      <c r="P2049"/>
      <c r="Q2049"/>
      <c r="R2049"/>
    </row>
    <row r="2050" spans="14:18" x14ac:dyDescent="0.25">
      <c r="N2050"/>
      <c r="O2050"/>
      <c r="P2050"/>
      <c r="Q2050"/>
      <c r="R2050"/>
    </row>
    <row r="2051" spans="14:18" x14ac:dyDescent="0.25">
      <c r="N2051"/>
      <c r="O2051"/>
      <c r="P2051"/>
      <c r="Q2051"/>
      <c r="R2051"/>
    </row>
    <row r="2052" spans="14:18" x14ac:dyDescent="0.25">
      <c r="N2052"/>
      <c r="O2052"/>
      <c r="P2052"/>
      <c r="Q2052"/>
      <c r="R2052"/>
    </row>
    <row r="2053" spans="14:18" x14ac:dyDescent="0.25">
      <c r="N2053"/>
      <c r="O2053"/>
      <c r="P2053"/>
      <c r="Q2053"/>
      <c r="R2053"/>
    </row>
    <row r="2054" spans="14:18" x14ac:dyDescent="0.25">
      <c r="N2054"/>
      <c r="O2054"/>
      <c r="P2054"/>
      <c r="Q2054"/>
      <c r="R2054"/>
    </row>
    <row r="2055" spans="14:18" x14ac:dyDescent="0.25">
      <c r="N2055"/>
      <c r="O2055"/>
      <c r="P2055"/>
      <c r="Q2055"/>
      <c r="R2055"/>
    </row>
    <row r="2056" spans="14:18" x14ac:dyDescent="0.25">
      <c r="N2056"/>
      <c r="O2056"/>
      <c r="P2056"/>
      <c r="Q2056"/>
      <c r="R2056"/>
    </row>
    <row r="2057" spans="14:18" x14ac:dyDescent="0.25">
      <c r="N2057"/>
      <c r="O2057"/>
      <c r="P2057"/>
      <c r="Q2057"/>
      <c r="R2057"/>
    </row>
    <row r="2058" spans="14:18" x14ac:dyDescent="0.25">
      <c r="N2058"/>
      <c r="O2058"/>
      <c r="P2058"/>
      <c r="Q2058"/>
      <c r="R2058"/>
    </row>
    <row r="2059" spans="14:18" x14ac:dyDescent="0.25">
      <c r="N2059"/>
      <c r="O2059"/>
      <c r="P2059"/>
      <c r="Q2059"/>
      <c r="R2059"/>
    </row>
    <row r="2060" spans="14:18" x14ac:dyDescent="0.25">
      <c r="N2060"/>
      <c r="O2060"/>
      <c r="P2060"/>
      <c r="Q2060"/>
      <c r="R2060"/>
    </row>
    <row r="2061" spans="14:18" x14ac:dyDescent="0.25">
      <c r="N2061"/>
      <c r="O2061"/>
      <c r="P2061"/>
      <c r="Q2061"/>
      <c r="R2061"/>
    </row>
    <row r="2062" spans="14:18" x14ac:dyDescent="0.25">
      <c r="N2062"/>
      <c r="O2062"/>
      <c r="P2062"/>
      <c r="Q2062"/>
      <c r="R2062"/>
    </row>
    <row r="2063" spans="14:18" x14ac:dyDescent="0.25">
      <c r="N2063"/>
      <c r="O2063"/>
      <c r="P2063"/>
      <c r="Q2063"/>
      <c r="R2063"/>
    </row>
    <row r="2064" spans="14:18" x14ac:dyDescent="0.25">
      <c r="N2064"/>
      <c r="O2064"/>
      <c r="P2064"/>
      <c r="Q2064"/>
      <c r="R2064"/>
    </row>
    <row r="2065" spans="14:18" x14ac:dyDescent="0.25">
      <c r="N2065"/>
      <c r="O2065"/>
      <c r="P2065"/>
      <c r="Q2065"/>
      <c r="R2065"/>
    </row>
    <row r="2066" spans="14:18" x14ac:dyDescent="0.25">
      <c r="N2066"/>
      <c r="O2066"/>
      <c r="P2066"/>
      <c r="Q2066"/>
      <c r="R2066"/>
    </row>
    <row r="2067" spans="14:18" x14ac:dyDescent="0.25">
      <c r="N2067"/>
      <c r="O2067"/>
      <c r="P2067"/>
      <c r="Q2067"/>
      <c r="R2067"/>
    </row>
    <row r="2068" spans="14:18" x14ac:dyDescent="0.25">
      <c r="N2068"/>
      <c r="O2068"/>
      <c r="P2068"/>
      <c r="Q2068"/>
      <c r="R2068"/>
    </row>
    <row r="2069" spans="14:18" x14ac:dyDescent="0.25">
      <c r="N2069"/>
      <c r="O2069"/>
      <c r="P2069"/>
      <c r="Q2069"/>
      <c r="R2069"/>
    </row>
    <row r="2070" spans="14:18" x14ac:dyDescent="0.25">
      <c r="N2070"/>
      <c r="O2070"/>
      <c r="P2070"/>
      <c r="Q2070"/>
      <c r="R2070"/>
    </row>
    <row r="2071" spans="14:18" x14ac:dyDescent="0.25">
      <c r="N2071"/>
      <c r="O2071"/>
      <c r="P2071"/>
      <c r="Q2071"/>
      <c r="R2071"/>
    </row>
    <row r="2072" spans="14:18" x14ac:dyDescent="0.25">
      <c r="N2072"/>
      <c r="O2072"/>
      <c r="P2072"/>
      <c r="Q2072"/>
      <c r="R2072"/>
    </row>
    <row r="2073" spans="14:18" x14ac:dyDescent="0.25">
      <c r="N2073"/>
      <c r="O2073"/>
      <c r="P2073"/>
      <c r="Q2073"/>
      <c r="R2073"/>
    </row>
    <row r="2074" spans="14:18" x14ac:dyDescent="0.25">
      <c r="N2074"/>
      <c r="O2074"/>
      <c r="P2074"/>
      <c r="Q2074"/>
      <c r="R2074"/>
    </row>
    <row r="2075" spans="14:18" x14ac:dyDescent="0.25">
      <c r="N2075"/>
      <c r="O2075"/>
      <c r="P2075"/>
      <c r="Q2075"/>
      <c r="R2075"/>
    </row>
    <row r="2076" spans="14:18" x14ac:dyDescent="0.25">
      <c r="N2076"/>
      <c r="O2076"/>
      <c r="P2076"/>
      <c r="Q2076"/>
      <c r="R2076"/>
    </row>
    <row r="2077" spans="14:18" x14ac:dyDescent="0.25">
      <c r="N2077"/>
      <c r="O2077"/>
      <c r="P2077"/>
      <c r="Q2077"/>
      <c r="R2077"/>
    </row>
    <row r="2078" spans="14:18" x14ac:dyDescent="0.25">
      <c r="N2078"/>
      <c r="O2078"/>
      <c r="P2078"/>
      <c r="Q2078"/>
      <c r="R2078"/>
    </row>
    <row r="2079" spans="14:18" x14ac:dyDescent="0.25">
      <c r="N2079"/>
      <c r="O2079"/>
      <c r="P2079"/>
      <c r="Q2079"/>
      <c r="R2079"/>
    </row>
    <row r="2080" spans="14:18" x14ac:dyDescent="0.25">
      <c r="N2080"/>
      <c r="O2080"/>
      <c r="P2080"/>
      <c r="Q2080"/>
      <c r="R2080"/>
    </row>
    <row r="2081" spans="14:18" x14ac:dyDescent="0.25">
      <c r="N2081"/>
      <c r="O2081"/>
      <c r="P2081"/>
      <c r="Q2081"/>
      <c r="R2081"/>
    </row>
    <row r="2082" spans="14:18" x14ac:dyDescent="0.25">
      <c r="N2082"/>
      <c r="O2082"/>
      <c r="P2082"/>
      <c r="Q2082"/>
      <c r="R2082"/>
    </row>
    <row r="2083" spans="14:18" x14ac:dyDescent="0.25">
      <c r="N2083"/>
      <c r="O2083"/>
      <c r="P2083"/>
      <c r="Q2083"/>
      <c r="R2083"/>
    </row>
    <row r="2084" spans="14:18" x14ac:dyDescent="0.25">
      <c r="N2084"/>
      <c r="O2084"/>
      <c r="P2084"/>
      <c r="Q2084"/>
      <c r="R2084"/>
    </row>
    <row r="2085" spans="14:18" x14ac:dyDescent="0.25">
      <c r="N2085"/>
      <c r="O2085"/>
      <c r="P2085"/>
      <c r="Q2085"/>
      <c r="R2085"/>
    </row>
    <row r="2086" spans="14:18" x14ac:dyDescent="0.25">
      <c r="N2086"/>
      <c r="O2086"/>
      <c r="P2086"/>
      <c r="Q2086"/>
      <c r="R2086"/>
    </row>
    <row r="2087" spans="14:18" x14ac:dyDescent="0.25">
      <c r="N2087"/>
      <c r="O2087"/>
      <c r="P2087"/>
      <c r="Q2087"/>
      <c r="R2087"/>
    </row>
    <row r="2088" spans="14:18" x14ac:dyDescent="0.25">
      <c r="N2088"/>
      <c r="O2088"/>
      <c r="P2088"/>
      <c r="Q2088"/>
      <c r="R2088"/>
    </row>
    <row r="2089" spans="14:18" x14ac:dyDescent="0.25">
      <c r="N2089"/>
      <c r="O2089"/>
      <c r="P2089"/>
      <c r="Q2089"/>
      <c r="R2089"/>
    </row>
    <row r="2090" spans="14:18" x14ac:dyDescent="0.25">
      <c r="N2090"/>
      <c r="O2090"/>
      <c r="P2090"/>
      <c r="Q2090"/>
      <c r="R2090"/>
    </row>
    <row r="2091" spans="14:18" x14ac:dyDescent="0.25">
      <c r="N2091"/>
      <c r="O2091"/>
      <c r="P2091"/>
      <c r="Q2091"/>
      <c r="R2091"/>
    </row>
    <row r="2092" spans="14:18" x14ac:dyDescent="0.25">
      <c r="N2092"/>
      <c r="O2092"/>
      <c r="P2092"/>
      <c r="Q2092"/>
      <c r="R2092"/>
    </row>
    <row r="2093" spans="14:18" x14ac:dyDescent="0.25">
      <c r="N2093"/>
      <c r="O2093"/>
      <c r="P2093"/>
      <c r="Q2093"/>
      <c r="R2093"/>
    </row>
    <row r="2094" spans="14:18" x14ac:dyDescent="0.25">
      <c r="N2094"/>
      <c r="O2094"/>
      <c r="P2094"/>
      <c r="Q2094"/>
      <c r="R2094"/>
    </row>
    <row r="2095" spans="14:18" x14ac:dyDescent="0.25">
      <c r="N2095"/>
      <c r="O2095"/>
      <c r="P2095"/>
      <c r="Q2095"/>
      <c r="R2095"/>
    </row>
    <row r="2096" spans="14:18" x14ac:dyDescent="0.25">
      <c r="N2096"/>
      <c r="O2096"/>
      <c r="P2096"/>
      <c r="Q2096"/>
      <c r="R2096"/>
    </row>
    <row r="2097" spans="14:18" x14ac:dyDescent="0.25">
      <c r="N2097"/>
      <c r="O2097"/>
      <c r="P2097"/>
      <c r="Q2097"/>
      <c r="R2097"/>
    </row>
    <row r="2098" spans="14:18" x14ac:dyDescent="0.25">
      <c r="N2098"/>
      <c r="O2098"/>
      <c r="P2098"/>
      <c r="Q2098"/>
      <c r="R2098"/>
    </row>
    <row r="2099" spans="14:18" x14ac:dyDescent="0.25">
      <c r="N2099"/>
      <c r="O2099"/>
      <c r="P2099"/>
      <c r="Q2099"/>
      <c r="R2099"/>
    </row>
    <row r="2100" spans="14:18" x14ac:dyDescent="0.25">
      <c r="N2100"/>
      <c r="O2100"/>
      <c r="P2100"/>
      <c r="Q2100"/>
      <c r="R2100"/>
    </row>
    <row r="2101" spans="14:18" x14ac:dyDescent="0.25">
      <c r="N2101"/>
      <c r="O2101"/>
      <c r="P2101"/>
      <c r="Q2101"/>
      <c r="R2101"/>
    </row>
    <row r="2102" spans="14:18" x14ac:dyDescent="0.25">
      <c r="N2102"/>
      <c r="O2102"/>
      <c r="P2102"/>
      <c r="Q2102"/>
      <c r="R2102"/>
    </row>
    <row r="2103" spans="14:18" x14ac:dyDescent="0.25">
      <c r="N2103"/>
      <c r="O2103"/>
      <c r="P2103"/>
      <c r="Q2103"/>
      <c r="R2103"/>
    </row>
    <row r="2104" spans="14:18" x14ac:dyDescent="0.25">
      <c r="N2104"/>
      <c r="O2104"/>
      <c r="P2104"/>
      <c r="Q2104"/>
      <c r="R2104"/>
    </row>
    <row r="2105" spans="14:18" x14ac:dyDescent="0.25">
      <c r="N2105"/>
      <c r="O2105"/>
      <c r="P2105"/>
      <c r="Q2105"/>
      <c r="R2105"/>
    </row>
    <row r="2106" spans="14:18" x14ac:dyDescent="0.25">
      <c r="N2106"/>
      <c r="O2106"/>
      <c r="P2106"/>
      <c r="Q2106"/>
      <c r="R2106"/>
    </row>
    <row r="2107" spans="14:18" x14ac:dyDescent="0.25">
      <c r="N2107"/>
      <c r="O2107"/>
      <c r="P2107"/>
      <c r="Q2107"/>
      <c r="R2107"/>
    </row>
    <row r="2108" spans="14:18" x14ac:dyDescent="0.25">
      <c r="N2108"/>
      <c r="O2108"/>
      <c r="P2108"/>
      <c r="Q2108"/>
      <c r="R2108"/>
    </row>
    <row r="2109" spans="14:18" x14ac:dyDescent="0.25">
      <c r="N2109"/>
      <c r="O2109"/>
      <c r="P2109"/>
      <c r="Q2109"/>
      <c r="R2109"/>
    </row>
    <row r="2110" spans="14:18" x14ac:dyDescent="0.25">
      <c r="N2110"/>
      <c r="O2110"/>
      <c r="P2110"/>
      <c r="Q2110"/>
      <c r="R2110"/>
    </row>
    <row r="2111" spans="14:18" x14ac:dyDescent="0.25">
      <c r="N2111"/>
      <c r="O2111"/>
      <c r="P2111"/>
      <c r="Q2111"/>
      <c r="R2111"/>
    </row>
    <row r="2112" spans="14:18" x14ac:dyDescent="0.25">
      <c r="N2112"/>
      <c r="O2112"/>
      <c r="P2112"/>
      <c r="Q2112"/>
      <c r="R2112"/>
    </row>
    <row r="2113" spans="14:18" x14ac:dyDescent="0.25">
      <c r="N2113"/>
      <c r="O2113"/>
      <c r="P2113"/>
      <c r="Q2113"/>
      <c r="R2113"/>
    </row>
    <row r="2114" spans="14:18" x14ac:dyDescent="0.25">
      <c r="N2114"/>
      <c r="O2114"/>
      <c r="P2114"/>
      <c r="Q2114"/>
      <c r="R2114"/>
    </row>
    <row r="2115" spans="14:18" x14ac:dyDescent="0.25">
      <c r="N2115"/>
      <c r="O2115"/>
      <c r="P2115"/>
      <c r="Q2115"/>
      <c r="R2115"/>
    </row>
    <row r="2116" spans="14:18" x14ac:dyDescent="0.25">
      <c r="N2116"/>
      <c r="O2116"/>
      <c r="P2116"/>
      <c r="Q2116"/>
      <c r="R2116"/>
    </row>
    <row r="2117" spans="14:18" x14ac:dyDescent="0.25">
      <c r="N2117"/>
      <c r="O2117"/>
      <c r="P2117"/>
      <c r="Q2117"/>
      <c r="R2117"/>
    </row>
    <row r="2118" spans="14:18" x14ac:dyDescent="0.25">
      <c r="N2118"/>
      <c r="O2118"/>
      <c r="P2118"/>
      <c r="Q2118"/>
      <c r="R2118"/>
    </row>
    <row r="2119" spans="14:18" x14ac:dyDescent="0.25">
      <c r="N2119"/>
      <c r="O2119"/>
      <c r="P2119"/>
      <c r="Q2119"/>
      <c r="R2119"/>
    </row>
    <row r="2120" spans="14:18" x14ac:dyDescent="0.25">
      <c r="N2120"/>
      <c r="O2120"/>
      <c r="P2120"/>
      <c r="Q2120"/>
      <c r="R2120"/>
    </row>
    <row r="2121" spans="14:18" x14ac:dyDescent="0.25">
      <c r="N2121"/>
      <c r="O2121"/>
      <c r="P2121"/>
      <c r="Q2121"/>
      <c r="R2121"/>
    </row>
    <row r="2122" spans="14:18" x14ac:dyDescent="0.25">
      <c r="N2122"/>
      <c r="O2122"/>
      <c r="P2122"/>
      <c r="Q2122"/>
      <c r="R2122"/>
    </row>
    <row r="2123" spans="14:18" x14ac:dyDescent="0.25">
      <c r="N2123"/>
      <c r="O2123"/>
      <c r="P2123"/>
      <c r="Q2123"/>
      <c r="R2123"/>
    </row>
    <row r="2124" spans="14:18" x14ac:dyDescent="0.25">
      <c r="N2124"/>
      <c r="O2124"/>
      <c r="P2124"/>
      <c r="Q2124"/>
      <c r="R2124"/>
    </row>
    <row r="2125" spans="14:18" x14ac:dyDescent="0.25">
      <c r="N2125"/>
      <c r="O2125"/>
      <c r="P2125"/>
      <c r="Q2125"/>
      <c r="R2125"/>
    </row>
    <row r="2126" spans="14:18" x14ac:dyDescent="0.25">
      <c r="N2126"/>
      <c r="O2126"/>
      <c r="P2126"/>
      <c r="Q2126"/>
      <c r="R2126"/>
    </row>
    <row r="2127" spans="14:18" x14ac:dyDescent="0.25">
      <c r="N2127"/>
      <c r="O2127"/>
      <c r="P2127"/>
      <c r="Q2127"/>
      <c r="R2127"/>
    </row>
    <row r="2128" spans="14:18" x14ac:dyDescent="0.25">
      <c r="N2128"/>
      <c r="O2128"/>
      <c r="P2128"/>
      <c r="Q2128"/>
      <c r="R2128"/>
    </row>
    <row r="2129" spans="14:18" x14ac:dyDescent="0.25">
      <c r="N2129"/>
      <c r="O2129"/>
      <c r="P2129"/>
      <c r="Q2129"/>
      <c r="R2129"/>
    </row>
    <row r="2130" spans="14:18" x14ac:dyDescent="0.25">
      <c r="N2130"/>
      <c r="O2130"/>
      <c r="P2130"/>
      <c r="Q2130"/>
      <c r="R2130"/>
    </row>
    <row r="2131" spans="14:18" x14ac:dyDescent="0.25">
      <c r="N2131"/>
      <c r="O2131"/>
      <c r="P2131"/>
      <c r="Q2131"/>
      <c r="R2131"/>
    </row>
    <row r="2132" spans="14:18" x14ac:dyDescent="0.25">
      <c r="N2132"/>
      <c r="O2132"/>
      <c r="P2132"/>
      <c r="Q2132"/>
      <c r="R2132"/>
    </row>
    <row r="2133" spans="14:18" x14ac:dyDescent="0.25">
      <c r="N2133"/>
      <c r="O2133"/>
      <c r="P2133"/>
      <c r="Q2133"/>
      <c r="R2133"/>
    </row>
    <row r="2134" spans="14:18" x14ac:dyDescent="0.25">
      <c r="N2134"/>
      <c r="O2134"/>
      <c r="P2134"/>
      <c r="Q2134"/>
      <c r="R2134"/>
    </row>
    <row r="2135" spans="14:18" x14ac:dyDescent="0.25">
      <c r="N2135"/>
      <c r="O2135"/>
      <c r="P2135"/>
      <c r="Q2135"/>
      <c r="R2135"/>
    </row>
    <row r="2136" spans="14:18" x14ac:dyDescent="0.25">
      <c r="N2136"/>
      <c r="O2136"/>
      <c r="P2136"/>
      <c r="Q2136"/>
      <c r="R2136"/>
    </row>
    <row r="2137" spans="14:18" x14ac:dyDescent="0.25">
      <c r="N2137"/>
      <c r="O2137"/>
      <c r="P2137"/>
      <c r="Q2137"/>
      <c r="R2137"/>
    </row>
    <row r="2138" spans="14:18" x14ac:dyDescent="0.25">
      <c r="N2138"/>
      <c r="O2138"/>
      <c r="P2138"/>
      <c r="Q2138"/>
      <c r="R2138"/>
    </row>
    <row r="2139" spans="14:18" x14ac:dyDescent="0.25">
      <c r="N2139"/>
      <c r="O2139"/>
      <c r="P2139"/>
      <c r="Q2139"/>
      <c r="R2139"/>
    </row>
    <row r="2140" spans="14:18" x14ac:dyDescent="0.25">
      <c r="N2140"/>
      <c r="O2140"/>
      <c r="P2140"/>
      <c r="Q2140"/>
      <c r="R2140"/>
    </row>
    <row r="2141" spans="14:18" x14ac:dyDescent="0.25">
      <c r="N2141"/>
      <c r="O2141"/>
      <c r="P2141"/>
      <c r="Q2141"/>
      <c r="R2141"/>
    </row>
    <row r="2142" spans="14:18" x14ac:dyDescent="0.25">
      <c r="N2142"/>
      <c r="O2142"/>
      <c r="P2142"/>
      <c r="Q2142"/>
      <c r="R2142"/>
    </row>
    <row r="2143" spans="14:18" x14ac:dyDescent="0.25">
      <c r="N2143"/>
      <c r="O2143"/>
      <c r="P2143"/>
      <c r="Q2143"/>
      <c r="R2143"/>
    </row>
    <row r="2144" spans="14:18" x14ac:dyDescent="0.25">
      <c r="N2144"/>
      <c r="O2144"/>
      <c r="P2144"/>
      <c r="Q2144"/>
      <c r="R2144"/>
    </row>
    <row r="2145" spans="14:18" x14ac:dyDescent="0.25">
      <c r="N2145"/>
      <c r="O2145"/>
      <c r="P2145"/>
      <c r="Q2145"/>
      <c r="R2145"/>
    </row>
    <row r="2146" spans="14:18" x14ac:dyDescent="0.25">
      <c r="N2146"/>
      <c r="O2146"/>
      <c r="P2146"/>
      <c r="Q2146"/>
      <c r="R2146"/>
    </row>
    <row r="2147" spans="14:18" x14ac:dyDescent="0.25">
      <c r="N2147"/>
      <c r="O2147"/>
      <c r="P2147"/>
      <c r="Q2147"/>
      <c r="R2147"/>
    </row>
    <row r="2148" spans="14:18" x14ac:dyDescent="0.25">
      <c r="N2148"/>
      <c r="O2148"/>
      <c r="P2148"/>
      <c r="Q2148"/>
      <c r="R2148"/>
    </row>
    <row r="2149" spans="14:18" x14ac:dyDescent="0.25">
      <c r="N2149"/>
      <c r="O2149"/>
      <c r="P2149"/>
      <c r="Q2149"/>
      <c r="R2149"/>
    </row>
    <row r="2150" spans="14:18" x14ac:dyDescent="0.25">
      <c r="N2150"/>
      <c r="O2150"/>
      <c r="P2150"/>
      <c r="Q2150"/>
      <c r="R2150"/>
    </row>
    <row r="2151" spans="14:18" x14ac:dyDescent="0.25">
      <c r="N2151"/>
      <c r="O2151"/>
      <c r="P2151"/>
      <c r="Q2151"/>
      <c r="R2151"/>
    </row>
    <row r="2152" spans="14:18" x14ac:dyDescent="0.25">
      <c r="N2152"/>
      <c r="O2152"/>
      <c r="P2152"/>
      <c r="Q2152"/>
      <c r="R2152"/>
    </row>
    <row r="2153" spans="14:18" x14ac:dyDescent="0.25">
      <c r="N2153"/>
      <c r="O2153"/>
      <c r="P2153"/>
      <c r="Q2153"/>
      <c r="R2153"/>
    </row>
    <row r="2154" spans="14:18" x14ac:dyDescent="0.25">
      <c r="N2154"/>
      <c r="O2154"/>
      <c r="P2154"/>
      <c r="Q2154"/>
      <c r="R2154"/>
    </row>
    <row r="2155" spans="14:18" x14ac:dyDescent="0.25">
      <c r="N2155"/>
      <c r="O2155"/>
      <c r="P2155"/>
      <c r="Q2155"/>
      <c r="R2155"/>
    </row>
    <row r="2156" spans="14:18" x14ac:dyDescent="0.25">
      <c r="N2156"/>
      <c r="O2156"/>
      <c r="P2156"/>
      <c r="Q2156"/>
      <c r="R2156"/>
    </row>
    <row r="2157" spans="14:18" x14ac:dyDescent="0.25">
      <c r="N2157"/>
      <c r="O2157"/>
      <c r="P2157"/>
      <c r="Q2157"/>
      <c r="R2157"/>
    </row>
    <row r="2158" spans="14:18" x14ac:dyDescent="0.25">
      <c r="N2158"/>
      <c r="O2158"/>
      <c r="P2158"/>
      <c r="Q2158"/>
      <c r="R2158"/>
    </row>
    <row r="2159" spans="14:18" x14ac:dyDescent="0.25">
      <c r="N2159"/>
      <c r="O2159"/>
      <c r="P2159"/>
      <c r="Q2159"/>
      <c r="R2159"/>
    </row>
    <row r="2160" spans="14:18" x14ac:dyDescent="0.25">
      <c r="N2160"/>
      <c r="O2160"/>
      <c r="P2160"/>
      <c r="Q2160"/>
      <c r="R2160"/>
    </row>
    <row r="2161" spans="14:18" x14ac:dyDescent="0.25">
      <c r="N2161"/>
      <c r="O2161"/>
      <c r="P2161"/>
      <c r="Q2161"/>
      <c r="R2161"/>
    </row>
    <row r="2162" spans="14:18" x14ac:dyDescent="0.25">
      <c r="N2162"/>
      <c r="O2162"/>
      <c r="P2162"/>
      <c r="Q2162"/>
      <c r="R2162"/>
    </row>
    <row r="2163" spans="14:18" x14ac:dyDescent="0.25">
      <c r="N2163"/>
      <c r="O2163"/>
      <c r="P2163"/>
      <c r="Q2163"/>
      <c r="R2163"/>
    </row>
    <row r="2164" spans="14:18" x14ac:dyDescent="0.25">
      <c r="N2164"/>
      <c r="O2164"/>
      <c r="P2164"/>
      <c r="Q2164"/>
      <c r="R2164"/>
    </row>
    <row r="2165" spans="14:18" x14ac:dyDescent="0.25">
      <c r="N2165"/>
      <c r="O2165"/>
      <c r="P2165"/>
      <c r="Q2165"/>
      <c r="R2165"/>
    </row>
    <row r="2166" spans="14:18" x14ac:dyDescent="0.25">
      <c r="N2166"/>
      <c r="O2166"/>
      <c r="P2166"/>
      <c r="Q2166"/>
      <c r="R2166"/>
    </row>
    <row r="2167" spans="14:18" x14ac:dyDescent="0.25">
      <c r="N2167"/>
      <c r="O2167"/>
      <c r="P2167"/>
      <c r="Q2167"/>
      <c r="R2167"/>
    </row>
    <row r="2168" spans="14:18" x14ac:dyDescent="0.25">
      <c r="N2168"/>
      <c r="O2168"/>
      <c r="P2168"/>
      <c r="Q2168"/>
      <c r="R2168"/>
    </row>
    <row r="2169" spans="14:18" x14ac:dyDescent="0.25">
      <c r="N2169"/>
      <c r="O2169"/>
      <c r="P2169"/>
      <c r="Q2169"/>
      <c r="R2169"/>
    </row>
    <row r="2170" spans="14:18" x14ac:dyDescent="0.25">
      <c r="N2170"/>
      <c r="O2170"/>
      <c r="P2170"/>
      <c r="Q2170"/>
      <c r="R2170"/>
    </row>
    <row r="2171" spans="14:18" x14ac:dyDescent="0.25">
      <c r="N2171"/>
      <c r="O2171"/>
      <c r="P2171"/>
      <c r="Q2171"/>
      <c r="R2171"/>
    </row>
    <row r="2172" spans="14:18" x14ac:dyDescent="0.25">
      <c r="N2172"/>
      <c r="O2172"/>
      <c r="P2172"/>
      <c r="Q2172"/>
      <c r="R2172"/>
    </row>
    <row r="2173" spans="14:18" x14ac:dyDescent="0.25">
      <c r="N2173"/>
      <c r="O2173"/>
      <c r="P2173"/>
      <c r="Q2173"/>
      <c r="R2173"/>
    </row>
    <row r="2174" spans="14:18" x14ac:dyDescent="0.25">
      <c r="N2174"/>
      <c r="O2174"/>
      <c r="P2174"/>
      <c r="Q2174"/>
      <c r="R2174"/>
    </row>
    <row r="2175" spans="14:18" x14ac:dyDescent="0.25">
      <c r="N2175"/>
      <c r="O2175"/>
      <c r="P2175"/>
      <c r="Q2175"/>
      <c r="R2175"/>
    </row>
    <row r="2176" spans="14:18" x14ac:dyDescent="0.25">
      <c r="N2176"/>
      <c r="O2176"/>
      <c r="P2176"/>
      <c r="Q2176"/>
      <c r="R2176"/>
    </row>
    <row r="2177" spans="14:18" x14ac:dyDescent="0.25">
      <c r="N2177"/>
      <c r="O2177"/>
      <c r="P2177"/>
      <c r="Q2177"/>
      <c r="R2177"/>
    </row>
    <row r="2178" spans="14:18" x14ac:dyDescent="0.25">
      <c r="N2178"/>
      <c r="O2178"/>
      <c r="P2178"/>
      <c r="Q2178"/>
      <c r="R2178"/>
    </row>
    <row r="2179" spans="14:18" x14ac:dyDescent="0.25">
      <c r="N2179"/>
      <c r="O2179"/>
      <c r="P2179"/>
      <c r="Q2179"/>
      <c r="R2179"/>
    </row>
    <row r="2180" spans="14:18" x14ac:dyDescent="0.25">
      <c r="N2180"/>
      <c r="O2180"/>
      <c r="P2180"/>
      <c r="Q2180"/>
      <c r="R2180"/>
    </row>
    <row r="2181" spans="14:18" x14ac:dyDescent="0.25">
      <c r="N2181"/>
      <c r="O2181"/>
      <c r="P2181"/>
      <c r="Q2181"/>
      <c r="R2181"/>
    </row>
    <row r="2182" spans="14:18" x14ac:dyDescent="0.25">
      <c r="N2182"/>
      <c r="O2182"/>
      <c r="P2182"/>
      <c r="Q2182"/>
      <c r="R2182"/>
    </row>
    <row r="2183" spans="14:18" x14ac:dyDescent="0.25">
      <c r="N2183"/>
      <c r="O2183"/>
      <c r="P2183"/>
      <c r="Q2183"/>
      <c r="R2183"/>
    </row>
    <row r="2184" spans="14:18" x14ac:dyDescent="0.25">
      <c r="N2184"/>
      <c r="O2184"/>
      <c r="P2184"/>
      <c r="Q2184"/>
      <c r="R2184"/>
    </row>
    <row r="2185" spans="14:18" x14ac:dyDescent="0.25">
      <c r="N2185"/>
      <c r="O2185"/>
      <c r="P2185"/>
      <c r="Q2185"/>
      <c r="R2185"/>
    </row>
    <row r="2186" spans="14:18" x14ac:dyDescent="0.25">
      <c r="N2186"/>
      <c r="O2186"/>
      <c r="P2186"/>
      <c r="Q2186"/>
      <c r="R2186"/>
    </row>
    <row r="2187" spans="14:18" x14ac:dyDescent="0.25">
      <c r="N2187"/>
      <c r="O2187"/>
      <c r="P2187"/>
      <c r="Q2187"/>
      <c r="R2187"/>
    </row>
    <row r="2188" spans="14:18" x14ac:dyDescent="0.25">
      <c r="N2188"/>
      <c r="O2188"/>
      <c r="P2188"/>
      <c r="Q2188"/>
      <c r="R2188"/>
    </row>
    <row r="2189" spans="14:18" x14ac:dyDescent="0.25">
      <c r="N2189"/>
      <c r="O2189"/>
      <c r="P2189"/>
      <c r="Q2189"/>
      <c r="R2189"/>
    </row>
    <row r="2190" spans="14:18" x14ac:dyDescent="0.25">
      <c r="N2190"/>
      <c r="O2190"/>
      <c r="P2190"/>
      <c r="Q2190"/>
      <c r="R2190"/>
    </row>
    <row r="2191" spans="14:18" x14ac:dyDescent="0.25">
      <c r="N2191"/>
      <c r="O2191"/>
      <c r="P2191"/>
      <c r="Q2191"/>
      <c r="R2191"/>
    </row>
    <row r="2192" spans="14:18" x14ac:dyDescent="0.25">
      <c r="N2192"/>
      <c r="O2192"/>
      <c r="P2192"/>
      <c r="Q2192"/>
      <c r="R2192"/>
    </row>
    <row r="2193" spans="14:18" x14ac:dyDescent="0.25">
      <c r="N2193"/>
      <c r="O2193"/>
      <c r="P2193"/>
      <c r="Q2193"/>
      <c r="R2193"/>
    </row>
    <row r="2194" spans="14:18" x14ac:dyDescent="0.25">
      <c r="N2194"/>
      <c r="O2194"/>
      <c r="P2194"/>
      <c r="Q2194"/>
      <c r="R2194"/>
    </row>
    <row r="2195" spans="14:18" x14ac:dyDescent="0.25">
      <c r="N2195"/>
      <c r="O2195"/>
      <c r="P2195"/>
      <c r="Q2195"/>
      <c r="R2195"/>
    </row>
    <row r="2196" spans="14:18" x14ac:dyDescent="0.25">
      <c r="N2196"/>
      <c r="O2196"/>
      <c r="P2196"/>
      <c r="Q2196"/>
      <c r="R2196"/>
    </row>
    <row r="2197" spans="14:18" x14ac:dyDescent="0.25">
      <c r="N2197"/>
      <c r="O2197"/>
      <c r="P2197"/>
      <c r="Q2197"/>
      <c r="R2197"/>
    </row>
    <row r="2198" spans="14:18" x14ac:dyDescent="0.25">
      <c r="N2198"/>
      <c r="O2198"/>
      <c r="P2198"/>
      <c r="Q2198"/>
      <c r="R2198"/>
    </row>
    <row r="2199" spans="14:18" x14ac:dyDescent="0.25">
      <c r="N2199"/>
      <c r="O2199"/>
      <c r="P2199"/>
      <c r="Q2199"/>
      <c r="R2199"/>
    </row>
    <row r="2200" spans="14:18" x14ac:dyDescent="0.25">
      <c r="N2200"/>
      <c r="O2200"/>
      <c r="P2200"/>
      <c r="Q2200"/>
      <c r="R2200"/>
    </row>
    <row r="2201" spans="14:18" x14ac:dyDescent="0.25">
      <c r="N2201"/>
      <c r="O2201"/>
      <c r="P2201"/>
      <c r="Q2201"/>
      <c r="R2201"/>
    </row>
    <row r="2202" spans="14:18" x14ac:dyDescent="0.25">
      <c r="N2202"/>
      <c r="O2202"/>
      <c r="P2202"/>
      <c r="Q2202"/>
      <c r="R2202"/>
    </row>
    <row r="2203" spans="14:18" x14ac:dyDescent="0.25">
      <c r="N2203"/>
      <c r="O2203"/>
      <c r="P2203"/>
      <c r="Q2203"/>
      <c r="R2203"/>
    </row>
    <row r="2204" spans="14:18" x14ac:dyDescent="0.25">
      <c r="N2204"/>
      <c r="O2204"/>
      <c r="P2204"/>
      <c r="Q2204"/>
      <c r="R2204"/>
    </row>
    <row r="2205" spans="14:18" x14ac:dyDescent="0.25">
      <c r="N2205"/>
      <c r="O2205"/>
      <c r="P2205"/>
      <c r="Q2205"/>
      <c r="R2205"/>
    </row>
    <row r="2206" spans="14:18" x14ac:dyDescent="0.25">
      <c r="N2206"/>
      <c r="O2206"/>
      <c r="P2206"/>
      <c r="Q2206"/>
      <c r="R2206"/>
    </row>
    <row r="2207" spans="14:18" x14ac:dyDescent="0.25">
      <c r="N2207"/>
      <c r="O2207"/>
      <c r="P2207"/>
      <c r="Q2207"/>
      <c r="R2207"/>
    </row>
    <row r="2208" spans="14:18" x14ac:dyDescent="0.25">
      <c r="N2208"/>
      <c r="O2208"/>
      <c r="P2208"/>
      <c r="Q2208"/>
      <c r="R2208"/>
    </row>
    <row r="2209" spans="14:18" x14ac:dyDescent="0.25">
      <c r="N2209"/>
      <c r="O2209"/>
      <c r="P2209"/>
      <c r="Q2209"/>
      <c r="R2209"/>
    </row>
    <row r="2210" spans="14:18" x14ac:dyDescent="0.25">
      <c r="N2210"/>
      <c r="O2210"/>
      <c r="P2210"/>
      <c r="Q2210"/>
      <c r="R2210"/>
    </row>
    <row r="2211" spans="14:18" x14ac:dyDescent="0.25">
      <c r="N2211"/>
      <c r="O2211"/>
      <c r="P2211"/>
      <c r="Q2211"/>
      <c r="R2211"/>
    </row>
    <row r="2212" spans="14:18" x14ac:dyDescent="0.25">
      <c r="N2212"/>
      <c r="O2212"/>
      <c r="P2212"/>
      <c r="Q2212"/>
      <c r="R2212"/>
    </row>
    <row r="2213" spans="14:18" x14ac:dyDescent="0.25">
      <c r="N2213"/>
      <c r="O2213"/>
      <c r="P2213"/>
      <c r="Q2213"/>
      <c r="R2213"/>
    </row>
    <row r="2214" spans="14:18" x14ac:dyDescent="0.25">
      <c r="N2214"/>
      <c r="O2214"/>
      <c r="P2214"/>
      <c r="Q2214"/>
      <c r="R2214"/>
    </row>
    <row r="2215" spans="14:18" x14ac:dyDescent="0.25">
      <c r="N2215"/>
      <c r="O2215"/>
      <c r="P2215"/>
      <c r="Q2215"/>
      <c r="R2215"/>
    </row>
    <row r="2216" spans="14:18" x14ac:dyDescent="0.25">
      <c r="N2216"/>
      <c r="O2216"/>
      <c r="P2216"/>
      <c r="Q2216"/>
      <c r="R2216"/>
    </row>
    <row r="2217" spans="14:18" x14ac:dyDescent="0.25">
      <c r="N2217"/>
      <c r="O2217"/>
      <c r="P2217"/>
      <c r="Q2217"/>
      <c r="R2217"/>
    </row>
    <row r="2218" spans="14:18" x14ac:dyDescent="0.25">
      <c r="N2218"/>
      <c r="O2218"/>
      <c r="P2218"/>
      <c r="Q2218"/>
      <c r="R2218"/>
    </row>
    <row r="2219" spans="14:18" x14ac:dyDescent="0.25">
      <c r="N2219"/>
      <c r="O2219"/>
      <c r="P2219"/>
      <c r="Q2219"/>
      <c r="R2219"/>
    </row>
    <row r="2220" spans="14:18" x14ac:dyDescent="0.25">
      <c r="N2220"/>
      <c r="O2220"/>
      <c r="P2220"/>
      <c r="Q2220"/>
      <c r="R2220"/>
    </row>
    <row r="2221" spans="14:18" x14ac:dyDescent="0.25">
      <c r="N2221"/>
      <c r="O2221"/>
      <c r="P2221"/>
      <c r="Q2221"/>
      <c r="R2221"/>
    </row>
    <row r="2222" spans="14:18" x14ac:dyDescent="0.25">
      <c r="N2222"/>
      <c r="O2222"/>
      <c r="P2222"/>
      <c r="Q2222"/>
      <c r="R2222"/>
    </row>
    <row r="2223" spans="14:18" x14ac:dyDescent="0.25">
      <c r="N2223"/>
      <c r="O2223"/>
      <c r="P2223"/>
      <c r="Q2223"/>
      <c r="R2223"/>
    </row>
    <row r="2224" spans="14:18" x14ac:dyDescent="0.25">
      <c r="N2224"/>
      <c r="O2224"/>
      <c r="P2224"/>
      <c r="Q2224"/>
      <c r="R2224"/>
    </row>
    <row r="2225" spans="14:18" x14ac:dyDescent="0.25">
      <c r="N2225"/>
      <c r="O2225"/>
      <c r="P2225"/>
      <c r="Q2225"/>
      <c r="R2225"/>
    </row>
    <row r="2226" spans="14:18" x14ac:dyDescent="0.25">
      <c r="N2226"/>
      <c r="O2226"/>
      <c r="P2226"/>
      <c r="Q2226"/>
      <c r="R2226"/>
    </row>
    <row r="2227" spans="14:18" x14ac:dyDescent="0.25">
      <c r="N2227"/>
      <c r="O2227"/>
      <c r="P2227"/>
      <c r="Q2227"/>
      <c r="R2227"/>
    </row>
    <row r="2228" spans="14:18" x14ac:dyDescent="0.25">
      <c r="N2228"/>
      <c r="O2228"/>
      <c r="P2228"/>
      <c r="Q2228"/>
      <c r="R2228"/>
    </row>
    <row r="2229" spans="14:18" x14ac:dyDescent="0.25">
      <c r="N2229"/>
      <c r="O2229"/>
      <c r="P2229"/>
      <c r="Q2229"/>
      <c r="R2229"/>
    </row>
    <row r="2230" spans="14:18" x14ac:dyDescent="0.25">
      <c r="N2230"/>
      <c r="O2230"/>
      <c r="P2230"/>
      <c r="Q2230"/>
      <c r="R2230"/>
    </row>
    <row r="2231" spans="14:18" x14ac:dyDescent="0.25">
      <c r="N2231"/>
      <c r="O2231"/>
      <c r="P2231"/>
      <c r="Q2231"/>
      <c r="R2231"/>
    </row>
    <row r="2232" spans="14:18" x14ac:dyDescent="0.25">
      <c r="N2232"/>
      <c r="O2232"/>
      <c r="P2232"/>
      <c r="Q2232"/>
      <c r="R2232"/>
    </row>
    <row r="2233" spans="14:18" x14ac:dyDescent="0.25">
      <c r="N2233"/>
      <c r="O2233"/>
      <c r="P2233"/>
      <c r="Q2233"/>
      <c r="R2233"/>
    </row>
    <row r="2234" spans="14:18" x14ac:dyDescent="0.25">
      <c r="N2234"/>
      <c r="O2234"/>
      <c r="P2234"/>
      <c r="Q2234"/>
      <c r="R2234"/>
    </row>
    <row r="2235" spans="14:18" x14ac:dyDescent="0.25">
      <c r="N2235"/>
      <c r="O2235"/>
      <c r="P2235"/>
      <c r="Q2235"/>
      <c r="R2235"/>
    </row>
    <row r="2236" spans="14:18" x14ac:dyDescent="0.25">
      <c r="N2236"/>
      <c r="O2236"/>
      <c r="P2236"/>
      <c r="Q2236"/>
      <c r="R2236"/>
    </row>
    <row r="2237" spans="14:18" x14ac:dyDescent="0.25">
      <c r="N2237"/>
      <c r="O2237"/>
      <c r="P2237"/>
      <c r="Q2237"/>
      <c r="R2237"/>
    </row>
    <row r="2238" spans="14:18" x14ac:dyDescent="0.25">
      <c r="N2238"/>
      <c r="O2238"/>
      <c r="P2238"/>
      <c r="Q2238"/>
      <c r="R2238"/>
    </row>
    <row r="2239" spans="14:18" x14ac:dyDescent="0.25">
      <c r="N2239"/>
      <c r="O2239"/>
      <c r="P2239"/>
      <c r="Q2239"/>
      <c r="R2239"/>
    </row>
    <row r="2240" spans="14:18" x14ac:dyDescent="0.25">
      <c r="N2240"/>
      <c r="O2240"/>
      <c r="P2240"/>
      <c r="Q2240"/>
      <c r="R2240"/>
    </row>
    <row r="2241" spans="14:18" x14ac:dyDescent="0.25">
      <c r="N2241"/>
      <c r="O2241"/>
      <c r="P2241"/>
      <c r="Q2241"/>
      <c r="R2241"/>
    </row>
    <row r="2242" spans="14:18" x14ac:dyDescent="0.25">
      <c r="N2242"/>
      <c r="O2242"/>
      <c r="P2242"/>
      <c r="Q2242"/>
      <c r="R2242"/>
    </row>
    <row r="2243" spans="14:18" x14ac:dyDescent="0.25">
      <c r="N2243"/>
      <c r="O2243"/>
      <c r="P2243"/>
      <c r="Q2243"/>
      <c r="R2243"/>
    </row>
    <row r="2244" spans="14:18" x14ac:dyDescent="0.25">
      <c r="N2244"/>
      <c r="O2244"/>
      <c r="P2244"/>
      <c r="Q2244"/>
      <c r="R2244"/>
    </row>
    <row r="2245" spans="14:18" x14ac:dyDescent="0.25">
      <c r="N2245"/>
      <c r="O2245"/>
      <c r="P2245"/>
      <c r="Q2245"/>
      <c r="R2245"/>
    </row>
    <row r="2246" spans="14:18" x14ac:dyDescent="0.25">
      <c r="N2246"/>
      <c r="O2246"/>
      <c r="P2246"/>
      <c r="Q2246"/>
      <c r="R2246"/>
    </row>
    <row r="2247" spans="14:18" x14ac:dyDescent="0.25">
      <c r="N2247"/>
      <c r="O2247"/>
      <c r="P2247"/>
      <c r="Q2247"/>
      <c r="R2247"/>
    </row>
    <row r="2248" spans="14:18" x14ac:dyDescent="0.25">
      <c r="N2248"/>
      <c r="O2248"/>
      <c r="P2248"/>
      <c r="Q2248"/>
      <c r="R2248"/>
    </row>
    <row r="2249" spans="14:18" x14ac:dyDescent="0.25">
      <c r="N2249"/>
      <c r="O2249"/>
      <c r="P2249"/>
      <c r="Q2249"/>
      <c r="R2249"/>
    </row>
    <row r="2250" spans="14:18" x14ac:dyDescent="0.25">
      <c r="N2250"/>
      <c r="O2250"/>
      <c r="P2250"/>
      <c r="Q2250"/>
      <c r="R2250"/>
    </row>
    <row r="2251" spans="14:18" x14ac:dyDescent="0.25">
      <c r="N2251"/>
      <c r="O2251"/>
      <c r="P2251"/>
      <c r="Q2251"/>
      <c r="R2251"/>
    </row>
    <row r="2252" spans="14:18" x14ac:dyDescent="0.25">
      <c r="N2252"/>
      <c r="O2252"/>
      <c r="P2252"/>
      <c r="Q2252"/>
      <c r="R2252"/>
    </row>
    <row r="2253" spans="14:18" x14ac:dyDescent="0.25">
      <c r="N2253"/>
      <c r="O2253"/>
      <c r="P2253"/>
      <c r="Q2253"/>
      <c r="R2253"/>
    </row>
    <row r="2254" spans="14:18" x14ac:dyDescent="0.25">
      <c r="N2254"/>
      <c r="O2254"/>
      <c r="P2254"/>
      <c r="Q2254"/>
      <c r="R2254"/>
    </row>
    <row r="2255" spans="14:18" x14ac:dyDescent="0.25">
      <c r="N2255"/>
      <c r="O2255"/>
      <c r="P2255"/>
      <c r="Q2255"/>
      <c r="R2255"/>
    </row>
    <row r="2256" spans="14:18" x14ac:dyDescent="0.25">
      <c r="N2256"/>
      <c r="O2256"/>
      <c r="P2256"/>
      <c r="Q2256"/>
      <c r="R2256"/>
    </row>
    <row r="2257" spans="14:18" x14ac:dyDescent="0.25">
      <c r="N2257"/>
      <c r="O2257"/>
      <c r="P2257"/>
      <c r="Q2257"/>
      <c r="R2257"/>
    </row>
    <row r="2258" spans="14:18" x14ac:dyDescent="0.25">
      <c r="N2258"/>
      <c r="O2258"/>
      <c r="P2258"/>
      <c r="Q2258"/>
      <c r="R2258"/>
    </row>
    <row r="2259" spans="14:18" x14ac:dyDescent="0.25">
      <c r="N2259"/>
      <c r="O2259"/>
      <c r="P2259"/>
      <c r="Q2259"/>
      <c r="R2259"/>
    </row>
    <row r="2260" spans="14:18" x14ac:dyDescent="0.25">
      <c r="N2260"/>
      <c r="O2260"/>
      <c r="P2260"/>
      <c r="Q2260"/>
      <c r="R2260"/>
    </row>
    <row r="2261" spans="14:18" x14ac:dyDescent="0.25">
      <c r="N2261"/>
      <c r="O2261"/>
      <c r="P2261"/>
      <c r="Q2261"/>
      <c r="R2261"/>
    </row>
    <row r="2262" spans="14:18" x14ac:dyDescent="0.25">
      <c r="N2262"/>
      <c r="O2262"/>
      <c r="P2262"/>
      <c r="Q2262"/>
      <c r="R2262"/>
    </row>
    <row r="2263" spans="14:18" x14ac:dyDescent="0.25">
      <c r="N2263"/>
      <c r="O2263"/>
      <c r="P2263"/>
      <c r="Q2263"/>
      <c r="R2263"/>
    </row>
    <row r="2264" spans="14:18" x14ac:dyDescent="0.25">
      <c r="N2264"/>
      <c r="O2264"/>
      <c r="P2264"/>
      <c r="Q2264"/>
      <c r="R2264"/>
    </row>
    <row r="2265" spans="14:18" x14ac:dyDescent="0.25">
      <c r="N2265"/>
      <c r="O2265"/>
      <c r="P2265"/>
      <c r="Q2265"/>
      <c r="R2265"/>
    </row>
    <row r="2266" spans="14:18" x14ac:dyDescent="0.25">
      <c r="N2266"/>
      <c r="O2266"/>
      <c r="P2266"/>
      <c r="Q2266"/>
      <c r="R2266"/>
    </row>
    <row r="2267" spans="14:18" x14ac:dyDescent="0.25">
      <c r="N2267"/>
      <c r="O2267"/>
      <c r="P2267"/>
      <c r="Q2267"/>
      <c r="R2267"/>
    </row>
    <row r="2268" spans="14:18" x14ac:dyDescent="0.25">
      <c r="N2268"/>
      <c r="O2268"/>
      <c r="P2268"/>
      <c r="Q2268"/>
      <c r="R2268"/>
    </row>
    <row r="2269" spans="14:18" x14ac:dyDescent="0.25">
      <c r="N2269"/>
      <c r="O2269"/>
      <c r="P2269"/>
      <c r="Q2269"/>
      <c r="R2269"/>
    </row>
    <row r="2270" spans="14:18" x14ac:dyDescent="0.25">
      <c r="N2270"/>
      <c r="O2270"/>
      <c r="P2270"/>
      <c r="Q2270"/>
      <c r="R2270"/>
    </row>
    <row r="2271" spans="14:18" x14ac:dyDescent="0.25">
      <c r="N2271"/>
      <c r="O2271"/>
      <c r="P2271"/>
      <c r="Q2271"/>
      <c r="R2271"/>
    </row>
    <row r="2272" spans="14:18" x14ac:dyDescent="0.25">
      <c r="N2272"/>
      <c r="O2272"/>
      <c r="P2272"/>
      <c r="Q2272"/>
      <c r="R2272"/>
    </row>
    <row r="2273" spans="14:18" x14ac:dyDescent="0.25">
      <c r="N2273"/>
      <c r="O2273"/>
      <c r="P2273"/>
      <c r="Q2273"/>
      <c r="R2273"/>
    </row>
    <row r="2274" spans="14:18" x14ac:dyDescent="0.25">
      <c r="N2274"/>
      <c r="O2274"/>
      <c r="P2274"/>
      <c r="Q2274"/>
      <c r="R2274"/>
    </row>
    <row r="2275" spans="14:18" x14ac:dyDescent="0.25">
      <c r="N2275"/>
      <c r="O2275"/>
      <c r="P2275"/>
      <c r="Q2275"/>
      <c r="R2275"/>
    </row>
    <row r="2276" spans="14:18" x14ac:dyDescent="0.25">
      <c r="N2276"/>
      <c r="O2276"/>
      <c r="P2276"/>
      <c r="Q2276"/>
      <c r="R2276"/>
    </row>
    <row r="2277" spans="14:18" x14ac:dyDescent="0.25">
      <c r="N2277"/>
      <c r="O2277"/>
      <c r="P2277"/>
      <c r="Q2277"/>
      <c r="R2277"/>
    </row>
    <row r="2278" spans="14:18" x14ac:dyDescent="0.25">
      <c r="N2278"/>
      <c r="O2278"/>
      <c r="P2278"/>
      <c r="Q2278"/>
      <c r="R2278"/>
    </row>
    <row r="2279" spans="14:18" x14ac:dyDescent="0.25">
      <c r="N2279"/>
      <c r="O2279"/>
      <c r="P2279"/>
      <c r="Q2279"/>
      <c r="R2279"/>
    </row>
    <row r="2280" spans="14:18" x14ac:dyDescent="0.25">
      <c r="N2280"/>
      <c r="O2280"/>
      <c r="P2280"/>
      <c r="Q2280"/>
      <c r="R2280"/>
    </row>
    <row r="2281" spans="14:18" x14ac:dyDescent="0.25">
      <c r="N2281"/>
      <c r="O2281"/>
      <c r="P2281"/>
      <c r="Q2281"/>
      <c r="R2281"/>
    </row>
    <row r="2282" spans="14:18" x14ac:dyDescent="0.25">
      <c r="N2282"/>
      <c r="O2282"/>
      <c r="P2282"/>
      <c r="Q2282"/>
      <c r="R2282"/>
    </row>
    <row r="2283" spans="14:18" x14ac:dyDescent="0.25">
      <c r="N2283"/>
      <c r="O2283"/>
      <c r="P2283"/>
      <c r="Q2283"/>
      <c r="R2283"/>
    </row>
    <row r="2284" spans="14:18" x14ac:dyDescent="0.25">
      <c r="N2284"/>
      <c r="O2284"/>
      <c r="P2284"/>
      <c r="Q2284"/>
      <c r="R2284"/>
    </row>
    <row r="2285" spans="14:18" x14ac:dyDescent="0.25">
      <c r="N2285"/>
      <c r="O2285"/>
      <c r="P2285"/>
      <c r="Q2285"/>
      <c r="R2285"/>
    </row>
    <row r="2286" spans="14:18" x14ac:dyDescent="0.25">
      <c r="N2286"/>
      <c r="O2286"/>
      <c r="P2286"/>
      <c r="Q2286"/>
      <c r="R2286"/>
    </row>
    <row r="2287" spans="14:18" x14ac:dyDescent="0.25">
      <c r="N2287"/>
      <c r="O2287"/>
      <c r="P2287"/>
      <c r="Q2287"/>
      <c r="R2287"/>
    </row>
    <row r="2288" spans="14:18" x14ac:dyDescent="0.25">
      <c r="N2288"/>
      <c r="O2288"/>
      <c r="P2288"/>
      <c r="Q2288"/>
      <c r="R2288"/>
    </row>
    <row r="2289" spans="14:18" x14ac:dyDescent="0.25">
      <c r="N2289"/>
      <c r="O2289"/>
      <c r="P2289"/>
      <c r="Q2289"/>
      <c r="R2289"/>
    </row>
    <row r="2290" spans="14:18" x14ac:dyDescent="0.25">
      <c r="N2290"/>
      <c r="O2290"/>
      <c r="P2290"/>
      <c r="Q2290"/>
      <c r="R2290"/>
    </row>
    <row r="2291" spans="14:18" x14ac:dyDescent="0.25">
      <c r="N2291"/>
      <c r="O2291"/>
      <c r="P2291"/>
      <c r="Q2291"/>
      <c r="R2291"/>
    </row>
    <row r="2292" spans="14:18" x14ac:dyDescent="0.25">
      <c r="N2292"/>
      <c r="O2292"/>
      <c r="P2292"/>
      <c r="Q2292"/>
      <c r="R2292"/>
    </row>
    <row r="2293" spans="14:18" x14ac:dyDescent="0.25">
      <c r="N2293"/>
      <c r="O2293"/>
      <c r="P2293"/>
      <c r="Q2293"/>
      <c r="R2293"/>
    </row>
    <row r="2294" spans="14:18" x14ac:dyDescent="0.25">
      <c r="N2294"/>
      <c r="O2294"/>
      <c r="P2294"/>
      <c r="Q2294"/>
      <c r="R2294"/>
    </row>
    <row r="2295" spans="14:18" x14ac:dyDescent="0.25">
      <c r="N2295"/>
      <c r="O2295"/>
      <c r="P2295"/>
      <c r="Q2295"/>
      <c r="R2295"/>
    </row>
    <row r="2296" spans="14:18" x14ac:dyDescent="0.25">
      <c r="N2296"/>
      <c r="O2296"/>
      <c r="P2296"/>
      <c r="Q2296"/>
      <c r="R2296"/>
    </row>
    <row r="2297" spans="14:18" x14ac:dyDescent="0.25">
      <c r="N2297"/>
      <c r="O2297"/>
      <c r="P2297"/>
      <c r="Q2297"/>
      <c r="R2297"/>
    </row>
    <row r="2298" spans="14:18" x14ac:dyDescent="0.25">
      <c r="N2298"/>
      <c r="O2298"/>
      <c r="P2298"/>
      <c r="Q2298"/>
      <c r="R2298"/>
    </row>
    <row r="2299" spans="14:18" x14ac:dyDescent="0.25">
      <c r="N2299"/>
      <c r="O2299"/>
      <c r="P2299"/>
      <c r="Q2299"/>
      <c r="R2299"/>
    </row>
    <row r="2300" spans="14:18" x14ac:dyDescent="0.25">
      <c r="N2300"/>
      <c r="O2300"/>
      <c r="P2300"/>
      <c r="Q2300"/>
      <c r="R2300"/>
    </row>
    <row r="2301" spans="14:18" x14ac:dyDescent="0.25">
      <c r="N2301"/>
      <c r="O2301"/>
      <c r="P2301"/>
      <c r="Q2301"/>
      <c r="R2301"/>
    </row>
    <row r="2302" spans="14:18" x14ac:dyDescent="0.25">
      <c r="N2302"/>
      <c r="O2302"/>
      <c r="P2302"/>
      <c r="Q2302"/>
      <c r="R2302"/>
    </row>
    <row r="2303" spans="14:18" x14ac:dyDescent="0.25">
      <c r="N2303"/>
      <c r="O2303"/>
      <c r="P2303"/>
      <c r="Q2303"/>
      <c r="R2303"/>
    </row>
    <row r="2304" spans="14:18" x14ac:dyDescent="0.25">
      <c r="N2304"/>
      <c r="O2304"/>
      <c r="P2304"/>
      <c r="Q2304"/>
      <c r="R2304"/>
    </row>
    <row r="2305" spans="14:18" x14ac:dyDescent="0.25">
      <c r="N2305"/>
      <c r="O2305"/>
      <c r="P2305"/>
      <c r="Q2305"/>
      <c r="R2305"/>
    </row>
    <row r="2306" spans="14:18" x14ac:dyDescent="0.25">
      <c r="N2306"/>
      <c r="O2306"/>
      <c r="P2306"/>
      <c r="Q2306"/>
      <c r="R2306"/>
    </row>
    <row r="2307" spans="14:18" x14ac:dyDescent="0.25">
      <c r="N2307"/>
      <c r="O2307"/>
      <c r="P2307"/>
      <c r="Q2307"/>
      <c r="R2307"/>
    </row>
    <row r="2308" spans="14:18" x14ac:dyDescent="0.25">
      <c r="N2308"/>
      <c r="O2308"/>
      <c r="P2308"/>
      <c r="Q2308"/>
      <c r="R2308"/>
    </row>
    <row r="2309" spans="14:18" x14ac:dyDescent="0.25">
      <c r="N2309"/>
      <c r="O2309"/>
      <c r="P2309"/>
      <c r="Q2309"/>
      <c r="R2309"/>
    </row>
    <row r="2310" spans="14:18" x14ac:dyDescent="0.25">
      <c r="N2310"/>
      <c r="O2310"/>
      <c r="P2310"/>
      <c r="Q2310"/>
      <c r="R2310"/>
    </row>
    <row r="2311" spans="14:18" x14ac:dyDescent="0.25">
      <c r="N2311"/>
      <c r="O2311"/>
      <c r="P2311"/>
      <c r="Q2311"/>
      <c r="R2311"/>
    </row>
    <row r="2312" spans="14:18" x14ac:dyDescent="0.25">
      <c r="N2312"/>
      <c r="O2312"/>
      <c r="P2312"/>
      <c r="Q2312"/>
      <c r="R2312"/>
    </row>
    <row r="2313" spans="14:18" x14ac:dyDescent="0.25">
      <c r="N2313"/>
      <c r="O2313"/>
      <c r="P2313"/>
      <c r="Q2313"/>
      <c r="R2313"/>
    </row>
    <row r="2314" spans="14:18" x14ac:dyDescent="0.25">
      <c r="N2314"/>
      <c r="O2314"/>
      <c r="P2314"/>
      <c r="Q2314"/>
      <c r="R2314"/>
    </row>
    <row r="2315" spans="14:18" x14ac:dyDescent="0.25">
      <c r="N2315"/>
      <c r="O2315"/>
      <c r="P2315"/>
      <c r="Q2315"/>
      <c r="R2315"/>
    </row>
    <row r="2316" spans="14:18" x14ac:dyDescent="0.25">
      <c r="N2316"/>
      <c r="O2316"/>
      <c r="P2316"/>
      <c r="Q2316"/>
      <c r="R2316"/>
    </row>
    <row r="2317" spans="14:18" x14ac:dyDescent="0.25">
      <c r="N2317"/>
      <c r="O2317"/>
      <c r="P2317"/>
      <c r="Q2317"/>
      <c r="R2317"/>
    </row>
    <row r="2318" spans="14:18" x14ac:dyDescent="0.25">
      <c r="N2318"/>
      <c r="O2318"/>
      <c r="P2318"/>
      <c r="Q2318"/>
      <c r="R2318"/>
    </row>
    <row r="2319" spans="14:18" x14ac:dyDescent="0.25">
      <c r="N2319"/>
      <c r="O2319"/>
      <c r="P2319"/>
      <c r="Q2319"/>
      <c r="R2319"/>
    </row>
    <row r="2320" spans="14:18" x14ac:dyDescent="0.25">
      <c r="N2320"/>
      <c r="O2320"/>
      <c r="P2320"/>
      <c r="Q2320"/>
      <c r="R2320"/>
    </row>
    <row r="2321" spans="14:18" x14ac:dyDescent="0.25">
      <c r="N2321"/>
      <c r="O2321"/>
      <c r="P2321"/>
      <c r="Q2321"/>
      <c r="R2321"/>
    </row>
    <row r="2322" spans="14:18" x14ac:dyDescent="0.25">
      <c r="N2322"/>
      <c r="O2322"/>
      <c r="P2322"/>
      <c r="Q2322"/>
      <c r="R2322"/>
    </row>
    <row r="2323" spans="14:18" x14ac:dyDescent="0.25">
      <c r="N2323"/>
      <c r="O2323"/>
      <c r="P2323"/>
      <c r="Q2323"/>
      <c r="R2323"/>
    </row>
    <row r="2324" spans="14:18" x14ac:dyDescent="0.25">
      <c r="N2324"/>
      <c r="O2324"/>
      <c r="P2324"/>
      <c r="Q2324"/>
      <c r="R2324"/>
    </row>
    <row r="2325" spans="14:18" x14ac:dyDescent="0.25">
      <c r="N2325"/>
      <c r="O2325"/>
      <c r="P2325"/>
      <c r="Q2325"/>
      <c r="R2325"/>
    </row>
    <row r="2326" spans="14:18" x14ac:dyDescent="0.25">
      <c r="N2326"/>
      <c r="O2326"/>
      <c r="P2326"/>
      <c r="Q2326"/>
      <c r="R2326"/>
    </row>
    <row r="2327" spans="14:18" x14ac:dyDescent="0.25">
      <c r="N2327"/>
      <c r="O2327"/>
      <c r="P2327"/>
      <c r="Q2327"/>
      <c r="R2327"/>
    </row>
    <row r="2328" spans="14:18" x14ac:dyDescent="0.25">
      <c r="N2328"/>
      <c r="O2328"/>
      <c r="P2328"/>
      <c r="Q2328"/>
      <c r="R2328"/>
    </row>
    <row r="2329" spans="14:18" x14ac:dyDescent="0.25">
      <c r="N2329"/>
      <c r="O2329"/>
      <c r="P2329"/>
      <c r="Q2329"/>
      <c r="R2329"/>
    </row>
    <row r="2330" spans="14:18" x14ac:dyDescent="0.25">
      <c r="N2330"/>
      <c r="O2330"/>
      <c r="P2330"/>
      <c r="Q2330"/>
      <c r="R2330"/>
    </row>
    <row r="2331" spans="14:18" x14ac:dyDescent="0.25">
      <c r="N2331"/>
      <c r="O2331"/>
      <c r="P2331"/>
      <c r="Q2331"/>
      <c r="R2331"/>
    </row>
    <row r="2332" spans="14:18" x14ac:dyDescent="0.25">
      <c r="N2332"/>
      <c r="O2332"/>
      <c r="P2332"/>
      <c r="Q2332"/>
      <c r="R2332"/>
    </row>
    <row r="2333" spans="14:18" x14ac:dyDescent="0.25">
      <c r="N2333"/>
      <c r="O2333"/>
      <c r="P2333"/>
      <c r="Q2333"/>
      <c r="R2333"/>
    </row>
    <row r="2334" spans="14:18" x14ac:dyDescent="0.25">
      <c r="N2334"/>
      <c r="O2334"/>
      <c r="P2334"/>
      <c r="Q2334"/>
      <c r="R2334"/>
    </row>
    <row r="2335" spans="14:18" x14ac:dyDescent="0.25">
      <c r="N2335"/>
      <c r="O2335"/>
      <c r="P2335"/>
      <c r="Q2335"/>
      <c r="R2335"/>
    </row>
    <row r="2336" spans="14:18" x14ac:dyDescent="0.25">
      <c r="N2336"/>
      <c r="O2336"/>
      <c r="P2336"/>
      <c r="Q2336"/>
      <c r="R2336"/>
    </row>
    <row r="2337" spans="14:18" x14ac:dyDescent="0.25">
      <c r="N2337"/>
      <c r="O2337"/>
      <c r="P2337"/>
      <c r="Q2337"/>
      <c r="R2337"/>
    </row>
    <row r="2338" spans="14:18" x14ac:dyDescent="0.25">
      <c r="N2338"/>
      <c r="O2338"/>
      <c r="P2338"/>
      <c r="Q2338"/>
      <c r="R2338"/>
    </row>
    <row r="2339" spans="14:18" x14ac:dyDescent="0.25">
      <c r="N2339"/>
      <c r="O2339"/>
      <c r="P2339"/>
      <c r="Q2339"/>
      <c r="R2339"/>
    </row>
    <row r="2340" spans="14:18" x14ac:dyDescent="0.25">
      <c r="N2340"/>
      <c r="O2340"/>
      <c r="P2340"/>
      <c r="Q2340"/>
      <c r="R2340"/>
    </row>
    <row r="2341" spans="14:18" x14ac:dyDescent="0.25">
      <c r="N2341"/>
      <c r="O2341"/>
      <c r="P2341"/>
      <c r="Q2341"/>
      <c r="R2341"/>
    </row>
    <row r="2342" spans="14:18" x14ac:dyDescent="0.25">
      <c r="N2342"/>
      <c r="O2342"/>
      <c r="P2342"/>
      <c r="Q2342"/>
      <c r="R2342"/>
    </row>
    <row r="2343" spans="14:18" x14ac:dyDescent="0.25">
      <c r="N2343"/>
      <c r="O2343"/>
      <c r="P2343"/>
      <c r="Q2343"/>
      <c r="R2343"/>
    </row>
    <row r="2344" spans="14:18" x14ac:dyDescent="0.25">
      <c r="N2344"/>
      <c r="O2344"/>
      <c r="P2344"/>
      <c r="Q2344"/>
      <c r="R2344"/>
    </row>
    <row r="2345" spans="14:18" x14ac:dyDescent="0.25">
      <c r="N2345"/>
      <c r="O2345"/>
      <c r="P2345"/>
      <c r="Q2345"/>
      <c r="R2345"/>
    </row>
    <row r="2346" spans="14:18" x14ac:dyDescent="0.25">
      <c r="N2346"/>
      <c r="O2346"/>
      <c r="P2346"/>
      <c r="Q2346"/>
      <c r="R2346"/>
    </row>
    <row r="2347" spans="14:18" x14ac:dyDescent="0.25">
      <c r="N2347"/>
      <c r="O2347"/>
      <c r="P2347"/>
      <c r="Q2347"/>
      <c r="R2347"/>
    </row>
    <row r="2348" spans="14:18" x14ac:dyDescent="0.25">
      <c r="N2348"/>
      <c r="O2348"/>
      <c r="P2348"/>
      <c r="Q2348"/>
      <c r="R2348"/>
    </row>
    <row r="2349" spans="14:18" x14ac:dyDescent="0.25">
      <c r="N2349"/>
      <c r="O2349"/>
      <c r="P2349"/>
      <c r="Q2349"/>
      <c r="R2349"/>
    </row>
    <row r="2350" spans="14:18" x14ac:dyDescent="0.25">
      <c r="N2350"/>
      <c r="O2350"/>
      <c r="P2350"/>
      <c r="Q2350"/>
      <c r="R2350"/>
    </row>
    <row r="2351" spans="14:18" x14ac:dyDescent="0.25">
      <c r="N2351"/>
      <c r="O2351"/>
      <c r="P2351"/>
      <c r="Q2351"/>
      <c r="R2351"/>
    </row>
    <row r="2352" spans="14:18" x14ac:dyDescent="0.25">
      <c r="N2352"/>
      <c r="O2352"/>
      <c r="P2352"/>
      <c r="Q2352"/>
      <c r="R2352"/>
    </row>
    <row r="2353" spans="14:18" x14ac:dyDescent="0.25">
      <c r="N2353"/>
      <c r="O2353"/>
      <c r="P2353"/>
      <c r="Q2353"/>
      <c r="R2353"/>
    </row>
    <row r="2354" spans="14:18" x14ac:dyDescent="0.25">
      <c r="N2354"/>
      <c r="O2354"/>
      <c r="P2354"/>
      <c r="Q2354"/>
      <c r="R2354"/>
    </row>
    <row r="2355" spans="14:18" x14ac:dyDescent="0.25">
      <c r="N2355"/>
      <c r="O2355"/>
      <c r="P2355"/>
      <c r="Q2355"/>
      <c r="R2355"/>
    </row>
    <row r="2356" spans="14:18" x14ac:dyDescent="0.25">
      <c r="N2356"/>
      <c r="O2356"/>
      <c r="P2356"/>
      <c r="Q2356"/>
      <c r="R2356"/>
    </row>
    <row r="2357" spans="14:18" x14ac:dyDescent="0.25">
      <c r="N2357"/>
      <c r="O2357"/>
      <c r="P2357"/>
      <c r="Q2357"/>
      <c r="R2357"/>
    </row>
    <row r="2358" spans="14:18" x14ac:dyDescent="0.25">
      <c r="N2358"/>
      <c r="O2358"/>
      <c r="P2358"/>
      <c r="Q2358"/>
      <c r="R2358"/>
    </row>
    <row r="2359" spans="14:18" x14ac:dyDescent="0.25">
      <c r="N2359"/>
      <c r="O2359"/>
      <c r="P2359"/>
      <c r="Q2359"/>
      <c r="R2359"/>
    </row>
    <row r="2360" spans="14:18" x14ac:dyDescent="0.25">
      <c r="N2360"/>
      <c r="O2360"/>
      <c r="P2360"/>
      <c r="Q2360"/>
      <c r="R2360"/>
    </row>
    <row r="2361" spans="14:18" x14ac:dyDescent="0.25">
      <c r="N2361"/>
      <c r="O2361"/>
      <c r="P2361"/>
      <c r="Q2361"/>
      <c r="R2361"/>
    </row>
    <row r="2362" spans="14:18" x14ac:dyDescent="0.25">
      <c r="N2362"/>
      <c r="O2362"/>
      <c r="P2362"/>
      <c r="Q2362"/>
      <c r="R2362"/>
    </row>
    <row r="2363" spans="14:18" x14ac:dyDescent="0.25">
      <c r="N2363"/>
      <c r="O2363"/>
      <c r="P2363"/>
      <c r="Q2363"/>
      <c r="R2363"/>
    </row>
    <row r="2364" spans="14:18" x14ac:dyDescent="0.25">
      <c r="N2364"/>
      <c r="O2364"/>
      <c r="P2364"/>
      <c r="Q2364"/>
      <c r="R2364"/>
    </row>
    <row r="2365" spans="14:18" x14ac:dyDescent="0.25">
      <c r="N2365"/>
      <c r="O2365"/>
      <c r="P2365"/>
      <c r="Q2365"/>
      <c r="R2365"/>
    </row>
    <row r="2366" spans="14:18" x14ac:dyDescent="0.25">
      <c r="N2366"/>
      <c r="O2366"/>
      <c r="P2366"/>
      <c r="Q2366"/>
      <c r="R2366"/>
    </row>
    <row r="2367" spans="14:18" x14ac:dyDescent="0.25">
      <c r="N2367"/>
      <c r="O2367"/>
      <c r="P2367"/>
      <c r="Q2367"/>
      <c r="R2367"/>
    </row>
    <row r="2368" spans="14:18" x14ac:dyDescent="0.25">
      <c r="N2368"/>
      <c r="O2368"/>
      <c r="P2368"/>
      <c r="Q2368"/>
      <c r="R2368"/>
    </row>
    <row r="2369" spans="14:18" x14ac:dyDescent="0.25">
      <c r="N2369"/>
      <c r="O2369"/>
      <c r="P2369"/>
      <c r="Q2369"/>
      <c r="R2369"/>
    </row>
    <row r="2370" spans="14:18" x14ac:dyDescent="0.25">
      <c r="N2370"/>
      <c r="O2370"/>
      <c r="P2370"/>
      <c r="Q2370"/>
      <c r="R2370"/>
    </row>
    <row r="2371" spans="14:18" x14ac:dyDescent="0.25">
      <c r="N2371"/>
      <c r="O2371"/>
      <c r="P2371"/>
      <c r="Q2371"/>
      <c r="R2371"/>
    </row>
    <row r="2372" spans="14:18" x14ac:dyDescent="0.25">
      <c r="N2372"/>
      <c r="O2372"/>
      <c r="P2372"/>
      <c r="Q2372"/>
      <c r="R2372"/>
    </row>
    <row r="2373" spans="14:18" x14ac:dyDescent="0.25">
      <c r="N2373"/>
      <c r="O2373"/>
      <c r="P2373"/>
      <c r="Q2373"/>
      <c r="R2373"/>
    </row>
    <row r="2374" spans="14:18" x14ac:dyDescent="0.25">
      <c r="N2374"/>
      <c r="O2374"/>
      <c r="P2374"/>
      <c r="Q2374"/>
      <c r="R2374"/>
    </row>
    <row r="2375" spans="14:18" x14ac:dyDescent="0.25">
      <c r="N2375"/>
      <c r="O2375"/>
      <c r="P2375"/>
      <c r="Q2375"/>
      <c r="R2375"/>
    </row>
    <row r="2376" spans="14:18" x14ac:dyDescent="0.25">
      <c r="N2376"/>
      <c r="O2376"/>
      <c r="P2376"/>
      <c r="Q2376"/>
      <c r="R2376"/>
    </row>
    <row r="2377" spans="14:18" x14ac:dyDescent="0.25">
      <c r="N2377"/>
      <c r="O2377"/>
      <c r="P2377"/>
      <c r="Q2377"/>
      <c r="R2377"/>
    </row>
    <row r="2378" spans="14:18" x14ac:dyDescent="0.25">
      <c r="N2378"/>
      <c r="O2378"/>
      <c r="P2378"/>
      <c r="Q2378"/>
      <c r="R2378"/>
    </row>
    <row r="2379" spans="14:18" x14ac:dyDescent="0.25">
      <c r="N2379"/>
      <c r="O2379"/>
      <c r="P2379"/>
      <c r="Q2379"/>
      <c r="R2379"/>
    </row>
    <row r="2380" spans="14:18" x14ac:dyDescent="0.25">
      <c r="N2380"/>
      <c r="O2380"/>
      <c r="P2380"/>
      <c r="Q2380"/>
      <c r="R2380"/>
    </row>
    <row r="2381" spans="14:18" x14ac:dyDescent="0.25">
      <c r="N2381"/>
      <c r="O2381"/>
      <c r="P2381"/>
      <c r="Q2381"/>
      <c r="R2381"/>
    </row>
    <row r="2382" spans="14:18" x14ac:dyDescent="0.25">
      <c r="N2382"/>
      <c r="O2382"/>
      <c r="P2382"/>
      <c r="Q2382"/>
      <c r="R2382"/>
    </row>
    <row r="2383" spans="14:18" x14ac:dyDescent="0.25">
      <c r="N2383"/>
      <c r="O2383"/>
      <c r="P2383"/>
      <c r="Q2383"/>
      <c r="R2383"/>
    </row>
    <row r="2384" spans="14:18" x14ac:dyDescent="0.25">
      <c r="N2384"/>
      <c r="O2384"/>
      <c r="P2384"/>
      <c r="Q2384"/>
      <c r="R2384"/>
    </row>
    <row r="2385" spans="14:18" x14ac:dyDescent="0.25">
      <c r="N2385"/>
      <c r="O2385"/>
      <c r="P2385"/>
      <c r="Q2385"/>
      <c r="R2385"/>
    </row>
    <row r="2386" spans="14:18" x14ac:dyDescent="0.25">
      <c r="N2386"/>
      <c r="O2386"/>
      <c r="P2386"/>
      <c r="Q2386"/>
      <c r="R2386"/>
    </row>
    <row r="2387" spans="14:18" x14ac:dyDescent="0.25">
      <c r="N2387"/>
      <c r="O2387"/>
      <c r="P2387"/>
      <c r="Q2387"/>
      <c r="R2387"/>
    </row>
    <row r="2388" spans="14:18" x14ac:dyDescent="0.25">
      <c r="N2388"/>
      <c r="O2388"/>
      <c r="P2388"/>
      <c r="Q2388"/>
      <c r="R2388"/>
    </row>
    <row r="2389" spans="14:18" x14ac:dyDescent="0.25">
      <c r="N2389"/>
      <c r="O2389"/>
      <c r="P2389"/>
      <c r="Q2389"/>
      <c r="R2389"/>
    </row>
    <row r="2390" spans="14:18" x14ac:dyDescent="0.25">
      <c r="N2390"/>
      <c r="O2390"/>
      <c r="P2390"/>
      <c r="Q2390"/>
      <c r="R2390"/>
    </row>
    <row r="2391" spans="14:18" x14ac:dyDescent="0.25">
      <c r="N2391"/>
      <c r="O2391"/>
      <c r="P2391"/>
      <c r="Q2391"/>
      <c r="R2391"/>
    </row>
    <row r="2392" spans="14:18" x14ac:dyDescent="0.25">
      <c r="N2392"/>
      <c r="O2392"/>
      <c r="P2392"/>
      <c r="Q2392"/>
      <c r="R2392"/>
    </row>
    <row r="2393" spans="14:18" x14ac:dyDescent="0.25">
      <c r="N2393"/>
      <c r="O2393"/>
      <c r="P2393"/>
      <c r="Q2393"/>
      <c r="R2393"/>
    </row>
    <row r="2394" spans="14:18" x14ac:dyDescent="0.25">
      <c r="N2394"/>
      <c r="O2394"/>
      <c r="P2394"/>
      <c r="Q2394"/>
      <c r="R2394"/>
    </row>
    <row r="2395" spans="14:18" x14ac:dyDescent="0.25">
      <c r="N2395"/>
      <c r="O2395"/>
      <c r="P2395"/>
      <c r="Q2395"/>
      <c r="R2395"/>
    </row>
    <row r="2396" spans="14:18" x14ac:dyDescent="0.25">
      <c r="N2396"/>
      <c r="O2396"/>
      <c r="P2396"/>
      <c r="Q2396"/>
      <c r="R2396"/>
    </row>
    <row r="2397" spans="14:18" x14ac:dyDescent="0.25">
      <c r="N2397"/>
      <c r="O2397"/>
      <c r="P2397"/>
      <c r="Q2397"/>
      <c r="R2397"/>
    </row>
    <row r="2398" spans="14:18" x14ac:dyDescent="0.25">
      <c r="N2398"/>
      <c r="O2398"/>
      <c r="P2398"/>
      <c r="Q2398"/>
      <c r="R2398"/>
    </row>
    <row r="2399" spans="14:18" x14ac:dyDescent="0.25">
      <c r="N2399"/>
      <c r="O2399"/>
      <c r="P2399"/>
      <c r="Q2399"/>
      <c r="R2399"/>
    </row>
    <row r="2400" spans="14:18" x14ac:dyDescent="0.25">
      <c r="N2400"/>
      <c r="O2400"/>
      <c r="P2400"/>
      <c r="Q2400"/>
      <c r="R2400"/>
    </row>
    <row r="2401" spans="14:18" x14ac:dyDescent="0.25">
      <c r="N2401"/>
      <c r="O2401"/>
      <c r="P2401"/>
      <c r="Q2401"/>
      <c r="R2401"/>
    </row>
    <row r="2402" spans="14:18" x14ac:dyDescent="0.25">
      <c r="N2402"/>
      <c r="O2402"/>
      <c r="P2402"/>
      <c r="Q2402"/>
      <c r="R2402"/>
    </row>
    <row r="2403" spans="14:18" x14ac:dyDescent="0.25">
      <c r="N2403"/>
      <c r="O2403"/>
      <c r="P2403"/>
      <c r="Q2403"/>
      <c r="R2403"/>
    </row>
    <row r="2404" spans="14:18" x14ac:dyDescent="0.25">
      <c r="N2404"/>
      <c r="O2404"/>
      <c r="P2404"/>
      <c r="Q2404"/>
      <c r="R2404"/>
    </row>
    <row r="2405" spans="14:18" x14ac:dyDescent="0.25">
      <c r="N2405"/>
      <c r="O2405"/>
      <c r="P2405"/>
      <c r="Q2405"/>
      <c r="R2405"/>
    </row>
    <row r="2406" spans="14:18" x14ac:dyDescent="0.25">
      <c r="N2406"/>
      <c r="O2406"/>
      <c r="P2406"/>
      <c r="Q2406"/>
      <c r="R2406"/>
    </row>
    <row r="2407" spans="14:18" x14ac:dyDescent="0.25">
      <c r="N2407"/>
      <c r="O2407"/>
      <c r="P2407"/>
      <c r="Q2407"/>
      <c r="R2407"/>
    </row>
    <row r="2408" spans="14:18" x14ac:dyDescent="0.25">
      <c r="N2408"/>
      <c r="O2408"/>
      <c r="P2408"/>
      <c r="Q2408"/>
      <c r="R2408"/>
    </row>
    <row r="2409" spans="14:18" x14ac:dyDescent="0.25">
      <c r="N2409"/>
      <c r="O2409"/>
      <c r="P2409"/>
      <c r="Q2409"/>
      <c r="R2409"/>
    </row>
    <row r="2410" spans="14:18" x14ac:dyDescent="0.25">
      <c r="N2410"/>
      <c r="O2410"/>
      <c r="P2410"/>
      <c r="Q2410"/>
      <c r="R2410"/>
    </row>
    <row r="2411" spans="14:18" x14ac:dyDescent="0.25">
      <c r="N2411"/>
      <c r="O2411"/>
      <c r="P2411"/>
      <c r="Q2411"/>
      <c r="R2411"/>
    </row>
    <row r="2412" spans="14:18" x14ac:dyDescent="0.25">
      <c r="N2412"/>
      <c r="O2412"/>
      <c r="P2412"/>
      <c r="Q2412"/>
      <c r="R2412"/>
    </row>
    <row r="2413" spans="14:18" x14ac:dyDescent="0.25">
      <c r="N2413"/>
      <c r="O2413"/>
      <c r="P2413"/>
      <c r="Q2413"/>
      <c r="R2413"/>
    </row>
    <row r="2414" spans="14:18" x14ac:dyDescent="0.25">
      <c r="N2414"/>
      <c r="O2414"/>
      <c r="P2414"/>
      <c r="Q2414"/>
      <c r="R2414"/>
    </row>
    <row r="2415" spans="14:18" x14ac:dyDescent="0.25">
      <c r="N2415"/>
      <c r="O2415"/>
      <c r="P2415"/>
      <c r="Q2415"/>
      <c r="R2415"/>
    </row>
    <row r="2416" spans="14:18" x14ac:dyDescent="0.25">
      <c r="N2416"/>
      <c r="O2416"/>
      <c r="P2416"/>
      <c r="Q2416"/>
      <c r="R2416"/>
    </row>
    <row r="2417" spans="14:18" x14ac:dyDescent="0.25">
      <c r="N2417"/>
      <c r="O2417"/>
      <c r="P2417"/>
      <c r="Q2417"/>
      <c r="R2417"/>
    </row>
    <row r="2418" spans="14:18" x14ac:dyDescent="0.25">
      <c r="N2418"/>
      <c r="O2418"/>
      <c r="P2418"/>
      <c r="Q2418"/>
      <c r="R2418"/>
    </row>
    <row r="2419" spans="14:18" x14ac:dyDescent="0.25">
      <c r="N2419"/>
      <c r="O2419"/>
      <c r="P2419"/>
      <c r="Q2419"/>
      <c r="R2419"/>
    </row>
    <row r="2420" spans="14:18" x14ac:dyDescent="0.25">
      <c r="N2420"/>
      <c r="O2420"/>
      <c r="P2420"/>
      <c r="Q2420"/>
      <c r="R2420"/>
    </row>
    <row r="2421" spans="14:18" x14ac:dyDescent="0.25">
      <c r="N2421"/>
      <c r="O2421"/>
      <c r="P2421"/>
      <c r="Q2421"/>
      <c r="R2421"/>
    </row>
    <row r="2422" spans="14:18" x14ac:dyDescent="0.25">
      <c r="N2422"/>
      <c r="O2422"/>
      <c r="P2422"/>
      <c r="Q2422"/>
      <c r="R2422"/>
    </row>
    <row r="2423" spans="14:18" x14ac:dyDescent="0.25">
      <c r="N2423"/>
      <c r="O2423"/>
      <c r="P2423"/>
      <c r="Q2423"/>
      <c r="R2423"/>
    </row>
    <row r="2424" spans="14:18" x14ac:dyDescent="0.25">
      <c r="N2424"/>
      <c r="O2424"/>
      <c r="P2424"/>
      <c r="Q2424"/>
      <c r="R2424"/>
    </row>
    <row r="2425" spans="14:18" x14ac:dyDescent="0.25">
      <c r="N2425"/>
      <c r="O2425"/>
      <c r="P2425"/>
      <c r="Q2425"/>
      <c r="R2425"/>
    </row>
    <row r="2426" spans="14:18" x14ac:dyDescent="0.25">
      <c r="N2426"/>
      <c r="O2426"/>
      <c r="P2426"/>
      <c r="Q2426"/>
      <c r="R2426"/>
    </row>
    <row r="2427" spans="14:18" x14ac:dyDescent="0.25">
      <c r="N2427"/>
      <c r="O2427"/>
      <c r="P2427"/>
      <c r="Q2427"/>
      <c r="R2427"/>
    </row>
    <row r="2428" spans="14:18" x14ac:dyDescent="0.25">
      <c r="N2428"/>
      <c r="O2428"/>
      <c r="P2428"/>
      <c r="Q2428"/>
      <c r="R2428"/>
    </row>
    <row r="2429" spans="14:18" x14ac:dyDescent="0.25">
      <c r="N2429"/>
      <c r="O2429"/>
      <c r="P2429"/>
      <c r="Q2429"/>
      <c r="R2429"/>
    </row>
    <row r="2430" spans="14:18" x14ac:dyDescent="0.25">
      <c r="N2430"/>
      <c r="O2430"/>
      <c r="P2430"/>
      <c r="Q2430"/>
      <c r="R2430"/>
    </row>
    <row r="2431" spans="14:18" x14ac:dyDescent="0.25">
      <c r="N2431"/>
      <c r="O2431"/>
      <c r="P2431"/>
      <c r="Q2431"/>
      <c r="R2431"/>
    </row>
    <row r="2432" spans="14:18" x14ac:dyDescent="0.25">
      <c r="N2432"/>
      <c r="O2432"/>
      <c r="P2432"/>
      <c r="Q2432"/>
      <c r="R2432"/>
    </row>
    <row r="2433" spans="14:18" x14ac:dyDescent="0.25">
      <c r="N2433"/>
      <c r="O2433"/>
      <c r="P2433"/>
      <c r="Q2433"/>
      <c r="R2433"/>
    </row>
    <row r="2434" spans="14:18" x14ac:dyDescent="0.25">
      <c r="N2434"/>
      <c r="O2434"/>
      <c r="P2434"/>
      <c r="Q2434"/>
      <c r="R2434"/>
    </row>
    <row r="2435" spans="14:18" x14ac:dyDescent="0.25">
      <c r="N2435"/>
      <c r="O2435"/>
      <c r="P2435"/>
      <c r="Q2435"/>
      <c r="R2435"/>
    </row>
    <row r="2436" spans="14:18" x14ac:dyDescent="0.25">
      <c r="N2436"/>
      <c r="O2436"/>
      <c r="P2436"/>
      <c r="Q2436"/>
      <c r="R2436"/>
    </row>
    <row r="2437" spans="14:18" x14ac:dyDescent="0.25">
      <c r="N2437"/>
      <c r="O2437"/>
      <c r="P2437"/>
      <c r="Q2437"/>
      <c r="R2437"/>
    </row>
    <row r="2438" spans="14:18" x14ac:dyDescent="0.25">
      <c r="N2438"/>
      <c r="O2438"/>
      <c r="P2438"/>
      <c r="Q2438"/>
      <c r="R2438"/>
    </row>
    <row r="2439" spans="14:18" x14ac:dyDescent="0.25">
      <c r="N2439"/>
      <c r="O2439"/>
      <c r="P2439"/>
      <c r="Q2439"/>
      <c r="R2439"/>
    </row>
    <row r="2440" spans="14:18" x14ac:dyDescent="0.25">
      <c r="N2440"/>
      <c r="O2440"/>
      <c r="P2440"/>
      <c r="Q2440"/>
      <c r="R2440"/>
    </row>
    <row r="2441" spans="14:18" x14ac:dyDescent="0.25">
      <c r="N2441"/>
      <c r="O2441"/>
      <c r="P2441"/>
      <c r="Q2441"/>
      <c r="R2441"/>
    </row>
    <row r="2442" spans="14:18" x14ac:dyDescent="0.25">
      <c r="N2442"/>
      <c r="O2442"/>
      <c r="P2442"/>
      <c r="Q2442"/>
      <c r="R2442"/>
    </row>
    <row r="2443" spans="14:18" x14ac:dyDescent="0.25">
      <c r="N2443"/>
      <c r="O2443"/>
      <c r="P2443"/>
      <c r="Q2443"/>
      <c r="R2443"/>
    </row>
    <row r="2444" spans="14:18" x14ac:dyDescent="0.25">
      <c r="N2444"/>
      <c r="O2444"/>
      <c r="P2444"/>
      <c r="Q2444"/>
      <c r="R2444"/>
    </row>
    <row r="2445" spans="14:18" x14ac:dyDescent="0.25">
      <c r="N2445"/>
      <c r="O2445"/>
      <c r="P2445"/>
      <c r="Q2445"/>
      <c r="R2445"/>
    </row>
    <row r="2446" spans="14:18" x14ac:dyDescent="0.25">
      <c r="N2446"/>
      <c r="O2446"/>
      <c r="P2446"/>
      <c r="Q2446"/>
      <c r="R2446"/>
    </row>
    <row r="2447" spans="14:18" x14ac:dyDescent="0.25">
      <c r="N2447"/>
      <c r="O2447"/>
      <c r="P2447"/>
      <c r="Q2447"/>
      <c r="R2447"/>
    </row>
    <row r="2448" spans="14:18" x14ac:dyDescent="0.25">
      <c r="N2448"/>
      <c r="O2448"/>
      <c r="P2448"/>
      <c r="Q2448"/>
      <c r="R2448"/>
    </row>
    <row r="2449" spans="14:18" x14ac:dyDescent="0.25">
      <c r="N2449"/>
      <c r="O2449"/>
      <c r="P2449"/>
      <c r="Q2449"/>
      <c r="R2449"/>
    </row>
    <row r="2450" spans="14:18" x14ac:dyDescent="0.25">
      <c r="N2450"/>
      <c r="O2450"/>
      <c r="P2450"/>
      <c r="Q2450"/>
      <c r="R2450"/>
    </row>
    <row r="2451" spans="14:18" x14ac:dyDescent="0.25">
      <c r="N2451"/>
      <c r="O2451"/>
      <c r="P2451"/>
      <c r="Q2451"/>
      <c r="R2451"/>
    </row>
    <row r="2452" spans="14:18" x14ac:dyDescent="0.25">
      <c r="N2452"/>
      <c r="O2452"/>
      <c r="P2452"/>
      <c r="Q2452"/>
      <c r="R2452"/>
    </row>
    <row r="2453" spans="14:18" x14ac:dyDescent="0.25">
      <c r="N2453"/>
      <c r="O2453"/>
      <c r="P2453"/>
      <c r="Q2453"/>
      <c r="R2453"/>
    </row>
    <row r="2454" spans="14:18" x14ac:dyDescent="0.25">
      <c r="N2454"/>
      <c r="O2454"/>
      <c r="P2454"/>
      <c r="Q2454"/>
      <c r="R2454"/>
    </row>
    <row r="2455" spans="14:18" x14ac:dyDescent="0.25">
      <c r="N2455"/>
      <c r="O2455"/>
      <c r="P2455"/>
      <c r="Q2455"/>
      <c r="R2455"/>
    </row>
    <row r="2456" spans="14:18" x14ac:dyDescent="0.25">
      <c r="N2456"/>
      <c r="O2456"/>
      <c r="P2456"/>
      <c r="Q2456"/>
      <c r="R2456"/>
    </row>
    <row r="2457" spans="14:18" x14ac:dyDescent="0.25">
      <c r="N2457"/>
      <c r="O2457"/>
      <c r="P2457"/>
      <c r="Q2457"/>
      <c r="R2457"/>
    </row>
    <row r="2458" spans="14:18" x14ac:dyDescent="0.25">
      <c r="N2458"/>
      <c r="O2458"/>
      <c r="P2458"/>
      <c r="Q2458"/>
      <c r="R2458"/>
    </row>
    <row r="2459" spans="14:18" x14ac:dyDescent="0.25">
      <c r="N2459"/>
      <c r="O2459"/>
      <c r="P2459"/>
      <c r="Q2459"/>
      <c r="R2459"/>
    </row>
    <row r="2460" spans="14:18" x14ac:dyDescent="0.25">
      <c r="N2460"/>
      <c r="O2460"/>
      <c r="P2460"/>
      <c r="Q2460"/>
      <c r="R2460"/>
    </row>
    <row r="2461" spans="14:18" x14ac:dyDescent="0.25">
      <c r="N2461"/>
      <c r="O2461"/>
      <c r="P2461"/>
      <c r="Q2461"/>
      <c r="R2461"/>
    </row>
    <row r="2462" spans="14:18" x14ac:dyDescent="0.25">
      <c r="N2462"/>
      <c r="O2462"/>
      <c r="P2462"/>
      <c r="Q2462"/>
      <c r="R2462"/>
    </row>
    <row r="2463" spans="14:18" x14ac:dyDescent="0.25">
      <c r="N2463"/>
      <c r="O2463"/>
      <c r="P2463"/>
      <c r="Q2463"/>
      <c r="R2463"/>
    </row>
    <row r="2464" spans="14:18" x14ac:dyDescent="0.25">
      <c r="N2464"/>
      <c r="O2464"/>
      <c r="P2464"/>
      <c r="Q2464"/>
      <c r="R2464"/>
    </row>
    <row r="2465" spans="14:18" x14ac:dyDescent="0.25">
      <c r="N2465"/>
      <c r="O2465"/>
      <c r="P2465"/>
      <c r="Q2465"/>
      <c r="R2465"/>
    </row>
    <row r="2466" spans="14:18" x14ac:dyDescent="0.25">
      <c r="N2466"/>
      <c r="O2466"/>
      <c r="P2466"/>
      <c r="Q2466"/>
      <c r="R2466"/>
    </row>
    <row r="2467" spans="14:18" x14ac:dyDescent="0.25">
      <c r="N2467"/>
      <c r="O2467"/>
      <c r="P2467"/>
      <c r="Q2467"/>
      <c r="R2467"/>
    </row>
    <row r="2468" spans="14:18" x14ac:dyDescent="0.25">
      <c r="N2468"/>
      <c r="O2468"/>
      <c r="P2468"/>
      <c r="Q2468"/>
      <c r="R2468"/>
    </row>
    <row r="2469" spans="14:18" x14ac:dyDescent="0.25">
      <c r="N2469"/>
      <c r="O2469"/>
      <c r="P2469"/>
      <c r="Q2469"/>
      <c r="R2469"/>
    </row>
    <row r="2470" spans="14:18" x14ac:dyDescent="0.25">
      <c r="N2470"/>
      <c r="O2470"/>
      <c r="P2470"/>
      <c r="Q2470"/>
      <c r="R2470"/>
    </row>
    <row r="2471" spans="14:18" x14ac:dyDescent="0.25">
      <c r="N2471"/>
      <c r="O2471"/>
      <c r="P2471"/>
      <c r="Q2471"/>
      <c r="R2471"/>
    </row>
    <row r="2472" spans="14:18" x14ac:dyDescent="0.25">
      <c r="N2472"/>
      <c r="O2472"/>
      <c r="P2472"/>
      <c r="Q2472"/>
      <c r="R2472"/>
    </row>
    <row r="2473" spans="14:18" x14ac:dyDescent="0.25">
      <c r="N2473"/>
      <c r="O2473"/>
      <c r="P2473"/>
      <c r="Q2473"/>
      <c r="R2473"/>
    </row>
    <row r="2474" spans="14:18" x14ac:dyDescent="0.25">
      <c r="N2474"/>
      <c r="O2474"/>
      <c r="P2474"/>
      <c r="Q2474"/>
      <c r="R2474"/>
    </row>
    <row r="2475" spans="14:18" x14ac:dyDescent="0.25">
      <c r="N2475"/>
      <c r="O2475"/>
      <c r="P2475"/>
      <c r="Q2475"/>
      <c r="R2475"/>
    </row>
    <row r="2476" spans="14:18" x14ac:dyDescent="0.25">
      <c r="N2476"/>
      <c r="O2476"/>
      <c r="P2476"/>
      <c r="Q2476"/>
      <c r="R2476"/>
    </row>
    <row r="2477" spans="14:18" x14ac:dyDescent="0.25">
      <c r="N2477"/>
      <c r="O2477"/>
      <c r="P2477"/>
      <c r="Q2477"/>
      <c r="R2477"/>
    </row>
    <row r="2478" spans="14:18" x14ac:dyDescent="0.25">
      <c r="N2478"/>
      <c r="O2478"/>
      <c r="P2478"/>
      <c r="Q2478"/>
      <c r="R2478"/>
    </row>
    <row r="2479" spans="14:18" x14ac:dyDescent="0.25">
      <c r="N2479"/>
      <c r="O2479"/>
      <c r="P2479"/>
      <c r="Q2479"/>
      <c r="R2479"/>
    </row>
    <row r="2480" spans="14:18" x14ac:dyDescent="0.25">
      <c r="N2480"/>
      <c r="O2480"/>
      <c r="P2480"/>
      <c r="Q2480"/>
      <c r="R2480"/>
    </row>
    <row r="2481" spans="14:18" x14ac:dyDescent="0.25">
      <c r="N2481"/>
      <c r="O2481"/>
      <c r="P2481"/>
      <c r="Q2481"/>
      <c r="R2481"/>
    </row>
    <row r="2482" spans="14:18" x14ac:dyDescent="0.25">
      <c r="N2482"/>
      <c r="O2482"/>
      <c r="P2482"/>
      <c r="Q2482"/>
      <c r="R2482"/>
    </row>
    <row r="2483" spans="14:18" x14ac:dyDescent="0.25">
      <c r="N2483"/>
      <c r="O2483"/>
      <c r="P2483"/>
      <c r="Q2483"/>
      <c r="R2483"/>
    </row>
    <row r="2484" spans="14:18" x14ac:dyDescent="0.25">
      <c r="N2484"/>
      <c r="O2484"/>
      <c r="P2484"/>
      <c r="Q2484"/>
      <c r="R2484"/>
    </row>
    <row r="2485" spans="14:18" x14ac:dyDescent="0.25">
      <c r="N2485"/>
      <c r="O2485"/>
      <c r="P2485"/>
      <c r="Q2485"/>
      <c r="R2485"/>
    </row>
    <row r="2486" spans="14:18" x14ac:dyDescent="0.25">
      <c r="N2486"/>
      <c r="O2486"/>
      <c r="P2486"/>
      <c r="Q2486"/>
      <c r="R2486"/>
    </row>
    <row r="2487" spans="14:18" x14ac:dyDescent="0.25">
      <c r="N2487"/>
      <c r="O2487"/>
      <c r="P2487"/>
      <c r="Q2487"/>
      <c r="R2487"/>
    </row>
    <row r="2488" spans="14:18" x14ac:dyDescent="0.25">
      <c r="N2488"/>
      <c r="O2488"/>
      <c r="P2488"/>
      <c r="Q2488"/>
      <c r="R2488"/>
    </row>
    <row r="2489" spans="14:18" x14ac:dyDescent="0.25">
      <c r="N2489"/>
      <c r="O2489"/>
      <c r="P2489"/>
      <c r="Q2489"/>
      <c r="R2489"/>
    </row>
    <row r="2490" spans="14:18" x14ac:dyDescent="0.25">
      <c r="N2490"/>
      <c r="O2490"/>
      <c r="P2490"/>
      <c r="Q2490"/>
      <c r="R2490"/>
    </row>
    <row r="2491" spans="14:18" x14ac:dyDescent="0.25">
      <c r="N2491"/>
      <c r="O2491"/>
      <c r="P2491"/>
      <c r="Q2491"/>
      <c r="R2491"/>
    </row>
    <row r="2492" spans="14:18" x14ac:dyDescent="0.25">
      <c r="N2492"/>
      <c r="O2492"/>
      <c r="P2492"/>
      <c r="Q2492"/>
      <c r="R2492"/>
    </row>
    <row r="2493" spans="14:18" x14ac:dyDescent="0.25">
      <c r="N2493"/>
      <c r="O2493"/>
      <c r="P2493"/>
      <c r="Q2493"/>
      <c r="R2493"/>
    </row>
    <row r="2494" spans="14:18" x14ac:dyDescent="0.25">
      <c r="N2494"/>
      <c r="O2494"/>
      <c r="P2494"/>
      <c r="Q2494"/>
      <c r="R2494"/>
    </row>
    <row r="2495" spans="14:18" x14ac:dyDescent="0.25">
      <c r="N2495"/>
      <c r="O2495"/>
      <c r="P2495"/>
      <c r="Q2495"/>
      <c r="R2495"/>
    </row>
    <row r="2496" spans="14:18" x14ac:dyDescent="0.25">
      <c r="N2496"/>
      <c r="O2496"/>
      <c r="P2496"/>
      <c r="Q2496"/>
      <c r="R2496"/>
    </row>
    <row r="2497" spans="14:18" x14ac:dyDescent="0.25">
      <c r="N2497"/>
      <c r="O2497"/>
      <c r="P2497"/>
      <c r="Q2497"/>
      <c r="R2497"/>
    </row>
    <row r="2498" spans="14:18" x14ac:dyDescent="0.25">
      <c r="N2498"/>
      <c r="O2498"/>
      <c r="P2498"/>
      <c r="Q2498"/>
      <c r="R2498"/>
    </row>
    <row r="2499" spans="14:18" x14ac:dyDescent="0.25">
      <c r="N2499"/>
      <c r="O2499"/>
      <c r="P2499"/>
      <c r="Q2499"/>
      <c r="R2499"/>
    </row>
    <row r="2500" spans="14:18" x14ac:dyDescent="0.25">
      <c r="N2500"/>
      <c r="O2500"/>
      <c r="P2500"/>
      <c r="Q2500"/>
      <c r="R2500"/>
    </row>
    <row r="2501" spans="14:18" x14ac:dyDescent="0.25">
      <c r="N2501"/>
      <c r="O2501"/>
      <c r="P2501"/>
      <c r="Q2501"/>
      <c r="R2501"/>
    </row>
    <row r="2502" spans="14:18" x14ac:dyDescent="0.25">
      <c r="N2502"/>
      <c r="O2502"/>
      <c r="P2502"/>
      <c r="Q2502"/>
      <c r="R2502"/>
    </row>
    <row r="2503" spans="14:18" x14ac:dyDescent="0.25">
      <c r="N2503"/>
      <c r="O2503"/>
      <c r="P2503"/>
      <c r="Q2503"/>
      <c r="R2503"/>
    </row>
    <row r="2504" spans="14:18" x14ac:dyDescent="0.25">
      <c r="N2504"/>
      <c r="O2504"/>
      <c r="P2504"/>
      <c r="Q2504"/>
      <c r="R2504"/>
    </row>
    <row r="2505" spans="14:18" x14ac:dyDescent="0.25">
      <c r="N2505"/>
      <c r="O2505"/>
      <c r="P2505"/>
      <c r="Q2505"/>
      <c r="R2505"/>
    </row>
    <row r="2506" spans="14:18" x14ac:dyDescent="0.25">
      <c r="N2506"/>
      <c r="O2506"/>
      <c r="P2506"/>
      <c r="Q2506"/>
      <c r="R2506"/>
    </row>
    <row r="2507" spans="14:18" x14ac:dyDescent="0.25">
      <c r="N2507"/>
      <c r="O2507"/>
      <c r="P2507"/>
      <c r="Q2507"/>
      <c r="R2507"/>
    </row>
    <row r="2508" spans="14:18" x14ac:dyDescent="0.25">
      <c r="N2508"/>
      <c r="O2508"/>
      <c r="P2508"/>
      <c r="Q2508"/>
      <c r="R2508"/>
    </row>
    <row r="2509" spans="14:18" x14ac:dyDescent="0.25">
      <c r="N2509"/>
      <c r="O2509"/>
      <c r="P2509"/>
      <c r="Q2509"/>
      <c r="R2509"/>
    </row>
    <row r="2510" spans="14:18" x14ac:dyDescent="0.25">
      <c r="N2510"/>
      <c r="O2510"/>
      <c r="P2510"/>
      <c r="Q2510"/>
      <c r="R2510"/>
    </row>
    <row r="2511" spans="14:18" x14ac:dyDescent="0.25">
      <c r="N2511"/>
      <c r="O2511"/>
      <c r="P2511"/>
      <c r="Q2511"/>
      <c r="R2511"/>
    </row>
    <row r="2512" spans="14:18" x14ac:dyDescent="0.25">
      <c r="N2512"/>
      <c r="O2512"/>
      <c r="P2512"/>
      <c r="Q2512"/>
      <c r="R2512"/>
    </row>
    <row r="2513" spans="14:18" x14ac:dyDescent="0.25">
      <c r="N2513"/>
      <c r="O2513"/>
      <c r="P2513"/>
      <c r="Q2513"/>
      <c r="R2513"/>
    </row>
    <row r="2514" spans="14:18" x14ac:dyDescent="0.25">
      <c r="N2514"/>
      <c r="O2514"/>
      <c r="P2514"/>
      <c r="Q2514"/>
      <c r="R2514"/>
    </row>
    <row r="2515" spans="14:18" x14ac:dyDescent="0.25">
      <c r="N2515"/>
      <c r="O2515"/>
      <c r="P2515"/>
      <c r="Q2515"/>
      <c r="R2515"/>
    </row>
    <row r="2516" spans="14:18" x14ac:dyDescent="0.25">
      <c r="N2516"/>
      <c r="O2516"/>
      <c r="P2516"/>
      <c r="Q2516"/>
      <c r="R2516"/>
    </row>
    <row r="2517" spans="14:18" x14ac:dyDescent="0.25">
      <c r="N2517"/>
      <c r="O2517"/>
      <c r="P2517"/>
      <c r="Q2517"/>
      <c r="R2517"/>
    </row>
    <row r="2518" spans="14:18" x14ac:dyDescent="0.25">
      <c r="N2518"/>
      <c r="O2518"/>
      <c r="P2518"/>
      <c r="Q2518"/>
      <c r="R2518"/>
    </row>
    <row r="2519" spans="14:18" x14ac:dyDescent="0.25">
      <c r="N2519"/>
      <c r="O2519"/>
      <c r="P2519"/>
      <c r="Q2519"/>
      <c r="R2519"/>
    </row>
    <row r="2520" spans="14:18" x14ac:dyDescent="0.25">
      <c r="N2520"/>
      <c r="O2520"/>
      <c r="P2520"/>
      <c r="Q2520"/>
      <c r="R2520"/>
    </row>
    <row r="2521" spans="14:18" x14ac:dyDescent="0.25">
      <c r="N2521"/>
      <c r="O2521"/>
      <c r="P2521"/>
      <c r="Q2521"/>
      <c r="R2521"/>
    </row>
    <row r="2522" spans="14:18" x14ac:dyDescent="0.25">
      <c r="N2522"/>
      <c r="O2522"/>
      <c r="P2522"/>
      <c r="Q2522"/>
      <c r="R2522"/>
    </row>
    <row r="2523" spans="14:18" x14ac:dyDescent="0.25">
      <c r="N2523"/>
      <c r="O2523"/>
      <c r="P2523"/>
      <c r="Q2523"/>
      <c r="R2523"/>
    </row>
    <row r="2524" spans="14:18" x14ac:dyDescent="0.25">
      <c r="N2524"/>
      <c r="O2524"/>
      <c r="P2524"/>
      <c r="Q2524"/>
      <c r="R2524"/>
    </row>
    <row r="2525" spans="14:18" x14ac:dyDescent="0.25">
      <c r="N2525"/>
      <c r="O2525"/>
      <c r="P2525"/>
      <c r="Q2525"/>
      <c r="R2525"/>
    </row>
    <row r="2526" spans="14:18" x14ac:dyDescent="0.25">
      <c r="N2526"/>
      <c r="O2526"/>
      <c r="P2526"/>
      <c r="Q2526"/>
      <c r="R2526"/>
    </row>
    <row r="2527" spans="14:18" x14ac:dyDescent="0.25">
      <c r="N2527"/>
      <c r="O2527"/>
      <c r="P2527"/>
      <c r="Q2527"/>
      <c r="R2527"/>
    </row>
    <row r="2528" spans="14:18" x14ac:dyDescent="0.25">
      <c r="N2528"/>
      <c r="O2528"/>
      <c r="P2528"/>
      <c r="Q2528"/>
      <c r="R2528"/>
    </row>
    <row r="2529" spans="14:18" x14ac:dyDescent="0.25">
      <c r="N2529"/>
      <c r="O2529"/>
      <c r="P2529"/>
      <c r="Q2529"/>
      <c r="R2529"/>
    </row>
    <row r="2530" spans="14:18" x14ac:dyDescent="0.25">
      <c r="N2530"/>
      <c r="O2530"/>
      <c r="P2530"/>
      <c r="Q2530"/>
      <c r="R2530"/>
    </row>
    <row r="2531" spans="14:18" x14ac:dyDescent="0.25">
      <c r="N2531"/>
      <c r="O2531"/>
      <c r="P2531"/>
      <c r="Q2531"/>
      <c r="R2531"/>
    </row>
    <row r="2532" spans="14:18" x14ac:dyDescent="0.25">
      <c r="N2532"/>
      <c r="O2532"/>
      <c r="P2532"/>
      <c r="Q2532"/>
      <c r="R2532"/>
    </row>
    <row r="2533" spans="14:18" x14ac:dyDescent="0.25">
      <c r="N2533"/>
      <c r="O2533"/>
      <c r="P2533"/>
      <c r="Q2533"/>
      <c r="R2533"/>
    </row>
    <row r="2534" spans="14:18" x14ac:dyDescent="0.25">
      <c r="N2534"/>
      <c r="O2534"/>
      <c r="P2534"/>
      <c r="Q2534"/>
      <c r="R2534"/>
    </row>
    <row r="2535" spans="14:18" x14ac:dyDescent="0.25">
      <c r="N2535"/>
      <c r="O2535"/>
      <c r="P2535"/>
      <c r="Q2535"/>
      <c r="R2535"/>
    </row>
    <row r="2536" spans="14:18" x14ac:dyDescent="0.25">
      <c r="N2536"/>
      <c r="O2536"/>
      <c r="P2536"/>
      <c r="Q2536"/>
      <c r="R2536"/>
    </row>
    <row r="2537" spans="14:18" x14ac:dyDescent="0.25">
      <c r="N2537"/>
      <c r="O2537"/>
      <c r="P2537"/>
      <c r="Q2537"/>
      <c r="R2537"/>
    </row>
    <row r="2538" spans="14:18" x14ac:dyDescent="0.25">
      <c r="N2538"/>
      <c r="O2538"/>
      <c r="P2538"/>
      <c r="Q2538"/>
      <c r="R2538"/>
    </row>
    <row r="2539" spans="14:18" x14ac:dyDescent="0.25">
      <c r="N2539"/>
      <c r="O2539"/>
      <c r="P2539"/>
      <c r="Q2539"/>
      <c r="R2539"/>
    </row>
    <row r="2540" spans="14:18" x14ac:dyDescent="0.25">
      <c r="N2540"/>
      <c r="O2540"/>
      <c r="P2540"/>
      <c r="Q2540"/>
      <c r="R2540"/>
    </row>
    <row r="2541" spans="14:18" x14ac:dyDescent="0.25">
      <c r="N2541"/>
      <c r="O2541"/>
      <c r="P2541"/>
      <c r="Q2541"/>
      <c r="R2541"/>
    </row>
    <row r="2542" spans="14:18" x14ac:dyDescent="0.25">
      <c r="N2542"/>
      <c r="O2542"/>
      <c r="P2542"/>
      <c r="Q2542"/>
      <c r="R2542"/>
    </row>
    <row r="2543" spans="14:18" x14ac:dyDescent="0.25">
      <c r="N2543"/>
      <c r="O2543"/>
      <c r="P2543"/>
      <c r="Q2543"/>
      <c r="R2543"/>
    </row>
    <row r="2544" spans="14:18" x14ac:dyDescent="0.25">
      <c r="N2544"/>
      <c r="O2544"/>
      <c r="P2544"/>
      <c r="Q2544"/>
      <c r="R2544"/>
    </row>
    <row r="2545" spans="14:18" x14ac:dyDescent="0.25">
      <c r="N2545"/>
      <c r="O2545"/>
      <c r="P2545"/>
      <c r="Q2545"/>
      <c r="R2545"/>
    </row>
    <row r="2546" spans="14:18" x14ac:dyDescent="0.25">
      <c r="N2546"/>
      <c r="O2546"/>
      <c r="P2546"/>
      <c r="Q2546"/>
      <c r="R2546"/>
    </row>
    <row r="2547" spans="14:18" x14ac:dyDescent="0.25">
      <c r="N2547"/>
      <c r="O2547"/>
      <c r="P2547"/>
      <c r="Q2547"/>
      <c r="R2547"/>
    </row>
    <row r="2548" spans="14:18" x14ac:dyDescent="0.25">
      <c r="N2548"/>
      <c r="O2548"/>
      <c r="P2548"/>
      <c r="Q2548"/>
      <c r="R2548"/>
    </row>
    <row r="2549" spans="14:18" x14ac:dyDescent="0.25">
      <c r="N2549"/>
      <c r="O2549"/>
      <c r="P2549"/>
      <c r="Q2549"/>
      <c r="R2549"/>
    </row>
    <row r="2550" spans="14:18" x14ac:dyDescent="0.25">
      <c r="N2550"/>
      <c r="O2550"/>
      <c r="P2550"/>
      <c r="Q2550"/>
      <c r="R2550"/>
    </row>
    <row r="2551" spans="14:18" x14ac:dyDescent="0.25">
      <c r="N2551"/>
      <c r="O2551"/>
      <c r="P2551"/>
      <c r="Q2551"/>
      <c r="R2551"/>
    </row>
    <row r="2552" spans="14:18" x14ac:dyDescent="0.25">
      <c r="N2552"/>
      <c r="O2552"/>
      <c r="P2552"/>
      <c r="Q2552"/>
      <c r="R2552"/>
    </row>
    <row r="2553" spans="14:18" x14ac:dyDescent="0.25">
      <c r="N2553"/>
      <c r="O2553"/>
      <c r="P2553"/>
      <c r="Q2553"/>
      <c r="R2553"/>
    </row>
    <row r="2554" spans="14:18" x14ac:dyDescent="0.25">
      <c r="N2554"/>
      <c r="O2554"/>
      <c r="P2554"/>
      <c r="Q2554"/>
      <c r="R2554"/>
    </row>
    <row r="2555" spans="14:18" x14ac:dyDescent="0.25">
      <c r="N2555"/>
      <c r="O2555"/>
      <c r="P2555"/>
      <c r="Q2555"/>
      <c r="R2555"/>
    </row>
    <row r="2556" spans="14:18" x14ac:dyDescent="0.25">
      <c r="N2556"/>
      <c r="O2556"/>
      <c r="P2556"/>
      <c r="Q2556"/>
      <c r="R2556"/>
    </row>
    <row r="2557" spans="14:18" x14ac:dyDescent="0.25">
      <c r="N2557"/>
      <c r="O2557"/>
      <c r="P2557"/>
      <c r="Q2557"/>
      <c r="R2557"/>
    </row>
    <row r="2558" spans="14:18" x14ac:dyDescent="0.25">
      <c r="N2558"/>
      <c r="O2558"/>
      <c r="P2558"/>
      <c r="Q2558"/>
      <c r="R2558"/>
    </row>
    <row r="2559" spans="14:18" x14ac:dyDescent="0.25">
      <c r="N2559"/>
      <c r="O2559"/>
      <c r="P2559"/>
      <c r="Q2559"/>
      <c r="R2559"/>
    </row>
    <row r="2560" spans="14:18" x14ac:dyDescent="0.25">
      <c r="N2560"/>
      <c r="O2560"/>
      <c r="P2560"/>
      <c r="Q2560"/>
      <c r="R2560"/>
    </row>
    <row r="2561" spans="14:18" x14ac:dyDescent="0.25">
      <c r="N2561"/>
      <c r="O2561"/>
      <c r="P2561"/>
      <c r="Q2561"/>
      <c r="R2561"/>
    </row>
    <row r="2562" spans="14:18" x14ac:dyDescent="0.25">
      <c r="N2562"/>
      <c r="O2562"/>
      <c r="P2562"/>
      <c r="Q2562"/>
      <c r="R2562"/>
    </row>
    <row r="2563" spans="14:18" x14ac:dyDescent="0.25">
      <c r="N2563"/>
      <c r="O2563"/>
      <c r="P2563"/>
      <c r="Q2563"/>
      <c r="R2563"/>
    </row>
    <row r="2564" spans="14:18" x14ac:dyDescent="0.25">
      <c r="N2564"/>
      <c r="O2564"/>
      <c r="P2564"/>
      <c r="Q2564"/>
      <c r="R2564"/>
    </row>
    <row r="2565" spans="14:18" x14ac:dyDescent="0.25">
      <c r="N2565"/>
      <c r="O2565"/>
      <c r="P2565"/>
      <c r="Q2565"/>
      <c r="R2565"/>
    </row>
    <row r="2566" spans="14:18" x14ac:dyDescent="0.25">
      <c r="N2566"/>
      <c r="O2566"/>
      <c r="P2566"/>
      <c r="Q2566"/>
      <c r="R2566"/>
    </row>
    <row r="2567" spans="14:18" x14ac:dyDescent="0.25">
      <c r="N2567"/>
      <c r="O2567"/>
      <c r="P2567"/>
      <c r="Q2567"/>
      <c r="R2567"/>
    </row>
    <row r="2568" spans="14:18" x14ac:dyDescent="0.25">
      <c r="N2568"/>
      <c r="O2568"/>
      <c r="P2568"/>
      <c r="Q2568"/>
      <c r="R2568"/>
    </row>
    <row r="2569" spans="14:18" x14ac:dyDescent="0.25">
      <c r="N2569"/>
      <c r="O2569"/>
      <c r="P2569"/>
      <c r="Q2569"/>
      <c r="R2569"/>
    </row>
    <row r="2570" spans="14:18" x14ac:dyDescent="0.25">
      <c r="N2570"/>
      <c r="O2570"/>
      <c r="P2570"/>
      <c r="Q2570"/>
      <c r="R2570"/>
    </row>
    <row r="2571" spans="14:18" x14ac:dyDescent="0.25">
      <c r="N2571"/>
      <c r="O2571"/>
      <c r="P2571"/>
      <c r="Q2571"/>
      <c r="R2571"/>
    </row>
    <row r="2572" spans="14:18" x14ac:dyDescent="0.25">
      <c r="N2572"/>
      <c r="O2572"/>
      <c r="P2572"/>
      <c r="Q2572"/>
      <c r="R2572"/>
    </row>
    <row r="2573" spans="14:18" x14ac:dyDescent="0.25">
      <c r="N2573"/>
      <c r="O2573"/>
      <c r="P2573"/>
      <c r="Q2573"/>
      <c r="R2573"/>
    </row>
    <row r="2574" spans="14:18" x14ac:dyDescent="0.25">
      <c r="N2574"/>
      <c r="O2574"/>
      <c r="P2574"/>
      <c r="Q2574"/>
      <c r="R2574"/>
    </row>
    <row r="2575" spans="14:18" x14ac:dyDescent="0.25">
      <c r="N2575"/>
      <c r="O2575"/>
      <c r="P2575"/>
      <c r="Q2575"/>
      <c r="R2575"/>
    </row>
    <row r="2576" spans="14:18" x14ac:dyDescent="0.25">
      <c r="N2576"/>
      <c r="O2576"/>
      <c r="P2576"/>
      <c r="Q2576"/>
      <c r="R2576"/>
    </row>
    <row r="2577" spans="14:18" x14ac:dyDescent="0.25">
      <c r="N2577"/>
      <c r="O2577"/>
      <c r="P2577"/>
      <c r="Q2577"/>
      <c r="R2577"/>
    </row>
    <row r="2578" spans="14:18" x14ac:dyDescent="0.25">
      <c r="N2578"/>
      <c r="O2578"/>
      <c r="P2578"/>
      <c r="Q2578"/>
      <c r="R2578"/>
    </row>
    <row r="2579" spans="14:18" x14ac:dyDescent="0.25">
      <c r="N2579"/>
      <c r="O2579"/>
      <c r="P2579"/>
      <c r="Q2579"/>
      <c r="R2579"/>
    </row>
    <row r="2580" spans="14:18" x14ac:dyDescent="0.25">
      <c r="N2580"/>
      <c r="O2580"/>
      <c r="P2580"/>
      <c r="Q2580"/>
      <c r="R2580"/>
    </row>
    <row r="2581" spans="14:18" x14ac:dyDescent="0.25">
      <c r="N2581"/>
      <c r="O2581"/>
      <c r="P2581"/>
      <c r="Q2581"/>
      <c r="R2581"/>
    </row>
    <row r="2582" spans="14:18" x14ac:dyDescent="0.25">
      <c r="N2582"/>
      <c r="O2582"/>
      <c r="P2582"/>
      <c r="Q2582"/>
      <c r="R2582"/>
    </row>
    <row r="2583" spans="14:18" x14ac:dyDescent="0.25">
      <c r="N2583"/>
      <c r="O2583"/>
      <c r="P2583"/>
      <c r="Q2583"/>
      <c r="R2583"/>
    </row>
    <row r="2584" spans="14:18" x14ac:dyDescent="0.25">
      <c r="N2584"/>
      <c r="O2584"/>
      <c r="P2584"/>
      <c r="Q2584"/>
      <c r="R2584"/>
    </row>
    <row r="2585" spans="14:18" x14ac:dyDescent="0.25">
      <c r="N2585"/>
      <c r="O2585"/>
      <c r="P2585"/>
      <c r="Q2585"/>
      <c r="R2585"/>
    </row>
    <row r="2586" spans="14:18" x14ac:dyDescent="0.25">
      <c r="N2586"/>
      <c r="O2586"/>
      <c r="P2586"/>
      <c r="Q2586"/>
      <c r="R2586"/>
    </row>
    <row r="2587" spans="14:18" x14ac:dyDescent="0.25">
      <c r="N2587"/>
      <c r="O2587"/>
      <c r="P2587"/>
      <c r="Q2587"/>
      <c r="R2587"/>
    </row>
    <row r="2588" spans="14:18" x14ac:dyDescent="0.25">
      <c r="N2588"/>
      <c r="O2588"/>
      <c r="P2588"/>
      <c r="Q2588"/>
      <c r="R2588"/>
    </row>
    <row r="2589" spans="14:18" x14ac:dyDescent="0.25">
      <c r="N2589"/>
      <c r="O2589"/>
      <c r="P2589"/>
      <c r="Q2589"/>
      <c r="R2589"/>
    </row>
    <row r="2590" spans="14:18" x14ac:dyDescent="0.25">
      <c r="N2590"/>
      <c r="O2590"/>
      <c r="P2590"/>
      <c r="Q2590"/>
      <c r="R2590"/>
    </row>
    <row r="2591" spans="14:18" x14ac:dyDescent="0.25">
      <c r="N2591"/>
      <c r="O2591"/>
      <c r="P2591"/>
      <c r="Q2591"/>
      <c r="R2591"/>
    </row>
    <row r="2592" spans="14:18" x14ac:dyDescent="0.25">
      <c r="N2592"/>
      <c r="O2592"/>
      <c r="P2592"/>
      <c r="Q2592"/>
      <c r="R2592"/>
    </row>
    <row r="2593" spans="14:18" x14ac:dyDescent="0.25">
      <c r="N2593"/>
      <c r="O2593"/>
      <c r="P2593"/>
      <c r="Q2593"/>
      <c r="R2593"/>
    </row>
    <row r="2594" spans="14:18" x14ac:dyDescent="0.25">
      <c r="N2594"/>
      <c r="O2594"/>
      <c r="P2594"/>
      <c r="Q2594"/>
      <c r="R2594"/>
    </row>
    <row r="2595" spans="14:18" x14ac:dyDescent="0.25">
      <c r="N2595"/>
      <c r="O2595"/>
      <c r="P2595"/>
      <c r="Q2595"/>
      <c r="R2595"/>
    </row>
    <row r="2596" spans="14:18" x14ac:dyDescent="0.25">
      <c r="N2596"/>
      <c r="O2596"/>
      <c r="P2596"/>
      <c r="Q2596"/>
      <c r="R2596"/>
    </row>
    <row r="2597" spans="14:18" x14ac:dyDescent="0.25">
      <c r="N2597"/>
      <c r="O2597"/>
      <c r="P2597"/>
      <c r="Q2597"/>
      <c r="R2597"/>
    </row>
    <row r="2598" spans="14:18" x14ac:dyDescent="0.25">
      <c r="N2598"/>
      <c r="O2598"/>
      <c r="P2598"/>
      <c r="Q2598"/>
      <c r="R2598"/>
    </row>
    <row r="2599" spans="14:18" x14ac:dyDescent="0.25">
      <c r="N2599"/>
      <c r="O2599"/>
      <c r="P2599"/>
      <c r="Q2599"/>
      <c r="R2599"/>
    </row>
    <row r="2600" spans="14:18" x14ac:dyDescent="0.25">
      <c r="N2600"/>
      <c r="O2600"/>
      <c r="P2600"/>
      <c r="Q2600"/>
      <c r="R2600"/>
    </row>
    <row r="2601" spans="14:18" x14ac:dyDescent="0.25">
      <c r="N2601"/>
      <c r="O2601"/>
      <c r="P2601"/>
      <c r="Q2601"/>
      <c r="R2601"/>
    </row>
    <row r="2602" spans="14:18" x14ac:dyDescent="0.25">
      <c r="N2602"/>
      <c r="O2602"/>
      <c r="P2602"/>
      <c r="Q2602"/>
      <c r="R2602"/>
    </row>
    <row r="2603" spans="14:18" x14ac:dyDescent="0.25">
      <c r="N2603"/>
      <c r="O2603"/>
      <c r="P2603"/>
      <c r="Q2603"/>
      <c r="R2603"/>
    </row>
    <row r="2604" spans="14:18" x14ac:dyDescent="0.25">
      <c r="N2604"/>
      <c r="O2604"/>
      <c r="P2604"/>
      <c r="Q2604"/>
      <c r="R2604"/>
    </row>
    <row r="2605" spans="14:18" x14ac:dyDescent="0.25">
      <c r="N2605"/>
      <c r="O2605"/>
      <c r="P2605"/>
      <c r="Q2605"/>
      <c r="R2605"/>
    </row>
    <row r="2606" spans="14:18" x14ac:dyDescent="0.25">
      <c r="N2606"/>
      <c r="O2606"/>
      <c r="P2606"/>
      <c r="Q2606"/>
      <c r="R2606"/>
    </row>
    <row r="2607" spans="14:18" x14ac:dyDescent="0.25">
      <c r="N2607"/>
      <c r="O2607"/>
      <c r="P2607"/>
      <c r="Q2607"/>
      <c r="R2607"/>
    </row>
    <row r="2608" spans="14:18" x14ac:dyDescent="0.25">
      <c r="N2608"/>
      <c r="O2608"/>
      <c r="P2608"/>
      <c r="Q2608"/>
      <c r="R2608"/>
    </row>
    <row r="2609" spans="14:18" x14ac:dyDescent="0.25">
      <c r="N2609"/>
      <c r="O2609"/>
      <c r="P2609"/>
      <c r="Q2609"/>
      <c r="R2609"/>
    </row>
    <row r="2610" spans="14:18" x14ac:dyDescent="0.25">
      <c r="N2610"/>
      <c r="O2610"/>
      <c r="P2610"/>
      <c r="Q2610"/>
      <c r="R2610"/>
    </row>
    <row r="2611" spans="14:18" x14ac:dyDescent="0.25">
      <c r="N2611"/>
      <c r="O2611"/>
      <c r="P2611"/>
      <c r="Q2611"/>
      <c r="R2611"/>
    </row>
    <row r="2612" spans="14:18" x14ac:dyDescent="0.25">
      <c r="N2612"/>
      <c r="O2612"/>
      <c r="P2612"/>
      <c r="Q2612"/>
      <c r="R2612"/>
    </row>
    <row r="2613" spans="14:18" x14ac:dyDescent="0.25">
      <c r="N2613"/>
      <c r="O2613"/>
      <c r="P2613"/>
      <c r="Q2613"/>
      <c r="R2613"/>
    </row>
    <row r="2614" spans="14:18" x14ac:dyDescent="0.25">
      <c r="N2614"/>
      <c r="O2614"/>
      <c r="P2614"/>
      <c r="Q2614"/>
      <c r="R2614"/>
    </row>
    <row r="2615" spans="14:18" x14ac:dyDescent="0.25">
      <c r="N2615"/>
      <c r="O2615"/>
      <c r="P2615"/>
      <c r="Q2615"/>
      <c r="R2615"/>
    </row>
    <row r="2616" spans="14:18" x14ac:dyDescent="0.25">
      <c r="N2616"/>
      <c r="O2616"/>
      <c r="P2616"/>
      <c r="Q2616"/>
      <c r="R2616"/>
    </row>
    <row r="2617" spans="14:18" x14ac:dyDescent="0.25">
      <c r="N2617"/>
      <c r="O2617"/>
      <c r="P2617"/>
      <c r="Q2617"/>
      <c r="R2617"/>
    </row>
    <row r="2618" spans="14:18" x14ac:dyDescent="0.25">
      <c r="N2618"/>
      <c r="O2618"/>
      <c r="P2618"/>
      <c r="Q2618"/>
      <c r="R2618"/>
    </row>
    <row r="2619" spans="14:18" x14ac:dyDescent="0.25">
      <c r="N2619"/>
      <c r="O2619"/>
      <c r="P2619"/>
      <c r="Q2619"/>
      <c r="R2619"/>
    </row>
    <row r="2620" spans="14:18" x14ac:dyDescent="0.25">
      <c r="N2620"/>
      <c r="O2620"/>
      <c r="P2620"/>
      <c r="Q2620"/>
      <c r="R2620"/>
    </row>
    <row r="2621" spans="14:18" x14ac:dyDescent="0.25">
      <c r="N2621"/>
      <c r="O2621"/>
      <c r="P2621"/>
      <c r="Q2621"/>
      <c r="R2621"/>
    </row>
    <row r="2622" spans="14:18" x14ac:dyDescent="0.25">
      <c r="N2622"/>
      <c r="O2622"/>
      <c r="P2622"/>
      <c r="Q2622"/>
      <c r="R2622"/>
    </row>
    <row r="2623" spans="14:18" x14ac:dyDescent="0.25">
      <c r="N2623"/>
      <c r="O2623"/>
      <c r="P2623"/>
      <c r="Q2623"/>
      <c r="R2623"/>
    </row>
    <row r="2624" spans="14:18" x14ac:dyDescent="0.25">
      <c r="N2624"/>
      <c r="O2624"/>
      <c r="P2624"/>
      <c r="Q2624"/>
      <c r="R2624"/>
    </row>
    <row r="2625" spans="14:18" x14ac:dyDescent="0.25">
      <c r="N2625"/>
      <c r="O2625"/>
      <c r="P2625"/>
      <c r="Q2625"/>
      <c r="R2625"/>
    </row>
    <row r="2626" spans="14:18" x14ac:dyDescent="0.25">
      <c r="N2626"/>
      <c r="O2626"/>
      <c r="P2626"/>
      <c r="Q2626"/>
      <c r="R2626"/>
    </row>
    <row r="2627" spans="14:18" x14ac:dyDescent="0.25">
      <c r="N2627"/>
      <c r="O2627"/>
      <c r="P2627"/>
      <c r="Q2627"/>
      <c r="R2627"/>
    </row>
    <row r="2628" spans="14:18" x14ac:dyDescent="0.25">
      <c r="N2628"/>
      <c r="O2628"/>
      <c r="P2628"/>
      <c r="Q2628"/>
      <c r="R2628"/>
    </row>
    <row r="2629" spans="14:18" x14ac:dyDescent="0.25">
      <c r="N2629"/>
      <c r="O2629"/>
      <c r="P2629"/>
      <c r="Q2629"/>
      <c r="R2629"/>
    </row>
    <row r="2630" spans="14:18" x14ac:dyDescent="0.25">
      <c r="N2630"/>
      <c r="O2630"/>
      <c r="P2630"/>
      <c r="Q2630"/>
      <c r="R2630"/>
    </row>
    <row r="2631" spans="14:18" x14ac:dyDescent="0.25">
      <c r="N2631"/>
      <c r="O2631"/>
      <c r="P2631"/>
      <c r="Q2631"/>
      <c r="R2631"/>
    </row>
    <row r="2632" spans="14:18" x14ac:dyDescent="0.25">
      <c r="N2632"/>
      <c r="O2632"/>
      <c r="P2632"/>
      <c r="Q2632"/>
      <c r="R2632"/>
    </row>
    <row r="2633" spans="14:18" x14ac:dyDescent="0.25">
      <c r="N2633"/>
      <c r="O2633"/>
      <c r="P2633"/>
      <c r="Q2633"/>
      <c r="R2633"/>
    </row>
    <row r="2634" spans="14:18" x14ac:dyDescent="0.25">
      <c r="N2634"/>
      <c r="O2634"/>
      <c r="P2634"/>
      <c r="Q2634"/>
      <c r="R2634"/>
    </row>
    <row r="2635" spans="14:18" x14ac:dyDescent="0.25">
      <c r="N2635"/>
      <c r="O2635"/>
      <c r="P2635"/>
      <c r="Q2635"/>
      <c r="R2635"/>
    </row>
    <row r="2636" spans="14:18" x14ac:dyDescent="0.25">
      <c r="N2636"/>
      <c r="O2636"/>
      <c r="P2636"/>
      <c r="Q2636"/>
      <c r="R2636"/>
    </row>
    <row r="2637" spans="14:18" x14ac:dyDescent="0.25">
      <c r="N2637"/>
      <c r="O2637"/>
      <c r="P2637"/>
      <c r="Q2637"/>
      <c r="R2637"/>
    </row>
    <row r="2638" spans="14:18" x14ac:dyDescent="0.25">
      <c r="N2638"/>
      <c r="O2638"/>
      <c r="P2638"/>
      <c r="Q2638"/>
      <c r="R2638"/>
    </row>
    <row r="2639" spans="14:18" x14ac:dyDescent="0.25">
      <c r="N2639"/>
      <c r="O2639"/>
      <c r="P2639"/>
      <c r="Q2639"/>
      <c r="R2639"/>
    </row>
    <row r="2640" spans="14:18" x14ac:dyDescent="0.25">
      <c r="N2640"/>
      <c r="O2640"/>
      <c r="P2640"/>
      <c r="Q2640"/>
      <c r="R2640"/>
    </row>
    <row r="2641" spans="14:18" x14ac:dyDescent="0.25">
      <c r="N2641"/>
      <c r="O2641"/>
      <c r="P2641"/>
      <c r="Q2641"/>
      <c r="R2641"/>
    </row>
    <row r="2642" spans="14:18" x14ac:dyDescent="0.25">
      <c r="N2642"/>
      <c r="O2642"/>
      <c r="P2642"/>
      <c r="Q2642"/>
      <c r="R2642"/>
    </row>
    <row r="2643" spans="14:18" x14ac:dyDescent="0.25">
      <c r="N2643"/>
      <c r="O2643"/>
      <c r="P2643"/>
      <c r="Q2643"/>
      <c r="R2643"/>
    </row>
    <row r="2644" spans="14:18" x14ac:dyDescent="0.25">
      <c r="N2644"/>
      <c r="O2644"/>
      <c r="P2644"/>
      <c r="Q2644"/>
      <c r="R2644"/>
    </row>
    <row r="2645" spans="14:18" x14ac:dyDescent="0.25">
      <c r="N2645"/>
      <c r="O2645"/>
      <c r="P2645"/>
      <c r="Q2645"/>
      <c r="R2645"/>
    </row>
    <row r="2646" spans="14:18" x14ac:dyDescent="0.25">
      <c r="N2646"/>
      <c r="O2646"/>
      <c r="P2646"/>
      <c r="Q2646"/>
      <c r="R2646"/>
    </row>
    <row r="2647" spans="14:18" x14ac:dyDescent="0.25">
      <c r="N2647"/>
      <c r="O2647"/>
      <c r="P2647"/>
      <c r="Q2647"/>
      <c r="R2647"/>
    </row>
    <row r="2648" spans="14:18" x14ac:dyDescent="0.25">
      <c r="N2648"/>
      <c r="O2648"/>
      <c r="P2648"/>
      <c r="Q2648"/>
      <c r="R2648"/>
    </row>
    <row r="2649" spans="14:18" x14ac:dyDescent="0.25">
      <c r="N2649"/>
      <c r="O2649"/>
      <c r="P2649"/>
      <c r="Q2649"/>
      <c r="R2649"/>
    </row>
    <row r="2650" spans="14:18" x14ac:dyDescent="0.25">
      <c r="N2650"/>
      <c r="O2650"/>
      <c r="P2650"/>
      <c r="Q2650"/>
      <c r="R2650"/>
    </row>
    <row r="2651" spans="14:18" x14ac:dyDescent="0.25">
      <c r="N2651"/>
      <c r="O2651"/>
      <c r="P2651"/>
      <c r="Q2651"/>
      <c r="R2651"/>
    </row>
    <row r="2652" spans="14:18" x14ac:dyDescent="0.25">
      <c r="N2652"/>
      <c r="O2652"/>
      <c r="P2652"/>
      <c r="Q2652"/>
      <c r="R2652"/>
    </row>
    <row r="2653" spans="14:18" x14ac:dyDescent="0.25">
      <c r="N2653"/>
      <c r="O2653"/>
      <c r="P2653"/>
      <c r="Q2653"/>
      <c r="R2653"/>
    </row>
    <row r="2654" spans="14:18" x14ac:dyDescent="0.25">
      <c r="N2654"/>
      <c r="O2654"/>
      <c r="P2654"/>
      <c r="Q2654"/>
      <c r="R2654"/>
    </row>
    <row r="2655" spans="14:18" x14ac:dyDescent="0.25">
      <c r="N2655"/>
      <c r="O2655"/>
      <c r="P2655"/>
      <c r="Q2655"/>
      <c r="R2655"/>
    </row>
    <row r="2656" spans="14:18" x14ac:dyDescent="0.25">
      <c r="N2656"/>
      <c r="O2656"/>
      <c r="P2656"/>
      <c r="Q2656"/>
      <c r="R2656"/>
    </row>
    <row r="2657" spans="14:18" x14ac:dyDescent="0.25">
      <c r="N2657"/>
      <c r="O2657"/>
      <c r="P2657"/>
      <c r="Q2657"/>
      <c r="R2657"/>
    </row>
    <row r="2658" spans="14:18" x14ac:dyDescent="0.25">
      <c r="N2658"/>
      <c r="O2658"/>
      <c r="P2658"/>
      <c r="Q2658"/>
      <c r="R2658"/>
    </row>
    <row r="2659" spans="14:18" x14ac:dyDescent="0.25">
      <c r="N2659"/>
      <c r="O2659"/>
      <c r="P2659"/>
      <c r="Q2659"/>
      <c r="R2659"/>
    </row>
    <row r="2660" spans="14:18" x14ac:dyDescent="0.25">
      <c r="N2660"/>
      <c r="O2660"/>
      <c r="P2660"/>
      <c r="Q2660"/>
      <c r="R2660"/>
    </row>
    <row r="2661" spans="14:18" x14ac:dyDescent="0.25">
      <c r="N2661"/>
      <c r="O2661"/>
      <c r="P2661"/>
      <c r="Q2661"/>
      <c r="R2661"/>
    </row>
    <row r="2662" spans="14:18" x14ac:dyDescent="0.25">
      <c r="N2662"/>
      <c r="O2662"/>
      <c r="P2662"/>
      <c r="Q2662"/>
      <c r="R2662"/>
    </row>
    <row r="2663" spans="14:18" x14ac:dyDescent="0.25">
      <c r="N2663"/>
      <c r="O2663"/>
      <c r="P2663"/>
      <c r="Q2663"/>
      <c r="R2663"/>
    </row>
    <row r="2664" spans="14:18" x14ac:dyDescent="0.25">
      <c r="N2664"/>
      <c r="O2664"/>
      <c r="P2664"/>
      <c r="Q2664"/>
      <c r="R2664"/>
    </row>
    <row r="2665" spans="14:18" x14ac:dyDescent="0.25">
      <c r="N2665"/>
      <c r="O2665"/>
      <c r="P2665"/>
      <c r="Q2665"/>
      <c r="R2665"/>
    </row>
    <row r="2666" spans="14:18" x14ac:dyDescent="0.25">
      <c r="N2666"/>
      <c r="O2666"/>
      <c r="P2666"/>
      <c r="Q2666"/>
      <c r="R2666"/>
    </row>
    <row r="2667" spans="14:18" x14ac:dyDescent="0.25">
      <c r="N2667"/>
      <c r="O2667"/>
      <c r="P2667"/>
      <c r="Q2667"/>
      <c r="R2667"/>
    </row>
    <row r="2668" spans="14:18" x14ac:dyDescent="0.25">
      <c r="N2668"/>
      <c r="O2668"/>
      <c r="P2668"/>
      <c r="Q2668"/>
      <c r="R2668"/>
    </row>
    <row r="2669" spans="14:18" x14ac:dyDescent="0.25">
      <c r="N2669"/>
      <c r="O2669"/>
      <c r="P2669"/>
      <c r="Q2669"/>
      <c r="R2669"/>
    </row>
    <row r="2670" spans="14:18" x14ac:dyDescent="0.25">
      <c r="N2670"/>
      <c r="O2670"/>
      <c r="P2670"/>
      <c r="Q2670"/>
      <c r="R2670"/>
    </row>
    <row r="2671" spans="14:18" x14ac:dyDescent="0.25">
      <c r="N2671"/>
      <c r="O2671"/>
      <c r="P2671"/>
      <c r="Q2671"/>
      <c r="R2671"/>
    </row>
    <row r="2672" spans="14:18" x14ac:dyDescent="0.25">
      <c r="N2672"/>
      <c r="O2672"/>
      <c r="P2672"/>
      <c r="Q2672"/>
      <c r="R2672"/>
    </row>
    <row r="2673" spans="14:18" x14ac:dyDescent="0.25">
      <c r="N2673"/>
      <c r="O2673"/>
      <c r="P2673"/>
      <c r="Q2673"/>
      <c r="R2673"/>
    </row>
    <row r="2674" spans="14:18" x14ac:dyDescent="0.25">
      <c r="N2674"/>
      <c r="O2674"/>
      <c r="P2674"/>
      <c r="Q2674"/>
      <c r="R2674"/>
    </row>
    <row r="2675" spans="14:18" x14ac:dyDescent="0.25">
      <c r="N2675"/>
      <c r="O2675"/>
      <c r="P2675"/>
      <c r="Q2675"/>
      <c r="R2675"/>
    </row>
    <row r="2676" spans="14:18" x14ac:dyDescent="0.25">
      <c r="N2676"/>
      <c r="O2676"/>
      <c r="P2676"/>
      <c r="Q2676"/>
      <c r="R2676"/>
    </row>
    <row r="2677" spans="14:18" x14ac:dyDescent="0.25">
      <c r="N2677"/>
      <c r="O2677"/>
      <c r="P2677"/>
      <c r="Q2677"/>
      <c r="R2677"/>
    </row>
    <row r="2678" spans="14:18" x14ac:dyDescent="0.25">
      <c r="N2678"/>
      <c r="O2678"/>
      <c r="P2678"/>
      <c r="Q2678"/>
      <c r="R2678"/>
    </row>
    <row r="2679" spans="14:18" x14ac:dyDescent="0.25">
      <c r="N2679"/>
      <c r="O2679"/>
      <c r="P2679"/>
      <c r="Q2679"/>
      <c r="R2679"/>
    </row>
    <row r="2680" spans="14:18" x14ac:dyDescent="0.25">
      <c r="N2680"/>
      <c r="O2680"/>
      <c r="P2680"/>
      <c r="Q2680"/>
      <c r="R2680"/>
    </row>
    <row r="2681" spans="14:18" x14ac:dyDescent="0.25">
      <c r="N2681"/>
      <c r="O2681"/>
      <c r="P2681"/>
      <c r="Q2681"/>
      <c r="R2681"/>
    </row>
    <row r="2682" spans="14:18" x14ac:dyDescent="0.25">
      <c r="N2682"/>
      <c r="O2682"/>
      <c r="P2682"/>
      <c r="Q2682"/>
      <c r="R2682"/>
    </row>
    <row r="2683" spans="14:18" x14ac:dyDescent="0.25">
      <c r="N2683"/>
      <c r="O2683"/>
      <c r="P2683"/>
      <c r="Q2683"/>
      <c r="R2683"/>
    </row>
    <row r="2684" spans="14:18" x14ac:dyDescent="0.25">
      <c r="N2684"/>
      <c r="O2684"/>
      <c r="P2684"/>
      <c r="Q2684"/>
      <c r="R2684"/>
    </row>
    <row r="2685" spans="14:18" x14ac:dyDescent="0.25">
      <c r="N2685"/>
      <c r="O2685"/>
      <c r="P2685"/>
      <c r="Q2685"/>
      <c r="R2685"/>
    </row>
    <row r="2686" spans="14:18" x14ac:dyDescent="0.25">
      <c r="N2686"/>
      <c r="O2686"/>
      <c r="P2686"/>
      <c r="Q2686"/>
      <c r="R2686"/>
    </row>
    <row r="2687" spans="14:18" x14ac:dyDescent="0.25">
      <c r="N2687"/>
      <c r="O2687"/>
      <c r="P2687"/>
      <c r="Q2687"/>
      <c r="R2687"/>
    </row>
    <row r="2688" spans="14:18" x14ac:dyDescent="0.25">
      <c r="N2688"/>
      <c r="O2688"/>
      <c r="P2688"/>
      <c r="Q2688"/>
      <c r="R2688"/>
    </row>
    <row r="2689" spans="14:18" x14ac:dyDescent="0.25">
      <c r="N2689"/>
      <c r="O2689"/>
      <c r="P2689"/>
      <c r="Q2689"/>
      <c r="R2689"/>
    </row>
    <row r="2690" spans="14:18" x14ac:dyDescent="0.25">
      <c r="N2690"/>
      <c r="O2690"/>
      <c r="P2690"/>
      <c r="Q2690"/>
      <c r="R2690"/>
    </row>
    <row r="2691" spans="14:18" x14ac:dyDescent="0.25">
      <c r="N2691"/>
      <c r="O2691"/>
      <c r="P2691"/>
      <c r="Q2691"/>
      <c r="R2691"/>
    </row>
    <row r="2692" spans="14:18" x14ac:dyDescent="0.25">
      <c r="N2692"/>
      <c r="O2692"/>
      <c r="P2692"/>
      <c r="Q2692"/>
      <c r="R2692"/>
    </row>
    <row r="2693" spans="14:18" x14ac:dyDescent="0.25">
      <c r="N2693"/>
      <c r="O2693"/>
      <c r="P2693"/>
      <c r="Q2693"/>
      <c r="R2693"/>
    </row>
    <row r="2694" spans="14:18" x14ac:dyDescent="0.25">
      <c r="N2694"/>
      <c r="O2694"/>
      <c r="P2694"/>
      <c r="Q2694"/>
      <c r="R2694"/>
    </row>
    <row r="2695" spans="14:18" x14ac:dyDescent="0.25">
      <c r="N2695"/>
      <c r="O2695"/>
      <c r="P2695"/>
      <c r="Q2695"/>
      <c r="R2695"/>
    </row>
    <row r="2696" spans="14:18" x14ac:dyDescent="0.25">
      <c r="N2696"/>
      <c r="O2696"/>
      <c r="P2696"/>
      <c r="Q2696"/>
      <c r="R2696"/>
    </row>
    <row r="2697" spans="14:18" x14ac:dyDescent="0.25">
      <c r="N2697"/>
      <c r="O2697"/>
      <c r="P2697"/>
      <c r="Q2697"/>
      <c r="R2697"/>
    </row>
    <row r="2698" spans="14:18" x14ac:dyDescent="0.25">
      <c r="N2698"/>
      <c r="O2698"/>
      <c r="P2698"/>
      <c r="Q2698"/>
      <c r="R2698"/>
    </row>
    <row r="2699" spans="14:18" x14ac:dyDescent="0.25">
      <c r="N2699"/>
      <c r="O2699"/>
      <c r="P2699"/>
      <c r="Q2699"/>
      <c r="R2699"/>
    </row>
    <row r="2700" spans="14:18" x14ac:dyDescent="0.25">
      <c r="N2700"/>
      <c r="O2700"/>
      <c r="P2700"/>
      <c r="Q2700"/>
      <c r="R2700"/>
    </row>
    <row r="2701" spans="14:18" x14ac:dyDescent="0.25">
      <c r="N2701"/>
      <c r="O2701"/>
      <c r="P2701"/>
      <c r="Q2701"/>
      <c r="R2701"/>
    </row>
    <row r="2702" spans="14:18" x14ac:dyDescent="0.25">
      <c r="N2702"/>
      <c r="O2702"/>
      <c r="P2702"/>
      <c r="Q2702"/>
      <c r="R2702"/>
    </row>
    <row r="2703" spans="14:18" x14ac:dyDescent="0.25">
      <c r="N2703"/>
      <c r="O2703"/>
      <c r="P2703"/>
      <c r="Q2703"/>
      <c r="R2703"/>
    </row>
    <row r="2704" spans="14:18" x14ac:dyDescent="0.25">
      <c r="N2704"/>
      <c r="O2704"/>
      <c r="P2704"/>
      <c r="Q2704"/>
      <c r="R2704"/>
    </row>
    <row r="2705" spans="14:18" x14ac:dyDescent="0.25">
      <c r="N2705"/>
      <c r="O2705"/>
      <c r="P2705"/>
      <c r="Q2705"/>
      <c r="R2705"/>
    </row>
    <row r="2706" spans="14:18" x14ac:dyDescent="0.25">
      <c r="N2706"/>
      <c r="O2706"/>
      <c r="P2706"/>
      <c r="Q2706"/>
      <c r="R2706"/>
    </row>
    <row r="2707" spans="14:18" x14ac:dyDescent="0.25">
      <c r="N2707"/>
      <c r="O2707"/>
      <c r="P2707"/>
      <c r="Q2707"/>
      <c r="R2707"/>
    </row>
    <row r="2708" spans="14:18" x14ac:dyDescent="0.25">
      <c r="N2708"/>
      <c r="O2708"/>
      <c r="P2708"/>
      <c r="Q2708"/>
      <c r="R2708"/>
    </row>
    <row r="2709" spans="14:18" x14ac:dyDescent="0.25">
      <c r="N2709"/>
      <c r="O2709"/>
      <c r="P2709"/>
      <c r="Q2709"/>
      <c r="R2709"/>
    </row>
    <row r="2710" spans="14:18" x14ac:dyDescent="0.25">
      <c r="N2710"/>
      <c r="O2710"/>
      <c r="P2710"/>
      <c r="Q2710"/>
      <c r="R2710"/>
    </row>
    <row r="2711" spans="14:18" x14ac:dyDescent="0.25">
      <c r="N2711"/>
      <c r="O2711"/>
      <c r="P2711"/>
      <c r="Q2711"/>
      <c r="R2711"/>
    </row>
    <row r="2712" spans="14:18" x14ac:dyDescent="0.25">
      <c r="N2712"/>
      <c r="O2712"/>
      <c r="P2712"/>
      <c r="Q2712"/>
      <c r="R2712"/>
    </row>
    <row r="2713" spans="14:18" x14ac:dyDescent="0.25">
      <c r="N2713"/>
      <c r="O2713"/>
      <c r="P2713"/>
      <c r="Q2713"/>
      <c r="R2713"/>
    </row>
    <row r="2714" spans="14:18" x14ac:dyDescent="0.25">
      <c r="N2714"/>
      <c r="O2714"/>
      <c r="P2714"/>
      <c r="Q2714"/>
      <c r="R2714"/>
    </row>
    <row r="2715" spans="14:18" x14ac:dyDescent="0.25">
      <c r="N2715"/>
      <c r="O2715"/>
      <c r="P2715"/>
      <c r="Q2715"/>
      <c r="R2715"/>
    </row>
    <row r="2716" spans="14:18" x14ac:dyDescent="0.25">
      <c r="N2716"/>
      <c r="O2716"/>
      <c r="P2716"/>
      <c r="Q2716"/>
      <c r="R2716"/>
    </row>
    <row r="2717" spans="14:18" x14ac:dyDescent="0.25">
      <c r="N2717"/>
      <c r="O2717"/>
      <c r="P2717"/>
      <c r="Q2717"/>
      <c r="R2717"/>
    </row>
    <row r="2718" spans="14:18" x14ac:dyDescent="0.25">
      <c r="N2718"/>
      <c r="O2718"/>
      <c r="P2718"/>
      <c r="Q2718"/>
      <c r="R2718"/>
    </row>
    <row r="2719" spans="14:18" x14ac:dyDescent="0.25">
      <c r="N2719"/>
      <c r="O2719"/>
      <c r="P2719"/>
      <c r="Q2719"/>
      <c r="R2719"/>
    </row>
    <row r="2720" spans="14:18" x14ac:dyDescent="0.25">
      <c r="N2720"/>
      <c r="O2720"/>
      <c r="P2720"/>
      <c r="Q2720"/>
      <c r="R2720"/>
    </row>
    <row r="2721" spans="14:18" x14ac:dyDescent="0.25">
      <c r="N2721"/>
      <c r="O2721"/>
      <c r="P2721"/>
      <c r="Q2721"/>
      <c r="R2721"/>
    </row>
    <row r="2722" spans="14:18" x14ac:dyDescent="0.25">
      <c r="N2722"/>
      <c r="O2722"/>
      <c r="P2722"/>
      <c r="Q2722"/>
      <c r="R2722"/>
    </row>
    <row r="2723" spans="14:18" x14ac:dyDescent="0.25">
      <c r="N2723"/>
      <c r="O2723"/>
      <c r="P2723"/>
      <c r="Q2723"/>
      <c r="R2723"/>
    </row>
    <row r="2724" spans="14:18" x14ac:dyDescent="0.25">
      <c r="N2724"/>
      <c r="O2724"/>
      <c r="P2724"/>
      <c r="Q2724"/>
      <c r="R2724"/>
    </row>
    <row r="2725" spans="14:18" x14ac:dyDescent="0.25">
      <c r="N2725"/>
      <c r="O2725"/>
      <c r="P2725"/>
      <c r="Q2725"/>
      <c r="R2725"/>
    </row>
    <row r="2726" spans="14:18" x14ac:dyDescent="0.25">
      <c r="N2726"/>
      <c r="O2726"/>
      <c r="P2726"/>
      <c r="Q2726"/>
      <c r="R2726"/>
    </row>
    <row r="2727" spans="14:18" x14ac:dyDescent="0.25">
      <c r="N2727"/>
      <c r="O2727"/>
      <c r="P2727"/>
      <c r="Q2727"/>
      <c r="R2727"/>
    </row>
    <row r="2728" spans="14:18" x14ac:dyDescent="0.25">
      <c r="N2728"/>
      <c r="O2728"/>
      <c r="P2728"/>
      <c r="Q2728"/>
      <c r="R2728"/>
    </row>
    <row r="2729" spans="14:18" x14ac:dyDescent="0.25">
      <c r="N2729"/>
      <c r="O2729"/>
      <c r="P2729"/>
      <c r="Q2729"/>
      <c r="R2729"/>
    </row>
    <row r="2730" spans="14:18" x14ac:dyDescent="0.25">
      <c r="N2730"/>
      <c r="O2730"/>
      <c r="P2730"/>
      <c r="Q2730"/>
      <c r="R2730"/>
    </row>
    <row r="2731" spans="14:18" x14ac:dyDescent="0.25">
      <c r="N2731"/>
      <c r="O2731"/>
      <c r="P2731"/>
      <c r="Q2731"/>
      <c r="R2731"/>
    </row>
    <row r="2732" spans="14:18" x14ac:dyDescent="0.25">
      <c r="N2732"/>
      <c r="O2732"/>
      <c r="P2732"/>
      <c r="Q2732"/>
      <c r="R2732"/>
    </row>
    <row r="2733" spans="14:18" x14ac:dyDescent="0.25">
      <c r="N2733"/>
      <c r="O2733"/>
      <c r="P2733"/>
      <c r="Q2733"/>
      <c r="R2733"/>
    </row>
    <row r="2734" spans="14:18" x14ac:dyDescent="0.25">
      <c r="N2734"/>
      <c r="O2734"/>
      <c r="P2734"/>
      <c r="Q2734"/>
      <c r="R2734"/>
    </row>
    <row r="2735" spans="14:18" x14ac:dyDescent="0.25">
      <c r="N2735"/>
      <c r="O2735"/>
      <c r="P2735"/>
      <c r="Q2735"/>
      <c r="R2735"/>
    </row>
    <row r="2736" spans="14:18" x14ac:dyDescent="0.25">
      <c r="N2736"/>
      <c r="O2736"/>
      <c r="P2736"/>
      <c r="Q2736"/>
      <c r="R2736"/>
    </row>
    <row r="2737" spans="14:18" x14ac:dyDescent="0.25">
      <c r="N2737"/>
      <c r="O2737"/>
      <c r="P2737"/>
      <c r="Q2737"/>
      <c r="R2737"/>
    </row>
    <row r="2738" spans="14:18" x14ac:dyDescent="0.25">
      <c r="N2738"/>
      <c r="O2738"/>
      <c r="P2738"/>
      <c r="Q2738"/>
      <c r="R2738"/>
    </row>
    <row r="2739" spans="14:18" x14ac:dyDescent="0.25">
      <c r="N2739"/>
      <c r="O2739"/>
      <c r="P2739"/>
      <c r="Q2739"/>
      <c r="R2739"/>
    </row>
    <row r="2740" spans="14:18" x14ac:dyDescent="0.25">
      <c r="N2740"/>
      <c r="O2740"/>
      <c r="P2740"/>
      <c r="Q2740"/>
      <c r="R2740"/>
    </row>
    <row r="2741" spans="14:18" x14ac:dyDescent="0.25">
      <c r="N2741"/>
      <c r="O2741"/>
      <c r="P2741"/>
      <c r="Q2741"/>
      <c r="R2741"/>
    </row>
    <row r="2742" spans="14:18" x14ac:dyDescent="0.25">
      <c r="N2742"/>
      <c r="O2742"/>
      <c r="P2742"/>
      <c r="Q2742"/>
      <c r="R2742"/>
    </row>
    <row r="2743" spans="14:18" x14ac:dyDescent="0.25">
      <c r="N2743"/>
      <c r="O2743"/>
      <c r="P2743"/>
      <c r="Q2743"/>
      <c r="R2743"/>
    </row>
    <row r="2744" spans="14:18" x14ac:dyDescent="0.25">
      <c r="N2744"/>
      <c r="O2744"/>
      <c r="P2744"/>
      <c r="Q2744"/>
      <c r="R2744"/>
    </row>
    <row r="2745" spans="14:18" x14ac:dyDescent="0.25">
      <c r="N2745"/>
      <c r="O2745"/>
      <c r="P2745"/>
      <c r="Q2745"/>
      <c r="R2745"/>
    </row>
    <row r="2746" spans="14:18" x14ac:dyDescent="0.25">
      <c r="N2746"/>
      <c r="O2746"/>
      <c r="P2746"/>
      <c r="Q2746"/>
      <c r="R2746"/>
    </row>
    <row r="2747" spans="14:18" x14ac:dyDescent="0.25">
      <c r="N2747"/>
      <c r="O2747"/>
      <c r="P2747"/>
      <c r="Q2747"/>
      <c r="R2747"/>
    </row>
    <row r="2748" spans="14:18" x14ac:dyDescent="0.25">
      <c r="N2748"/>
      <c r="O2748"/>
      <c r="P2748"/>
      <c r="Q2748"/>
      <c r="R2748"/>
    </row>
    <row r="2749" spans="14:18" x14ac:dyDescent="0.25">
      <c r="N2749"/>
      <c r="O2749"/>
      <c r="P2749"/>
      <c r="Q2749"/>
      <c r="R2749"/>
    </row>
    <row r="2750" spans="14:18" x14ac:dyDescent="0.25">
      <c r="N2750"/>
      <c r="O2750"/>
      <c r="P2750"/>
      <c r="Q2750"/>
      <c r="R2750"/>
    </row>
    <row r="2751" spans="14:18" x14ac:dyDescent="0.25">
      <c r="N2751"/>
      <c r="O2751"/>
      <c r="P2751"/>
      <c r="Q2751"/>
      <c r="R2751"/>
    </row>
    <row r="2752" spans="14:18" x14ac:dyDescent="0.25">
      <c r="N2752"/>
      <c r="O2752"/>
      <c r="P2752"/>
      <c r="Q2752"/>
      <c r="R2752"/>
    </row>
    <row r="2753" spans="14:18" x14ac:dyDescent="0.25">
      <c r="N2753"/>
      <c r="O2753"/>
      <c r="P2753"/>
      <c r="Q2753"/>
      <c r="R2753"/>
    </row>
    <row r="2754" spans="14:18" x14ac:dyDescent="0.25">
      <c r="N2754"/>
      <c r="O2754"/>
      <c r="P2754"/>
      <c r="Q2754"/>
      <c r="R2754"/>
    </row>
    <row r="2755" spans="14:18" x14ac:dyDescent="0.25">
      <c r="N2755"/>
      <c r="O2755"/>
      <c r="P2755"/>
      <c r="Q2755"/>
      <c r="R2755"/>
    </row>
    <row r="2756" spans="14:18" x14ac:dyDescent="0.25">
      <c r="N2756"/>
      <c r="O2756"/>
      <c r="P2756"/>
      <c r="Q2756"/>
      <c r="R2756"/>
    </row>
    <row r="2757" spans="14:18" x14ac:dyDescent="0.25">
      <c r="N2757"/>
      <c r="O2757"/>
      <c r="P2757"/>
      <c r="Q2757"/>
      <c r="R2757"/>
    </row>
    <row r="2758" spans="14:18" x14ac:dyDescent="0.25">
      <c r="N2758"/>
      <c r="O2758"/>
      <c r="P2758"/>
      <c r="Q2758"/>
      <c r="R2758"/>
    </row>
    <row r="2759" spans="14:18" x14ac:dyDescent="0.25">
      <c r="N2759"/>
      <c r="O2759"/>
      <c r="P2759"/>
      <c r="Q2759"/>
      <c r="R2759"/>
    </row>
    <row r="2760" spans="14:18" x14ac:dyDescent="0.25">
      <c r="N2760"/>
      <c r="O2760"/>
      <c r="P2760"/>
      <c r="Q2760"/>
      <c r="R2760"/>
    </row>
    <row r="2761" spans="14:18" x14ac:dyDescent="0.25">
      <c r="N2761"/>
      <c r="O2761"/>
      <c r="P2761"/>
      <c r="Q2761"/>
      <c r="R2761"/>
    </row>
    <row r="2762" spans="14:18" x14ac:dyDescent="0.25">
      <c r="N2762"/>
      <c r="O2762"/>
      <c r="P2762"/>
      <c r="Q2762"/>
      <c r="R2762"/>
    </row>
    <row r="2763" spans="14:18" x14ac:dyDescent="0.25">
      <c r="N2763"/>
      <c r="O2763"/>
      <c r="P2763"/>
      <c r="Q2763"/>
      <c r="R2763"/>
    </row>
    <row r="2764" spans="14:18" x14ac:dyDescent="0.25">
      <c r="N2764"/>
      <c r="O2764"/>
      <c r="P2764"/>
      <c r="Q2764"/>
      <c r="R2764"/>
    </row>
    <row r="2765" spans="14:18" x14ac:dyDescent="0.25">
      <c r="N2765"/>
      <c r="O2765"/>
      <c r="P2765"/>
      <c r="Q2765"/>
      <c r="R2765"/>
    </row>
    <row r="2766" spans="14:18" x14ac:dyDescent="0.25">
      <c r="N2766"/>
      <c r="O2766"/>
      <c r="P2766"/>
      <c r="Q2766"/>
      <c r="R2766"/>
    </row>
    <row r="2767" spans="14:18" x14ac:dyDescent="0.25">
      <c r="N2767"/>
      <c r="O2767"/>
      <c r="P2767"/>
      <c r="Q2767"/>
      <c r="R2767"/>
    </row>
    <row r="2768" spans="14:18" x14ac:dyDescent="0.25">
      <c r="N2768"/>
      <c r="O2768"/>
      <c r="P2768"/>
      <c r="Q2768"/>
      <c r="R2768"/>
    </row>
    <row r="2769" spans="14:18" x14ac:dyDescent="0.25">
      <c r="N2769"/>
      <c r="O2769"/>
      <c r="P2769"/>
      <c r="Q2769"/>
      <c r="R2769"/>
    </row>
    <row r="2770" spans="14:18" x14ac:dyDescent="0.25">
      <c r="N2770"/>
      <c r="O2770"/>
      <c r="P2770"/>
      <c r="Q2770"/>
      <c r="R2770"/>
    </row>
    <row r="2771" spans="14:18" x14ac:dyDescent="0.25">
      <c r="N2771"/>
      <c r="O2771"/>
      <c r="P2771"/>
      <c r="Q2771"/>
      <c r="R2771"/>
    </row>
    <row r="2772" spans="14:18" x14ac:dyDescent="0.25">
      <c r="N2772"/>
      <c r="O2772"/>
      <c r="P2772"/>
      <c r="Q2772"/>
      <c r="R2772"/>
    </row>
    <row r="2773" spans="14:18" x14ac:dyDescent="0.25">
      <c r="N2773"/>
      <c r="O2773"/>
      <c r="P2773"/>
      <c r="Q2773"/>
      <c r="R2773"/>
    </row>
    <row r="2774" spans="14:18" x14ac:dyDescent="0.25">
      <c r="N2774"/>
      <c r="O2774"/>
      <c r="P2774"/>
      <c r="Q2774"/>
      <c r="R2774"/>
    </row>
    <row r="2775" spans="14:18" x14ac:dyDescent="0.25">
      <c r="N2775"/>
      <c r="O2775"/>
      <c r="P2775"/>
      <c r="Q2775"/>
      <c r="R2775"/>
    </row>
    <row r="2776" spans="14:18" x14ac:dyDescent="0.25">
      <c r="N2776"/>
      <c r="O2776"/>
      <c r="P2776"/>
      <c r="Q2776"/>
      <c r="R2776"/>
    </row>
    <row r="2777" spans="14:18" x14ac:dyDescent="0.25">
      <c r="N2777"/>
      <c r="O2777"/>
      <c r="P2777"/>
      <c r="Q2777"/>
      <c r="R2777"/>
    </row>
    <row r="2778" spans="14:18" x14ac:dyDescent="0.25">
      <c r="N2778"/>
      <c r="O2778"/>
      <c r="P2778"/>
      <c r="Q2778"/>
      <c r="R2778"/>
    </row>
    <row r="2779" spans="14:18" x14ac:dyDescent="0.25">
      <c r="N2779"/>
      <c r="O2779"/>
      <c r="P2779"/>
      <c r="Q2779"/>
      <c r="R2779"/>
    </row>
    <row r="2780" spans="14:18" x14ac:dyDescent="0.25">
      <c r="N2780"/>
      <c r="O2780"/>
      <c r="P2780"/>
      <c r="Q2780"/>
      <c r="R2780"/>
    </row>
    <row r="2781" spans="14:18" x14ac:dyDescent="0.25">
      <c r="N2781"/>
      <c r="O2781"/>
      <c r="P2781"/>
      <c r="Q2781"/>
      <c r="R2781"/>
    </row>
    <row r="2782" spans="14:18" x14ac:dyDescent="0.25">
      <c r="N2782"/>
      <c r="O2782"/>
      <c r="P2782"/>
      <c r="Q2782"/>
      <c r="R2782"/>
    </row>
    <row r="2783" spans="14:18" x14ac:dyDescent="0.25">
      <c r="N2783"/>
      <c r="O2783"/>
      <c r="P2783"/>
      <c r="Q2783"/>
      <c r="R2783"/>
    </row>
    <row r="2784" spans="14:18" x14ac:dyDescent="0.25">
      <c r="N2784"/>
      <c r="O2784"/>
      <c r="P2784"/>
      <c r="Q2784"/>
      <c r="R2784"/>
    </row>
    <row r="2785" spans="14:18" x14ac:dyDescent="0.25">
      <c r="N2785"/>
      <c r="O2785"/>
      <c r="P2785"/>
      <c r="Q2785"/>
      <c r="R2785"/>
    </row>
    <row r="2786" spans="14:18" x14ac:dyDescent="0.25">
      <c r="N2786"/>
      <c r="O2786"/>
      <c r="P2786"/>
      <c r="Q2786"/>
      <c r="R2786"/>
    </row>
    <row r="2787" spans="14:18" x14ac:dyDescent="0.25">
      <c r="N2787"/>
      <c r="O2787"/>
      <c r="P2787"/>
      <c r="Q2787"/>
      <c r="R2787"/>
    </row>
    <row r="2788" spans="14:18" x14ac:dyDescent="0.25">
      <c r="N2788"/>
      <c r="O2788"/>
      <c r="P2788"/>
      <c r="Q2788"/>
      <c r="R2788"/>
    </row>
    <row r="2789" spans="14:18" x14ac:dyDescent="0.25">
      <c r="N2789"/>
      <c r="O2789"/>
      <c r="P2789"/>
      <c r="Q2789"/>
      <c r="R2789"/>
    </row>
    <row r="2790" spans="14:18" x14ac:dyDescent="0.25">
      <c r="N2790"/>
      <c r="O2790"/>
      <c r="P2790"/>
      <c r="Q2790"/>
      <c r="R2790"/>
    </row>
    <row r="2791" spans="14:18" x14ac:dyDescent="0.25">
      <c r="N2791"/>
      <c r="O2791"/>
      <c r="P2791"/>
      <c r="Q2791"/>
      <c r="R2791"/>
    </row>
    <row r="2792" spans="14:18" x14ac:dyDescent="0.25">
      <c r="N2792"/>
      <c r="O2792"/>
      <c r="P2792"/>
      <c r="Q2792"/>
      <c r="R2792"/>
    </row>
    <row r="2793" spans="14:18" x14ac:dyDescent="0.25">
      <c r="N2793"/>
      <c r="O2793"/>
      <c r="P2793"/>
      <c r="Q2793"/>
      <c r="R2793"/>
    </row>
    <row r="2794" spans="14:18" x14ac:dyDescent="0.25">
      <c r="N2794"/>
      <c r="O2794"/>
      <c r="P2794"/>
      <c r="Q2794"/>
      <c r="R2794"/>
    </row>
    <row r="2795" spans="14:18" x14ac:dyDescent="0.25">
      <c r="N2795"/>
      <c r="O2795"/>
      <c r="P2795"/>
      <c r="Q2795"/>
      <c r="R2795"/>
    </row>
    <row r="2796" spans="14:18" x14ac:dyDescent="0.25">
      <c r="N2796"/>
      <c r="O2796"/>
      <c r="P2796"/>
      <c r="Q2796"/>
      <c r="R2796"/>
    </row>
    <row r="2797" spans="14:18" x14ac:dyDescent="0.25">
      <c r="N2797"/>
      <c r="O2797"/>
      <c r="P2797"/>
      <c r="Q2797"/>
      <c r="R2797"/>
    </row>
    <row r="2798" spans="14:18" x14ac:dyDescent="0.25">
      <c r="N2798"/>
      <c r="O2798"/>
      <c r="P2798"/>
      <c r="Q2798"/>
      <c r="R2798"/>
    </row>
    <row r="2799" spans="14:18" x14ac:dyDescent="0.25">
      <c r="N2799"/>
      <c r="O2799"/>
      <c r="P2799"/>
      <c r="Q2799"/>
      <c r="R2799"/>
    </row>
    <row r="2800" spans="14:18" x14ac:dyDescent="0.25">
      <c r="N2800"/>
      <c r="O2800"/>
      <c r="P2800"/>
      <c r="Q2800"/>
      <c r="R2800"/>
    </row>
    <row r="2801" spans="14:18" x14ac:dyDescent="0.25">
      <c r="N2801"/>
      <c r="O2801"/>
      <c r="P2801"/>
      <c r="Q2801"/>
      <c r="R2801"/>
    </row>
    <row r="2802" spans="14:18" x14ac:dyDescent="0.25">
      <c r="N2802"/>
      <c r="O2802"/>
      <c r="P2802"/>
      <c r="Q2802"/>
      <c r="R2802"/>
    </row>
    <row r="2803" spans="14:18" x14ac:dyDescent="0.25">
      <c r="N2803"/>
      <c r="O2803"/>
      <c r="P2803"/>
      <c r="Q2803"/>
      <c r="R2803"/>
    </row>
    <row r="2804" spans="14:18" x14ac:dyDescent="0.25">
      <c r="N2804"/>
      <c r="O2804"/>
      <c r="P2804"/>
      <c r="Q2804"/>
      <c r="R2804"/>
    </row>
    <row r="2805" spans="14:18" x14ac:dyDescent="0.25">
      <c r="N2805"/>
      <c r="O2805"/>
      <c r="P2805"/>
      <c r="Q2805"/>
      <c r="R2805"/>
    </row>
    <row r="2806" spans="14:18" x14ac:dyDescent="0.25">
      <c r="N2806"/>
      <c r="O2806"/>
      <c r="P2806"/>
      <c r="Q2806"/>
      <c r="R2806"/>
    </row>
    <row r="2807" spans="14:18" x14ac:dyDescent="0.25">
      <c r="N2807"/>
      <c r="O2807"/>
      <c r="P2807"/>
      <c r="Q2807"/>
      <c r="R2807"/>
    </row>
    <row r="2808" spans="14:18" x14ac:dyDescent="0.25">
      <c r="N2808"/>
      <c r="O2808"/>
      <c r="P2808"/>
      <c r="Q2808"/>
      <c r="R2808"/>
    </row>
    <row r="2809" spans="14:18" x14ac:dyDescent="0.25">
      <c r="N2809"/>
      <c r="O2809"/>
      <c r="P2809"/>
      <c r="Q2809"/>
      <c r="R2809"/>
    </row>
    <row r="2810" spans="14:18" x14ac:dyDescent="0.25">
      <c r="N2810"/>
      <c r="O2810"/>
      <c r="P2810"/>
      <c r="Q2810"/>
      <c r="R2810"/>
    </row>
    <row r="2811" spans="14:18" x14ac:dyDescent="0.25">
      <c r="N2811"/>
      <c r="O2811"/>
      <c r="P2811"/>
      <c r="Q2811"/>
      <c r="R2811"/>
    </row>
    <row r="2812" spans="14:18" x14ac:dyDescent="0.25">
      <c r="N2812"/>
      <c r="O2812"/>
      <c r="P2812"/>
      <c r="Q2812"/>
      <c r="R2812"/>
    </row>
    <row r="2813" spans="14:18" x14ac:dyDescent="0.25">
      <c r="N2813"/>
      <c r="O2813"/>
      <c r="P2813"/>
      <c r="Q2813"/>
      <c r="R2813"/>
    </row>
    <row r="2814" spans="14:18" x14ac:dyDescent="0.25">
      <c r="N2814"/>
      <c r="O2814"/>
      <c r="P2814"/>
      <c r="Q2814"/>
      <c r="R2814"/>
    </row>
    <row r="2815" spans="14:18" x14ac:dyDescent="0.25">
      <c r="N2815"/>
      <c r="O2815"/>
      <c r="P2815"/>
      <c r="Q2815"/>
      <c r="R2815"/>
    </row>
    <row r="2816" spans="14:18" x14ac:dyDescent="0.25">
      <c r="N2816"/>
      <c r="O2816"/>
      <c r="P2816"/>
      <c r="Q2816"/>
      <c r="R2816"/>
    </row>
    <row r="2817" spans="14:18" x14ac:dyDescent="0.25">
      <c r="N2817"/>
      <c r="O2817"/>
      <c r="P2817"/>
      <c r="Q2817"/>
      <c r="R2817"/>
    </row>
    <row r="2818" spans="14:18" x14ac:dyDescent="0.25">
      <c r="N2818"/>
      <c r="O2818"/>
      <c r="P2818"/>
      <c r="Q2818"/>
      <c r="R2818"/>
    </row>
    <row r="2819" spans="14:18" x14ac:dyDescent="0.25">
      <c r="N2819"/>
      <c r="O2819"/>
      <c r="P2819"/>
      <c r="Q2819"/>
      <c r="R2819"/>
    </row>
    <row r="2820" spans="14:18" x14ac:dyDescent="0.25">
      <c r="N2820"/>
      <c r="O2820"/>
      <c r="P2820"/>
      <c r="Q2820"/>
      <c r="R2820"/>
    </row>
    <row r="2821" spans="14:18" x14ac:dyDescent="0.25">
      <c r="N2821"/>
      <c r="O2821"/>
      <c r="P2821"/>
      <c r="Q2821"/>
      <c r="R2821"/>
    </row>
    <row r="2822" spans="14:18" x14ac:dyDescent="0.25">
      <c r="N2822"/>
      <c r="O2822"/>
      <c r="P2822"/>
      <c r="Q2822"/>
      <c r="R2822"/>
    </row>
    <row r="2823" spans="14:18" x14ac:dyDescent="0.25">
      <c r="N2823"/>
      <c r="O2823"/>
      <c r="P2823"/>
      <c r="Q2823"/>
      <c r="R2823"/>
    </row>
    <row r="2824" spans="14:18" x14ac:dyDescent="0.25">
      <c r="N2824"/>
      <c r="O2824"/>
      <c r="P2824"/>
      <c r="Q2824"/>
      <c r="R2824"/>
    </row>
    <row r="2825" spans="14:18" x14ac:dyDescent="0.25">
      <c r="N2825"/>
      <c r="O2825"/>
      <c r="P2825"/>
      <c r="Q2825"/>
      <c r="R2825"/>
    </row>
    <row r="2826" spans="14:18" x14ac:dyDescent="0.25">
      <c r="N2826"/>
      <c r="O2826"/>
      <c r="P2826"/>
      <c r="Q2826"/>
      <c r="R2826"/>
    </row>
    <row r="2827" spans="14:18" x14ac:dyDescent="0.25">
      <c r="N2827"/>
      <c r="O2827"/>
      <c r="P2827"/>
      <c r="Q2827"/>
      <c r="R2827"/>
    </row>
    <row r="2828" spans="14:18" x14ac:dyDescent="0.25">
      <c r="N2828"/>
      <c r="O2828"/>
      <c r="P2828"/>
      <c r="Q2828"/>
      <c r="R2828"/>
    </row>
    <row r="2829" spans="14:18" x14ac:dyDescent="0.25">
      <c r="N2829"/>
      <c r="O2829"/>
      <c r="P2829"/>
      <c r="Q2829"/>
      <c r="R2829"/>
    </row>
    <row r="2830" spans="14:18" x14ac:dyDescent="0.25">
      <c r="N2830"/>
      <c r="O2830"/>
      <c r="P2830"/>
      <c r="Q2830"/>
      <c r="R2830"/>
    </row>
    <row r="2831" spans="14:18" x14ac:dyDescent="0.25">
      <c r="N2831"/>
      <c r="O2831"/>
      <c r="P2831"/>
      <c r="Q2831"/>
      <c r="R2831"/>
    </row>
    <row r="2832" spans="14:18" x14ac:dyDescent="0.25">
      <c r="N2832"/>
      <c r="O2832"/>
      <c r="P2832"/>
      <c r="Q2832"/>
      <c r="R2832"/>
    </row>
    <row r="2833" spans="14:18" x14ac:dyDescent="0.25">
      <c r="N2833"/>
      <c r="O2833"/>
      <c r="P2833"/>
      <c r="Q2833"/>
      <c r="R2833"/>
    </row>
    <row r="2834" spans="14:18" x14ac:dyDescent="0.25">
      <c r="N2834"/>
      <c r="O2834"/>
      <c r="P2834"/>
      <c r="Q2834"/>
      <c r="R2834"/>
    </row>
    <row r="2835" spans="14:18" x14ac:dyDescent="0.25">
      <c r="N2835"/>
      <c r="O2835"/>
      <c r="P2835"/>
      <c r="Q2835"/>
      <c r="R2835"/>
    </row>
    <row r="2836" spans="14:18" x14ac:dyDescent="0.25">
      <c r="N2836"/>
      <c r="O2836"/>
      <c r="P2836"/>
      <c r="Q2836"/>
      <c r="R2836"/>
    </row>
    <row r="2837" spans="14:18" x14ac:dyDescent="0.25">
      <c r="N2837"/>
      <c r="O2837"/>
      <c r="P2837"/>
      <c r="Q2837"/>
      <c r="R2837"/>
    </row>
    <row r="2838" spans="14:18" x14ac:dyDescent="0.25">
      <c r="N2838"/>
      <c r="O2838"/>
      <c r="P2838"/>
      <c r="Q2838"/>
      <c r="R2838"/>
    </row>
    <row r="2839" spans="14:18" x14ac:dyDescent="0.25">
      <c r="N2839"/>
      <c r="O2839"/>
      <c r="P2839"/>
      <c r="Q2839"/>
      <c r="R2839"/>
    </row>
    <row r="2840" spans="14:18" x14ac:dyDescent="0.25">
      <c r="N2840"/>
      <c r="O2840"/>
      <c r="P2840"/>
      <c r="Q2840"/>
      <c r="R2840"/>
    </row>
    <row r="2841" spans="14:18" x14ac:dyDescent="0.25">
      <c r="N2841"/>
      <c r="O2841"/>
      <c r="P2841"/>
      <c r="Q2841"/>
      <c r="R2841"/>
    </row>
    <row r="2842" spans="14:18" x14ac:dyDescent="0.25">
      <c r="N2842"/>
      <c r="O2842"/>
      <c r="P2842"/>
      <c r="Q2842"/>
      <c r="R2842"/>
    </row>
    <row r="2843" spans="14:18" x14ac:dyDescent="0.25">
      <c r="N2843"/>
      <c r="O2843"/>
      <c r="P2843"/>
      <c r="Q2843"/>
      <c r="R2843"/>
    </row>
    <row r="2844" spans="14:18" x14ac:dyDescent="0.25">
      <c r="N2844"/>
      <c r="O2844"/>
      <c r="P2844"/>
      <c r="Q2844"/>
      <c r="R2844"/>
    </row>
    <row r="2845" spans="14:18" x14ac:dyDescent="0.25">
      <c r="N2845"/>
      <c r="O2845"/>
      <c r="P2845"/>
      <c r="Q2845"/>
      <c r="R2845"/>
    </row>
    <row r="2846" spans="14:18" x14ac:dyDescent="0.25">
      <c r="N2846"/>
      <c r="O2846"/>
      <c r="P2846"/>
      <c r="Q2846"/>
      <c r="R2846"/>
    </row>
    <row r="2847" spans="14:18" x14ac:dyDescent="0.25">
      <c r="N2847"/>
      <c r="O2847"/>
      <c r="P2847"/>
      <c r="Q2847"/>
      <c r="R2847"/>
    </row>
    <row r="2848" spans="14:18" x14ac:dyDescent="0.25">
      <c r="N2848"/>
      <c r="O2848"/>
      <c r="P2848"/>
      <c r="Q2848"/>
      <c r="R2848"/>
    </row>
    <row r="2849" spans="14:18" x14ac:dyDescent="0.25">
      <c r="N2849"/>
      <c r="O2849"/>
      <c r="P2849"/>
      <c r="Q2849"/>
      <c r="R2849"/>
    </row>
    <row r="2850" spans="14:18" x14ac:dyDescent="0.25">
      <c r="N2850"/>
      <c r="O2850"/>
      <c r="P2850"/>
      <c r="Q2850"/>
      <c r="R2850"/>
    </row>
    <row r="2851" spans="14:18" x14ac:dyDescent="0.25">
      <c r="N2851"/>
      <c r="O2851"/>
      <c r="P2851"/>
      <c r="Q2851"/>
      <c r="R2851"/>
    </row>
    <row r="2852" spans="14:18" x14ac:dyDescent="0.25">
      <c r="N2852"/>
      <c r="O2852"/>
      <c r="P2852"/>
      <c r="Q2852"/>
      <c r="R2852"/>
    </row>
    <row r="2853" spans="14:18" x14ac:dyDescent="0.25">
      <c r="N2853"/>
      <c r="O2853"/>
      <c r="P2853"/>
      <c r="Q2853"/>
      <c r="R2853"/>
    </row>
    <row r="2854" spans="14:18" x14ac:dyDescent="0.25">
      <c r="N2854"/>
      <c r="O2854"/>
      <c r="P2854"/>
      <c r="Q2854"/>
      <c r="R2854"/>
    </row>
    <row r="2855" spans="14:18" x14ac:dyDescent="0.25">
      <c r="N2855"/>
      <c r="O2855"/>
      <c r="P2855"/>
      <c r="Q2855"/>
      <c r="R2855"/>
    </row>
    <row r="2856" spans="14:18" x14ac:dyDescent="0.25">
      <c r="N2856"/>
      <c r="O2856"/>
      <c r="P2856"/>
      <c r="Q2856"/>
      <c r="R2856"/>
    </row>
    <row r="2857" spans="14:18" x14ac:dyDescent="0.25">
      <c r="N2857"/>
      <c r="O2857"/>
      <c r="P2857"/>
      <c r="Q2857"/>
      <c r="R2857"/>
    </row>
    <row r="2858" spans="14:18" x14ac:dyDescent="0.25">
      <c r="N2858"/>
      <c r="O2858"/>
      <c r="P2858"/>
      <c r="Q2858"/>
      <c r="R2858"/>
    </row>
    <row r="2859" spans="14:18" x14ac:dyDescent="0.25">
      <c r="N2859"/>
      <c r="O2859"/>
      <c r="P2859"/>
      <c r="Q2859"/>
      <c r="R2859"/>
    </row>
    <row r="2860" spans="14:18" x14ac:dyDescent="0.25">
      <c r="N2860"/>
      <c r="O2860"/>
      <c r="P2860"/>
      <c r="Q2860"/>
      <c r="R2860"/>
    </row>
    <row r="2861" spans="14:18" x14ac:dyDescent="0.25">
      <c r="N2861"/>
      <c r="O2861"/>
      <c r="P2861"/>
      <c r="Q2861"/>
      <c r="R2861"/>
    </row>
    <row r="2862" spans="14:18" x14ac:dyDescent="0.25">
      <c r="N2862"/>
      <c r="O2862"/>
      <c r="P2862"/>
      <c r="Q2862"/>
      <c r="R2862"/>
    </row>
    <row r="2863" spans="14:18" x14ac:dyDescent="0.25">
      <c r="N2863"/>
      <c r="O2863"/>
      <c r="P2863"/>
      <c r="Q2863"/>
      <c r="R2863"/>
    </row>
    <row r="2864" spans="14:18" x14ac:dyDescent="0.25">
      <c r="N2864"/>
      <c r="O2864"/>
      <c r="P2864"/>
      <c r="Q2864"/>
      <c r="R2864"/>
    </row>
    <row r="2865" spans="14:18" x14ac:dyDescent="0.25">
      <c r="N2865"/>
      <c r="O2865"/>
      <c r="P2865"/>
      <c r="Q2865"/>
      <c r="R2865"/>
    </row>
    <row r="2866" spans="14:18" x14ac:dyDescent="0.25">
      <c r="N2866"/>
      <c r="O2866"/>
      <c r="P2866"/>
      <c r="Q2866"/>
      <c r="R2866"/>
    </row>
    <row r="2867" spans="14:18" x14ac:dyDescent="0.25">
      <c r="N2867"/>
      <c r="O2867"/>
      <c r="P2867"/>
      <c r="Q2867"/>
      <c r="R2867"/>
    </row>
    <row r="2868" spans="14:18" x14ac:dyDescent="0.25">
      <c r="N2868"/>
      <c r="O2868"/>
      <c r="P2868"/>
      <c r="Q2868"/>
      <c r="R2868"/>
    </row>
    <row r="2869" spans="14:18" x14ac:dyDescent="0.25">
      <c r="N2869"/>
      <c r="O2869"/>
      <c r="P2869"/>
      <c r="Q2869"/>
      <c r="R2869"/>
    </row>
    <row r="2870" spans="14:18" x14ac:dyDescent="0.25">
      <c r="N2870"/>
      <c r="O2870"/>
      <c r="P2870"/>
      <c r="Q2870"/>
      <c r="R2870"/>
    </row>
    <row r="2871" spans="14:18" x14ac:dyDescent="0.25">
      <c r="N2871"/>
      <c r="O2871"/>
      <c r="P2871"/>
      <c r="Q2871"/>
      <c r="R2871"/>
    </row>
    <row r="2872" spans="14:18" x14ac:dyDescent="0.25">
      <c r="N2872"/>
      <c r="O2872"/>
      <c r="P2872"/>
      <c r="Q2872"/>
      <c r="R2872"/>
    </row>
    <row r="2873" spans="14:18" x14ac:dyDescent="0.25">
      <c r="N2873"/>
      <c r="O2873"/>
      <c r="P2873"/>
      <c r="Q2873"/>
      <c r="R2873"/>
    </row>
    <row r="2874" spans="14:18" x14ac:dyDescent="0.25">
      <c r="N2874"/>
      <c r="O2874"/>
      <c r="P2874"/>
      <c r="Q2874"/>
      <c r="R2874"/>
    </row>
    <row r="2875" spans="14:18" x14ac:dyDescent="0.25">
      <c r="N2875"/>
      <c r="O2875"/>
      <c r="P2875"/>
      <c r="Q2875"/>
      <c r="R2875"/>
    </row>
    <row r="2876" spans="14:18" x14ac:dyDescent="0.25">
      <c r="N2876"/>
      <c r="O2876"/>
      <c r="P2876"/>
      <c r="Q2876"/>
      <c r="R2876"/>
    </row>
    <row r="2877" spans="14:18" x14ac:dyDescent="0.25">
      <c r="N2877"/>
      <c r="O2877"/>
      <c r="P2877"/>
      <c r="Q2877"/>
      <c r="R2877"/>
    </row>
    <row r="2878" spans="14:18" x14ac:dyDescent="0.25">
      <c r="N2878"/>
      <c r="O2878"/>
      <c r="P2878"/>
      <c r="Q2878"/>
      <c r="R2878"/>
    </row>
    <row r="2879" spans="14:18" x14ac:dyDescent="0.25">
      <c r="N2879"/>
      <c r="O2879"/>
      <c r="P2879"/>
      <c r="Q2879"/>
      <c r="R2879"/>
    </row>
    <row r="2880" spans="14:18" x14ac:dyDescent="0.25">
      <c r="N2880"/>
      <c r="O2880"/>
      <c r="P2880"/>
      <c r="Q2880"/>
      <c r="R2880"/>
    </row>
    <row r="2881" spans="14:18" x14ac:dyDescent="0.25">
      <c r="N2881"/>
      <c r="O2881"/>
      <c r="P2881"/>
      <c r="Q2881"/>
      <c r="R2881"/>
    </row>
    <row r="2882" spans="14:18" x14ac:dyDescent="0.25">
      <c r="N2882"/>
      <c r="O2882"/>
      <c r="P2882"/>
      <c r="Q2882"/>
      <c r="R2882"/>
    </row>
    <row r="2883" spans="14:18" x14ac:dyDescent="0.25">
      <c r="N2883"/>
      <c r="O2883"/>
      <c r="P2883"/>
      <c r="Q2883"/>
      <c r="R2883"/>
    </row>
    <row r="2884" spans="14:18" x14ac:dyDescent="0.25">
      <c r="N2884"/>
      <c r="O2884"/>
      <c r="P2884"/>
      <c r="Q2884"/>
      <c r="R2884"/>
    </row>
    <row r="2885" spans="14:18" x14ac:dyDescent="0.25">
      <c r="N2885"/>
      <c r="O2885"/>
      <c r="P2885"/>
      <c r="Q2885"/>
      <c r="R2885"/>
    </row>
    <row r="2886" spans="14:18" x14ac:dyDescent="0.25">
      <c r="N2886"/>
      <c r="O2886"/>
      <c r="P2886"/>
      <c r="Q2886"/>
      <c r="R2886"/>
    </row>
    <row r="2887" spans="14:18" x14ac:dyDescent="0.25">
      <c r="N2887"/>
      <c r="O2887"/>
      <c r="P2887"/>
      <c r="Q2887"/>
      <c r="R2887"/>
    </row>
    <row r="2888" spans="14:18" x14ac:dyDescent="0.25">
      <c r="N2888"/>
      <c r="O2888"/>
      <c r="P2888"/>
      <c r="Q2888"/>
      <c r="R2888"/>
    </row>
    <row r="2889" spans="14:18" x14ac:dyDescent="0.25">
      <c r="N2889"/>
      <c r="O2889"/>
      <c r="P2889"/>
      <c r="Q2889"/>
      <c r="R2889"/>
    </row>
    <row r="2890" spans="14:18" x14ac:dyDescent="0.25">
      <c r="N2890"/>
      <c r="O2890"/>
      <c r="P2890"/>
      <c r="Q2890"/>
      <c r="R2890"/>
    </row>
    <row r="2891" spans="14:18" x14ac:dyDescent="0.25">
      <c r="N2891"/>
      <c r="O2891"/>
      <c r="P2891"/>
      <c r="Q2891"/>
      <c r="R2891"/>
    </row>
    <row r="2892" spans="14:18" x14ac:dyDescent="0.25">
      <c r="N2892"/>
      <c r="O2892"/>
      <c r="P2892"/>
      <c r="Q2892"/>
      <c r="R2892"/>
    </row>
    <row r="2893" spans="14:18" x14ac:dyDescent="0.25">
      <c r="N2893"/>
      <c r="O2893"/>
      <c r="P2893"/>
      <c r="Q2893"/>
      <c r="R2893"/>
    </row>
    <row r="2894" spans="14:18" x14ac:dyDescent="0.25">
      <c r="N2894"/>
      <c r="O2894"/>
      <c r="P2894"/>
      <c r="Q2894"/>
      <c r="R2894"/>
    </row>
    <row r="2895" spans="14:18" x14ac:dyDescent="0.25">
      <c r="N2895"/>
      <c r="O2895"/>
      <c r="P2895"/>
      <c r="Q2895"/>
      <c r="R2895"/>
    </row>
    <row r="2896" spans="14:18" x14ac:dyDescent="0.25">
      <c r="N2896"/>
      <c r="O2896"/>
      <c r="P2896"/>
      <c r="Q2896"/>
      <c r="R2896"/>
    </row>
    <row r="2897" spans="14:18" x14ac:dyDescent="0.25">
      <c r="N2897"/>
      <c r="O2897"/>
      <c r="P2897"/>
      <c r="Q2897"/>
      <c r="R2897"/>
    </row>
    <row r="2898" spans="14:18" x14ac:dyDescent="0.25">
      <c r="N2898"/>
      <c r="O2898"/>
      <c r="P2898"/>
      <c r="Q2898"/>
      <c r="R2898"/>
    </row>
    <row r="2899" spans="14:18" x14ac:dyDescent="0.25">
      <c r="N2899"/>
      <c r="O2899"/>
      <c r="P2899"/>
      <c r="Q2899"/>
      <c r="R2899"/>
    </row>
    <row r="2900" spans="14:18" x14ac:dyDescent="0.25">
      <c r="N2900"/>
      <c r="O2900"/>
      <c r="P2900"/>
      <c r="Q2900"/>
      <c r="R2900"/>
    </row>
    <row r="2901" spans="14:18" x14ac:dyDescent="0.25">
      <c r="N2901"/>
      <c r="O2901"/>
      <c r="P2901"/>
      <c r="Q2901"/>
      <c r="R2901"/>
    </row>
    <row r="2902" spans="14:18" x14ac:dyDescent="0.25">
      <c r="N2902"/>
      <c r="O2902"/>
      <c r="P2902"/>
      <c r="Q2902"/>
      <c r="R2902"/>
    </row>
    <row r="2903" spans="14:18" x14ac:dyDescent="0.25">
      <c r="N2903"/>
      <c r="O2903"/>
      <c r="P2903"/>
      <c r="Q2903"/>
      <c r="R2903"/>
    </row>
    <row r="2904" spans="14:18" x14ac:dyDescent="0.25">
      <c r="N2904"/>
      <c r="O2904"/>
      <c r="P2904"/>
      <c r="Q2904"/>
      <c r="R2904"/>
    </row>
    <row r="2905" spans="14:18" x14ac:dyDescent="0.25">
      <c r="N2905"/>
      <c r="O2905"/>
      <c r="P2905"/>
      <c r="Q2905"/>
      <c r="R2905"/>
    </row>
    <row r="2906" spans="14:18" x14ac:dyDescent="0.25">
      <c r="N2906"/>
      <c r="O2906"/>
      <c r="P2906"/>
      <c r="Q2906"/>
      <c r="R2906"/>
    </row>
    <row r="2907" spans="14:18" x14ac:dyDescent="0.25">
      <c r="N2907"/>
      <c r="O2907"/>
      <c r="P2907"/>
      <c r="Q2907"/>
      <c r="R2907"/>
    </row>
    <row r="2908" spans="14:18" x14ac:dyDescent="0.25">
      <c r="N2908"/>
      <c r="O2908"/>
      <c r="P2908"/>
      <c r="Q2908"/>
      <c r="R2908"/>
    </row>
    <row r="2909" spans="14:18" x14ac:dyDescent="0.25">
      <c r="N2909"/>
      <c r="O2909"/>
      <c r="P2909"/>
      <c r="Q2909"/>
      <c r="R2909"/>
    </row>
    <row r="2910" spans="14:18" x14ac:dyDescent="0.25">
      <c r="N2910"/>
      <c r="O2910"/>
      <c r="P2910"/>
      <c r="Q2910"/>
      <c r="R2910"/>
    </row>
    <row r="2911" spans="14:18" x14ac:dyDescent="0.25">
      <c r="N2911"/>
      <c r="O2911"/>
      <c r="P2911"/>
      <c r="Q2911"/>
      <c r="R2911"/>
    </row>
    <row r="2912" spans="14:18" x14ac:dyDescent="0.25">
      <c r="N2912"/>
      <c r="O2912"/>
      <c r="P2912"/>
      <c r="Q2912"/>
      <c r="R2912"/>
    </row>
    <row r="2913" spans="14:18" x14ac:dyDescent="0.25">
      <c r="N2913"/>
      <c r="O2913"/>
      <c r="P2913"/>
      <c r="Q2913"/>
      <c r="R2913"/>
    </row>
    <row r="2914" spans="14:18" x14ac:dyDescent="0.25">
      <c r="N2914"/>
      <c r="O2914"/>
      <c r="P2914"/>
      <c r="Q2914"/>
      <c r="R2914"/>
    </row>
    <row r="2915" spans="14:18" x14ac:dyDescent="0.25">
      <c r="N2915"/>
      <c r="O2915"/>
      <c r="P2915"/>
      <c r="Q2915"/>
      <c r="R2915"/>
    </row>
    <row r="2916" spans="14:18" x14ac:dyDescent="0.25">
      <c r="N2916"/>
      <c r="O2916"/>
      <c r="P2916"/>
      <c r="Q2916"/>
      <c r="R2916"/>
    </row>
    <row r="2917" spans="14:18" x14ac:dyDescent="0.25">
      <c r="N2917"/>
      <c r="O2917"/>
      <c r="P2917"/>
      <c r="Q2917"/>
      <c r="R2917"/>
    </row>
    <row r="2918" spans="14:18" x14ac:dyDescent="0.25">
      <c r="N2918"/>
      <c r="O2918"/>
      <c r="P2918"/>
      <c r="Q2918"/>
      <c r="R2918"/>
    </row>
    <row r="2919" spans="14:18" x14ac:dyDescent="0.25">
      <c r="N2919"/>
      <c r="O2919"/>
      <c r="P2919"/>
      <c r="Q2919"/>
      <c r="R2919"/>
    </row>
    <row r="2920" spans="14:18" x14ac:dyDescent="0.25">
      <c r="N2920"/>
      <c r="O2920"/>
      <c r="P2920"/>
      <c r="Q2920"/>
      <c r="R2920"/>
    </row>
    <row r="2921" spans="14:18" x14ac:dyDescent="0.25">
      <c r="N2921"/>
      <c r="O2921"/>
      <c r="P2921"/>
      <c r="Q2921"/>
      <c r="R2921"/>
    </row>
    <row r="2922" spans="14:18" x14ac:dyDescent="0.25">
      <c r="N2922"/>
      <c r="O2922"/>
      <c r="P2922"/>
      <c r="Q2922"/>
      <c r="R2922"/>
    </row>
    <row r="2923" spans="14:18" x14ac:dyDescent="0.25">
      <c r="N2923"/>
      <c r="O2923"/>
      <c r="P2923"/>
      <c r="Q2923"/>
      <c r="R2923"/>
    </row>
    <row r="2924" spans="14:18" x14ac:dyDescent="0.25">
      <c r="N2924"/>
      <c r="O2924"/>
      <c r="P2924"/>
      <c r="Q2924"/>
      <c r="R2924"/>
    </row>
    <row r="2925" spans="14:18" x14ac:dyDescent="0.25">
      <c r="N2925"/>
      <c r="O2925"/>
      <c r="P2925"/>
      <c r="Q2925"/>
      <c r="R2925"/>
    </row>
    <row r="2926" spans="14:18" x14ac:dyDescent="0.25">
      <c r="N2926"/>
      <c r="O2926"/>
      <c r="P2926"/>
      <c r="Q2926"/>
      <c r="R2926"/>
    </row>
    <row r="2927" spans="14:18" x14ac:dyDescent="0.25">
      <c r="N2927"/>
      <c r="O2927"/>
      <c r="P2927"/>
      <c r="Q2927"/>
      <c r="R2927"/>
    </row>
    <row r="2928" spans="14:18" x14ac:dyDescent="0.25">
      <c r="N2928"/>
      <c r="O2928"/>
      <c r="P2928"/>
      <c r="Q2928"/>
      <c r="R2928"/>
    </row>
    <row r="2929" spans="14:18" x14ac:dyDescent="0.25">
      <c r="N2929"/>
      <c r="O2929"/>
      <c r="P2929"/>
      <c r="Q2929"/>
      <c r="R2929"/>
    </row>
    <row r="2930" spans="14:18" x14ac:dyDescent="0.25">
      <c r="N2930"/>
      <c r="O2930"/>
      <c r="P2930"/>
      <c r="Q2930"/>
      <c r="R2930"/>
    </row>
    <row r="2931" spans="14:18" x14ac:dyDescent="0.25">
      <c r="N2931"/>
      <c r="O2931"/>
      <c r="P2931"/>
      <c r="Q2931"/>
      <c r="R2931"/>
    </row>
    <row r="2932" spans="14:18" x14ac:dyDescent="0.25">
      <c r="N2932"/>
      <c r="O2932"/>
      <c r="P2932"/>
      <c r="Q2932"/>
      <c r="R2932"/>
    </row>
    <row r="2933" spans="14:18" x14ac:dyDescent="0.25">
      <c r="N2933"/>
      <c r="O2933"/>
      <c r="P2933"/>
      <c r="Q2933"/>
      <c r="R2933"/>
    </row>
    <row r="2934" spans="14:18" x14ac:dyDescent="0.25">
      <c r="N2934"/>
      <c r="O2934"/>
      <c r="P2934"/>
      <c r="Q2934"/>
      <c r="R2934"/>
    </row>
    <row r="2935" spans="14:18" x14ac:dyDescent="0.25">
      <c r="N2935"/>
      <c r="O2935"/>
      <c r="P2935"/>
      <c r="Q2935"/>
      <c r="R2935"/>
    </row>
    <row r="2936" spans="14:18" x14ac:dyDescent="0.25">
      <c r="N2936"/>
      <c r="O2936"/>
      <c r="P2936"/>
      <c r="Q2936"/>
      <c r="R2936"/>
    </row>
    <row r="2937" spans="14:18" x14ac:dyDescent="0.25">
      <c r="N2937"/>
      <c r="O2937"/>
      <c r="P2937"/>
      <c r="Q2937"/>
      <c r="R2937"/>
    </row>
    <row r="2938" spans="14:18" x14ac:dyDescent="0.25">
      <c r="N2938"/>
      <c r="O2938"/>
      <c r="P2938"/>
      <c r="Q2938"/>
      <c r="R2938"/>
    </row>
    <row r="2939" spans="14:18" x14ac:dyDescent="0.25">
      <c r="N2939"/>
      <c r="O2939"/>
      <c r="P2939"/>
      <c r="Q2939"/>
      <c r="R2939"/>
    </row>
    <row r="2940" spans="14:18" x14ac:dyDescent="0.25">
      <c r="N2940"/>
      <c r="O2940"/>
      <c r="P2940"/>
      <c r="Q2940"/>
      <c r="R2940"/>
    </row>
    <row r="2941" spans="14:18" x14ac:dyDescent="0.25">
      <c r="N2941"/>
      <c r="O2941"/>
      <c r="P2941"/>
      <c r="Q2941"/>
      <c r="R2941"/>
    </row>
    <row r="2942" spans="14:18" x14ac:dyDescent="0.25">
      <c r="N2942"/>
      <c r="O2942"/>
      <c r="P2942"/>
      <c r="Q2942"/>
      <c r="R2942"/>
    </row>
    <row r="2943" spans="14:18" x14ac:dyDescent="0.25">
      <c r="N2943"/>
      <c r="O2943"/>
      <c r="P2943"/>
      <c r="Q2943"/>
      <c r="R2943"/>
    </row>
    <row r="2944" spans="14:18" x14ac:dyDescent="0.25">
      <c r="N2944"/>
      <c r="O2944"/>
      <c r="P2944"/>
      <c r="Q2944"/>
      <c r="R2944"/>
    </row>
    <row r="2945" spans="14:18" x14ac:dyDescent="0.25">
      <c r="N2945"/>
      <c r="O2945"/>
      <c r="P2945"/>
      <c r="Q2945"/>
      <c r="R2945"/>
    </row>
    <row r="2946" spans="14:18" x14ac:dyDescent="0.25">
      <c r="N2946"/>
      <c r="O2946"/>
      <c r="P2946"/>
      <c r="Q2946"/>
      <c r="R2946"/>
    </row>
    <row r="2947" spans="14:18" x14ac:dyDescent="0.25">
      <c r="N2947"/>
      <c r="O2947"/>
      <c r="P2947"/>
      <c r="Q2947"/>
      <c r="R2947"/>
    </row>
    <row r="2948" spans="14:18" x14ac:dyDescent="0.25">
      <c r="N2948"/>
      <c r="O2948"/>
      <c r="P2948"/>
      <c r="Q2948"/>
      <c r="R2948"/>
    </row>
    <row r="2949" spans="14:18" x14ac:dyDescent="0.25">
      <c r="N2949"/>
      <c r="O2949"/>
      <c r="P2949"/>
      <c r="Q2949"/>
      <c r="R2949"/>
    </row>
    <row r="2950" spans="14:18" x14ac:dyDescent="0.25">
      <c r="N2950"/>
      <c r="O2950"/>
      <c r="P2950"/>
      <c r="Q2950"/>
      <c r="R2950"/>
    </row>
    <row r="2951" spans="14:18" x14ac:dyDescent="0.25">
      <c r="N2951"/>
      <c r="O2951"/>
      <c r="P2951"/>
      <c r="Q2951"/>
      <c r="R2951"/>
    </row>
    <row r="2952" spans="14:18" x14ac:dyDescent="0.25">
      <c r="N2952"/>
      <c r="O2952"/>
      <c r="P2952"/>
      <c r="Q2952"/>
      <c r="R2952"/>
    </row>
    <row r="2953" spans="14:18" x14ac:dyDescent="0.25">
      <c r="N2953"/>
      <c r="O2953"/>
      <c r="P2953"/>
      <c r="Q2953"/>
      <c r="R2953"/>
    </row>
    <row r="2954" spans="14:18" x14ac:dyDescent="0.25">
      <c r="N2954"/>
      <c r="O2954"/>
      <c r="P2954"/>
      <c r="Q2954"/>
      <c r="R2954"/>
    </row>
    <row r="2955" spans="14:18" x14ac:dyDescent="0.25">
      <c r="N2955"/>
      <c r="O2955"/>
      <c r="P2955"/>
      <c r="Q2955"/>
      <c r="R2955"/>
    </row>
    <row r="2956" spans="14:18" x14ac:dyDescent="0.25">
      <c r="N2956"/>
      <c r="O2956"/>
      <c r="P2956"/>
      <c r="Q2956"/>
      <c r="R2956"/>
    </row>
    <row r="2957" spans="14:18" x14ac:dyDescent="0.25">
      <c r="N2957"/>
      <c r="O2957"/>
      <c r="P2957"/>
      <c r="Q2957"/>
      <c r="R2957"/>
    </row>
    <row r="2958" spans="14:18" x14ac:dyDescent="0.25">
      <c r="N2958"/>
      <c r="O2958"/>
      <c r="P2958"/>
      <c r="Q2958"/>
      <c r="R2958"/>
    </row>
    <row r="2959" spans="14:18" x14ac:dyDescent="0.25">
      <c r="N2959"/>
      <c r="O2959"/>
      <c r="P2959"/>
      <c r="Q2959"/>
      <c r="R2959"/>
    </row>
    <row r="2960" spans="14:18" x14ac:dyDescent="0.25">
      <c r="N2960"/>
      <c r="O2960"/>
      <c r="P2960"/>
      <c r="Q2960"/>
      <c r="R2960"/>
    </row>
    <row r="2961" spans="14:18" x14ac:dyDescent="0.25">
      <c r="N2961"/>
      <c r="O2961"/>
      <c r="P2961"/>
      <c r="Q2961"/>
      <c r="R2961"/>
    </row>
    <row r="2962" spans="14:18" x14ac:dyDescent="0.25">
      <c r="N2962"/>
      <c r="O2962"/>
      <c r="P2962"/>
      <c r="Q2962"/>
      <c r="R2962"/>
    </row>
    <row r="2963" spans="14:18" x14ac:dyDescent="0.25">
      <c r="N2963"/>
      <c r="O2963"/>
      <c r="P2963"/>
      <c r="Q2963"/>
      <c r="R2963"/>
    </row>
    <row r="2964" spans="14:18" x14ac:dyDescent="0.25">
      <c r="N2964"/>
      <c r="O2964"/>
      <c r="P2964"/>
      <c r="Q2964"/>
      <c r="R2964"/>
    </row>
    <row r="2965" spans="14:18" x14ac:dyDescent="0.25">
      <c r="N2965"/>
      <c r="O2965"/>
      <c r="P2965"/>
      <c r="Q2965"/>
      <c r="R2965"/>
    </row>
    <row r="2966" spans="14:18" x14ac:dyDescent="0.25">
      <c r="N2966"/>
      <c r="O2966"/>
      <c r="P2966"/>
      <c r="Q2966"/>
      <c r="R2966"/>
    </row>
    <row r="2967" spans="14:18" x14ac:dyDescent="0.25">
      <c r="N2967"/>
      <c r="O2967"/>
      <c r="P2967"/>
      <c r="Q2967"/>
      <c r="R2967"/>
    </row>
    <row r="2968" spans="14:18" x14ac:dyDescent="0.25">
      <c r="N2968"/>
      <c r="O2968"/>
      <c r="P2968"/>
      <c r="Q2968"/>
      <c r="R2968"/>
    </row>
    <row r="2969" spans="14:18" x14ac:dyDescent="0.25">
      <c r="N2969"/>
      <c r="O2969"/>
      <c r="P2969"/>
      <c r="Q2969"/>
      <c r="R2969"/>
    </row>
    <row r="2970" spans="14:18" x14ac:dyDescent="0.25">
      <c r="N2970"/>
      <c r="O2970"/>
      <c r="P2970"/>
      <c r="Q2970"/>
      <c r="R2970"/>
    </row>
    <row r="2971" spans="14:18" x14ac:dyDescent="0.25">
      <c r="N2971"/>
      <c r="O2971"/>
      <c r="P2971"/>
      <c r="Q2971"/>
      <c r="R2971"/>
    </row>
    <row r="2972" spans="14:18" x14ac:dyDescent="0.25">
      <c r="N2972"/>
      <c r="O2972"/>
      <c r="P2972"/>
      <c r="Q2972"/>
      <c r="R2972"/>
    </row>
    <row r="2973" spans="14:18" x14ac:dyDescent="0.25">
      <c r="N2973"/>
      <c r="O2973"/>
      <c r="P2973"/>
      <c r="Q2973"/>
      <c r="R2973"/>
    </row>
    <row r="2974" spans="14:18" x14ac:dyDescent="0.25">
      <c r="N2974"/>
      <c r="O2974"/>
      <c r="P2974"/>
      <c r="Q2974"/>
      <c r="R2974"/>
    </row>
    <row r="2975" spans="14:18" x14ac:dyDescent="0.25">
      <c r="N2975"/>
      <c r="O2975"/>
      <c r="P2975"/>
      <c r="Q2975"/>
      <c r="R2975"/>
    </row>
    <row r="2976" spans="14:18" x14ac:dyDescent="0.25">
      <c r="N2976"/>
      <c r="O2976"/>
      <c r="P2976"/>
      <c r="Q2976"/>
      <c r="R2976"/>
    </row>
    <row r="2977" spans="14:18" x14ac:dyDescent="0.25">
      <c r="N2977"/>
      <c r="O2977"/>
      <c r="P2977"/>
      <c r="Q2977"/>
      <c r="R2977"/>
    </row>
    <row r="2978" spans="14:18" x14ac:dyDescent="0.25">
      <c r="N2978"/>
      <c r="O2978"/>
      <c r="P2978"/>
      <c r="Q2978"/>
      <c r="R2978"/>
    </row>
    <row r="2979" spans="14:18" x14ac:dyDescent="0.25">
      <c r="N2979"/>
      <c r="O2979"/>
      <c r="P2979"/>
      <c r="Q2979"/>
      <c r="R2979"/>
    </row>
    <row r="2980" spans="14:18" x14ac:dyDescent="0.25">
      <c r="N2980"/>
      <c r="O2980"/>
      <c r="P2980"/>
      <c r="Q2980"/>
      <c r="R2980"/>
    </row>
    <row r="2981" spans="14:18" x14ac:dyDescent="0.25">
      <c r="N2981"/>
      <c r="O2981"/>
      <c r="P2981"/>
      <c r="Q2981"/>
      <c r="R2981"/>
    </row>
    <row r="2982" spans="14:18" x14ac:dyDescent="0.25">
      <c r="N2982"/>
      <c r="O2982"/>
      <c r="P2982"/>
      <c r="Q2982"/>
      <c r="R2982"/>
    </row>
    <row r="2983" spans="14:18" x14ac:dyDescent="0.25">
      <c r="N2983"/>
      <c r="O2983"/>
      <c r="P2983"/>
      <c r="Q2983"/>
      <c r="R2983"/>
    </row>
    <row r="2984" spans="14:18" x14ac:dyDescent="0.25">
      <c r="N2984"/>
      <c r="O2984"/>
      <c r="P2984"/>
      <c r="Q2984"/>
      <c r="R2984"/>
    </row>
    <row r="2985" spans="14:18" x14ac:dyDescent="0.25">
      <c r="N2985"/>
      <c r="O2985"/>
      <c r="P2985"/>
      <c r="Q2985"/>
      <c r="R2985"/>
    </row>
    <row r="2986" spans="14:18" x14ac:dyDescent="0.25">
      <c r="N2986"/>
      <c r="O2986"/>
      <c r="P2986"/>
      <c r="Q2986"/>
      <c r="R2986"/>
    </row>
    <row r="2987" spans="14:18" x14ac:dyDescent="0.25">
      <c r="N2987"/>
      <c r="O2987"/>
      <c r="P2987"/>
      <c r="Q2987"/>
      <c r="R2987"/>
    </row>
    <row r="2988" spans="14:18" x14ac:dyDescent="0.25">
      <c r="N2988"/>
      <c r="O2988"/>
      <c r="P2988"/>
      <c r="Q2988"/>
      <c r="R2988"/>
    </row>
    <row r="2989" spans="14:18" x14ac:dyDescent="0.25">
      <c r="N2989"/>
      <c r="O2989"/>
      <c r="P2989"/>
      <c r="Q2989"/>
      <c r="R2989"/>
    </row>
    <row r="2990" spans="14:18" x14ac:dyDescent="0.25">
      <c r="N2990"/>
      <c r="O2990"/>
      <c r="P2990"/>
      <c r="Q2990"/>
      <c r="R2990"/>
    </row>
    <row r="2991" spans="14:18" x14ac:dyDescent="0.25">
      <c r="N2991"/>
      <c r="O2991"/>
      <c r="P2991"/>
      <c r="Q2991"/>
      <c r="R2991"/>
    </row>
    <row r="2992" spans="14:18" x14ac:dyDescent="0.25">
      <c r="N2992"/>
      <c r="O2992"/>
      <c r="P2992"/>
      <c r="Q2992"/>
      <c r="R2992"/>
    </row>
    <row r="2993" spans="14:18" x14ac:dyDescent="0.25">
      <c r="N2993"/>
      <c r="O2993"/>
      <c r="P2993"/>
      <c r="Q2993"/>
      <c r="R2993"/>
    </row>
    <row r="2994" spans="14:18" x14ac:dyDescent="0.25">
      <c r="N2994"/>
      <c r="O2994"/>
      <c r="P2994"/>
      <c r="Q2994"/>
      <c r="R2994"/>
    </row>
    <row r="2995" spans="14:18" x14ac:dyDescent="0.25">
      <c r="N2995"/>
      <c r="O2995"/>
      <c r="P2995"/>
      <c r="Q2995"/>
      <c r="R2995"/>
    </row>
    <row r="2996" spans="14:18" x14ac:dyDescent="0.25">
      <c r="N2996"/>
      <c r="O2996"/>
      <c r="P2996"/>
      <c r="Q2996"/>
      <c r="R2996"/>
    </row>
    <row r="2997" spans="14:18" x14ac:dyDescent="0.25">
      <c r="N2997"/>
      <c r="O2997"/>
      <c r="P2997"/>
      <c r="Q2997"/>
      <c r="R2997"/>
    </row>
    <row r="2998" spans="14:18" x14ac:dyDescent="0.25">
      <c r="N2998"/>
      <c r="O2998"/>
      <c r="P2998"/>
      <c r="Q2998"/>
      <c r="R2998"/>
    </row>
    <row r="2999" spans="14:18" x14ac:dyDescent="0.25">
      <c r="N2999"/>
      <c r="O2999"/>
      <c r="P2999"/>
      <c r="Q2999"/>
      <c r="R2999"/>
    </row>
    <row r="3000" spans="14:18" x14ac:dyDescent="0.25">
      <c r="N3000"/>
      <c r="O3000"/>
      <c r="P3000"/>
      <c r="Q3000"/>
      <c r="R3000"/>
    </row>
    <row r="3001" spans="14:18" x14ac:dyDescent="0.25">
      <c r="N3001"/>
      <c r="O3001"/>
      <c r="P3001"/>
      <c r="Q3001"/>
      <c r="R3001"/>
    </row>
    <row r="3002" spans="14:18" x14ac:dyDescent="0.25">
      <c r="N3002"/>
      <c r="O3002"/>
      <c r="P3002"/>
      <c r="Q3002"/>
      <c r="R3002"/>
    </row>
    <row r="3003" spans="14:18" x14ac:dyDescent="0.25">
      <c r="N3003"/>
      <c r="O3003"/>
      <c r="P3003"/>
      <c r="Q3003"/>
      <c r="R3003"/>
    </row>
    <row r="3004" spans="14:18" x14ac:dyDescent="0.25">
      <c r="N3004"/>
      <c r="O3004"/>
      <c r="P3004"/>
      <c r="Q3004"/>
      <c r="R3004"/>
    </row>
    <row r="3005" spans="14:18" x14ac:dyDescent="0.25">
      <c r="N3005"/>
      <c r="O3005"/>
      <c r="P3005"/>
      <c r="Q3005"/>
      <c r="R3005"/>
    </row>
    <row r="3006" spans="14:18" x14ac:dyDescent="0.25">
      <c r="N3006"/>
      <c r="O3006"/>
      <c r="P3006"/>
      <c r="Q3006"/>
      <c r="R3006"/>
    </row>
    <row r="3007" spans="14:18" x14ac:dyDescent="0.25">
      <c r="N3007"/>
      <c r="O3007"/>
      <c r="P3007"/>
      <c r="Q3007"/>
      <c r="R3007"/>
    </row>
    <row r="3008" spans="14:18" x14ac:dyDescent="0.25">
      <c r="N3008"/>
      <c r="O3008"/>
      <c r="P3008"/>
      <c r="Q3008"/>
      <c r="R3008"/>
    </row>
    <row r="3009" spans="14:18" x14ac:dyDescent="0.25">
      <c r="N3009"/>
      <c r="O3009"/>
      <c r="P3009"/>
      <c r="Q3009"/>
      <c r="R3009"/>
    </row>
    <row r="3010" spans="14:18" x14ac:dyDescent="0.25">
      <c r="N3010"/>
      <c r="O3010"/>
      <c r="P3010"/>
      <c r="Q3010"/>
      <c r="R3010"/>
    </row>
    <row r="3011" spans="14:18" x14ac:dyDescent="0.25">
      <c r="N3011"/>
      <c r="O3011"/>
      <c r="P3011"/>
      <c r="Q3011"/>
      <c r="R3011"/>
    </row>
    <row r="3012" spans="14:18" x14ac:dyDescent="0.25">
      <c r="N3012"/>
      <c r="O3012"/>
      <c r="P3012"/>
      <c r="Q3012"/>
      <c r="R3012"/>
    </row>
    <row r="3013" spans="14:18" x14ac:dyDescent="0.25">
      <c r="N3013"/>
      <c r="O3013"/>
      <c r="P3013"/>
      <c r="Q3013"/>
      <c r="R3013"/>
    </row>
    <row r="3014" spans="14:18" x14ac:dyDescent="0.25">
      <c r="N3014"/>
      <c r="O3014"/>
      <c r="P3014"/>
      <c r="Q3014"/>
      <c r="R3014"/>
    </row>
    <row r="3015" spans="14:18" x14ac:dyDescent="0.25">
      <c r="N3015"/>
      <c r="O3015"/>
      <c r="P3015"/>
      <c r="Q3015"/>
      <c r="R3015"/>
    </row>
    <row r="3016" spans="14:18" x14ac:dyDescent="0.25">
      <c r="N3016"/>
      <c r="O3016"/>
      <c r="P3016"/>
      <c r="Q3016"/>
      <c r="R3016"/>
    </row>
    <row r="3017" spans="14:18" x14ac:dyDescent="0.25">
      <c r="N3017"/>
      <c r="O3017"/>
      <c r="P3017"/>
      <c r="Q3017"/>
      <c r="R3017"/>
    </row>
    <row r="3018" spans="14:18" x14ac:dyDescent="0.25">
      <c r="N3018"/>
      <c r="O3018"/>
      <c r="P3018"/>
      <c r="Q3018"/>
      <c r="R3018"/>
    </row>
    <row r="3019" spans="14:18" x14ac:dyDescent="0.25">
      <c r="N3019"/>
      <c r="O3019"/>
      <c r="P3019"/>
      <c r="Q3019"/>
      <c r="R3019"/>
    </row>
    <row r="3020" spans="14:18" x14ac:dyDescent="0.25">
      <c r="N3020"/>
      <c r="O3020"/>
      <c r="P3020"/>
      <c r="Q3020"/>
      <c r="R3020"/>
    </row>
    <row r="3021" spans="14:18" x14ac:dyDescent="0.25">
      <c r="N3021"/>
      <c r="O3021"/>
      <c r="P3021"/>
      <c r="Q3021"/>
      <c r="R3021"/>
    </row>
    <row r="3022" spans="14:18" x14ac:dyDescent="0.25">
      <c r="N3022"/>
      <c r="O3022"/>
      <c r="P3022"/>
      <c r="Q3022"/>
      <c r="R3022"/>
    </row>
    <row r="3023" spans="14:18" x14ac:dyDescent="0.25">
      <c r="N3023"/>
      <c r="O3023"/>
      <c r="P3023"/>
      <c r="Q3023"/>
      <c r="R3023"/>
    </row>
    <row r="3024" spans="14:18" x14ac:dyDescent="0.25">
      <c r="N3024"/>
      <c r="O3024"/>
      <c r="P3024"/>
      <c r="Q3024"/>
      <c r="R3024"/>
    </row>
    <row r="3025" spans="14:18" x14ac:dyDescent="0.25">
      <c r="N3025"/>
      <c r="O3025"/>
      <c r="P3025"/>
      <c r="Q3025"/>
      <c r="R3025"/>
    </row>
    <row r="3026" spans="14:18" x14ac:dyDescent="0.25">
      <c r="N3026"/>
      <c r="O3026"/>
      <c r="P3026"/>
      <c r="Q3026"/>
      <c r="R3026"/>
    </row>
    <row r="3027" spans="14:18" x14ac:dyDescent="0.25">
      <c r="N3027"/>
      <c r="O3027"/>
      <c r="P3027"/>
      <c r="Q3027"/>
      <c r="R3027"/>
    </row>
    <row r="3028" spans="14:18" x14ac:dyDescent="0.25">
      <c r="N3028"/>
      <c r="O3028"/>
      <c r="P3028"/>
      <c r="Q3028"/>
      <c r="R3028"/>
    </row>
    <row r="3029" spans="14:18" x14ac:dyDescent="0.25">
      <c r="N3029"/>
      <c r="O3029"/>
      <c r="P3029"/>
      <c r="Q3029"/>
      <c r="R3029"/>
    </row>
    <row r="3030" spans="14:18" x14ac:dyDescent="0.25">
      <c r="N3030"/>
      <c r="O3030"/>
      <c r="P3030"/>
      <c r="Q3030"/>
      <c r="R3030"/>
    </row>
    <row r="3031" spans="14:18" x14ac:dyDescent="0.25">
      <c r="N3031"/>
      <c r="O3031"/>
      <c r="P3031"/>
      <c r="Q3031"/>
      <c r="R3031"/>
    </row>
    <row r="3032" spans="14:18" x14ac:dyDescent="0.25">
      <c r="N3032"/>
      <c r="O3032"/>
      <c r="P3032"/>
      <c r="Q3032"/>
      <c r="R3032"/>
    </row>
    <row r="3033" spans="14:18" x14ac:dyDescent="0.25">
      <c r="N3033"/>
      <c r="O3033"/>
      <c r="P3033"/>
      <c r="Q3033"/>
      <c r="R3033"/>
    </row>
    <row r="3034" spans="14:18" x14ac:dyDescent="0.25">
      <c r="N3034"/>
      <c r="O3034"/>
      <c r="P3034"/>
      <c r="Q3034"/>
      <c r="R3034"/>
    </row>
    <row r="3035" spans="14:18" x14ac:dyDescent="0.25">
      <c r="N3035"/>
      <c r="O3035"/>
      <c r="P3035"/>
      <c r="Q3035"/>
      <c r="R3035"/>
    </row>
    <row r="3036" spans="14:18" x14ac:dyDescent="0.25">
      <c r="N3036"/>
      <c r="O3036"/>
      <c r="P3036"/>
      <c r="Q3036"/>
      <c r="R3036"/>
    </row>
    <row r="3037" spans="14:18" x14ac:dyDescent="0.25">
      <c r="N3037"/>
      <c r="O3037"/>
      <c r="P3037"/>
      <c r="Q3037"/>
      <c r="R3037"/>
    </row>
    <row r="3038" spans="14:18" x14ac:dyDescent="0.25">
      <c r="N3038"/>
      <c r="O3038"/>
      <c r="P3038"/>
      <c r="Q3038"/>
      <c r="R3038"/>
    </row>
    <row r="3039" spans="14:18" x14ac:dyDescent="0.25">
      <c r="N3039"/>
      <c r="O3039"/>
      <c r="P3039"/>
      <c r="Q3039"/>
      <c r="R3039"/>
    </row>
    <row r="3040" spans="14:18" x14ac:dyDescent="0.25">
      <c r="N3040"/>
      <c r="O3040"/>
      <c r="P3040"/>
      <c r="Q3040"/>
      <c r="R3040"/>
    </row>
    <row r="3041" spans="14:18" x14ac:dyDescent="0.25">
      <c r="N3041"/>
      <c r="O3041"/>
      <c r="P3041"/>
      <c r="Q3041"/>
      <c r="R3041"/>
    </row>
    <row r="3042" spans="14:18" x14ac:dyDescent="0.25">
      <c r="N3042"/>
      <c r="O3042"/>
      <c r="P3042"/>
      <c r="Q3042"/>
      <c r="R3042"/>
    </row>
    <row r="3043" spans="14:18" x14ac:dyDescent="0.25">
      <c r="N3043"/>
      <c r="O3043"/>
      <c r="P3043"/>
      <c r="Q3043"/>
      <c r="R3043"/>
    </row>
    <row r="3044" spans="14:18" x14ac:dyDescent="0.25">
      <c r="N3044"/>
      <c r="O3044"/>
      <c r="P3044"/>
      <c r="Q3044"/>
      <c r="R3044"/>
    </row>
    <row r="3045" spans="14:18" x14ac:dyDescent="0.25">
      <c r="N3045"/>
      <c r="O3045"/>
      <c r="P3045"/>
      <c r="Q3045"/>
      <c r="R3045"/>
    </row>
    <row r="3046" spans="14:18" x14ac:dyDescent="0.25">
      <c r="N3046"/>
      <c r="O3046"/>
      <c r="P3046"/>
      <c r="Q3046"/>
      <c r="R3046"/>
    </row>
    <row r="3047" spans="14:18" x14ac:dyDescent="0.25">
      <c r="N3047"/>
      <c r="O3047"/>
      <c r="P3047"/>
      <c r="Q3047"/>
      <c r="R3047"/>
    </row>
    <row r="3048" spans="14:18" x14ac:dyDescent="0.25">
      <c r="N3048"/>
      <c r="O3048"/>
      <c r="P3048"/>
      <c r="Q3048"/>
      <c r="R3048"/>
    </row>
    <row r="3049" spans="14:18" x14ac:dyDescent="0.25">
      <c r="N3049"/>
      <c r="O3049"/>
      <c r="P3049"/>
      <c r="Q3049"/>
      <c r="R3049"/>
    </row>
    <row r="3050" spans="14:18" x14ac:dyDescent="0.25">
      <c r="N3050"/>
      <c r="O3050"/>
      <c r="P3050"/>
      <c r="Q3050"/>
      <c r="R3050"/>
    </row>
    <row r="3051" spans="14:18" x14ac:dyDescent="0.25">
      <c r="N3051"/>
      <c r="O3051"/>
      <c r="P3051"/>
      <c r="Q3051"/>
      <c r="R3051"/>
    </row>
    <row r="3052" spans="14:18" x14ac:dyDescent="0.25">
      <c r="N3052"/>
      <c r="O3052"/>
      <c r="P3052"/>
      <c r="Q3052"/>
      <c r="R3052"/>
    </row>
    <row r="3053" spans="14:18" x14ac:dyDescent="0.25">
      <c r="N3053"/>
      <c r="O3053"/>
      <c r="P3053"/>
      <c r="Q3053"/>
      <c r="R3053"/>
    </row>
    <row r="3054" spans="14:18" x14ac:dyDescent="0.25">
      <c r="N3054"/>
      <c r="O3054"/>
      <c r="P3054"/>
      <c r="Q3054"/>
      <c r="R3054"/>
    </row>
    <row r="3055" spans="14:18" x14ac:dyDescent="0.25">
      <c r="N3055"/>
      <c r="O3055"/>
      <c r="P3055"/>
      <c r="Q3055"/>
      <c r="R3055"/>
    </row>
    <row r="3056" spans="14:18" x14ac:dyDescent="0.25">
      <c r="N3056"/>
      <c r="O3056"/>
      <c r="P3056"/>
      <c r="Q3056"/>
      <c r="R3056"/>
    </row>
    <row r="3057" spans="14:18" x14ac:dyDescent="0.25">
      <c r="N3057"/>
      <c r="O3057"/>
      <c r="P3057"/>
      <c r="Q3057"/>
      <c r="R3057"/>
    </row>
    <row r="3058" spans="14:18" x14ac:dyDescent="0.25">
      <c r="N3058"/>
      <c r="O3058"/>
      <c r="P3058"/>
      <c r="Q3058"/>
      <c r="R3058"/>
    </row>
    <row r="3059" spans="14:18" x14ac:dyDescent="0.25">
      <c r="N3059"/>
      <c r="O3059"/>
      <c r="P3059"/>
      <c r="Q3059"/>
      <c r="R3059"/>
    </row>
    <row r="3060" spans="14:18" x14ac:dyDescent="0.25">
      <c r="N3060"/>
      <c r="O3060"/>
      <c r="P3060"/>
      <c r="Q3060"/>
      <c r="R3060"/>
    </row>
    <row r="3061" spans="14:18" x14ac:dyDescent="0.25">
      <c r="N3061"/>
      <c r="O3061"/>
      <c r="P3061"/>
      <c r="Q3061"/>
      <c r="R3061"/>
    </row>
    <row r="3062" spans="14:18" x14ac:dyDescent="0.25">
      <c r="N3062"/>
      <c r="O3062"/>
      <c r="P3062"/>
      <c r="Q3062"/>
      <c r="R3062"/>
    </row>
    <row r="3063" spans="14:18" x14ac:dyDescent="0.25">
      <c r="N3063"/>
      <c r="O3063"/>
      <c r="P3063"/>
      <c r="Q3063"/>
      <c r="R3063"/>
    </row>
    <row r="3064" spans="14:18" x14ac:dyDescent="0.25">
      <c r="N3064"/>
      <c r="O3064"/>
      <c r="P3064"/>
      <c r="Q3064"/>
      <c r="R3064"/>
    </row>
    <row r="3065" spans="14:18" x14ac:dyDescent="0.25">
      <c r="N3065"/>
      <c r="O3065"/>
      <c r="P3065"/>
      <c r="Q3065"/>
      <c r="R3065"/>
    </row>
    <row r="3066" spans="14:18" x14ac:dyDescent="0.25">
      <c r="N3066"/>
      <c r="O3066"/>
      <c r="P3066"/>
      <c r="Q3066"/>
      <c r="R3066"/>
    </row>
    <row r="3067" spans="14:18" x14ac:dyDescent="0.25">
      <c r="N3067"/>
      <c r="O3067"/>
      <c r="P3067"/>
      <c r="Q3067"/>
      <c r="R3067"/>
    </row>
    <row r="3068" spans="14:18" x14ac:dyDescent="0.25">
      <c r="N3068"/>
      <c r="O3068"/>
      <c r="P3068"/>
      <c r="Q3068"/>
      <c r="R3068"/>
    </row>
    <row r="3069" spans="14:18" x14ac:dyDescent="0.25">
      <c r="N3069"/>
      <c r="O3069"/>
      <c r="P3069"/>
      <c r="Q3069"/>
      <c r="R3069"/>
    </row>
    <row r="3070" spans="14:18" x14ac:dyDescent="0.25">
      <c r="N3070"/>
      <c r="O3070"/>
      <c r="P3070"/>
      <c r="Q3070"/>
      <c r="R3070"/>
    </row>
    <row r="3071" spans="14:18" x14ac:dyDescent="0.25">
      <c r="N3071"/>
      <c r="O3071"/>
      <c r="P3071"/>
      <c r="Q3071"/>
      <c r="R3071"/>
    </row>
    <row r="3072" spans="14:18" x14ac:dyDescent="0.25">
      <c r="N3072"/>
      <c r="O3072"/>
      <c r="P3072"/>
      <c r="Q3072"/>
      <c r="R3072"/>
    </row>
    <row r="3073" spans="14:18" x14ac:dyDescent="0.25">
      <c r="N3073"/>
      <c r="O3073"/>
      <c r="P3073"/>
      <c r="Q3073"/>
      <c r="R3073"/>
    </row>
    <row r="3074" spans="14:18" x14ac:dyDescent="0.25">
      <c r="N3074"/>
      <c r="O3074"/>
      <c r="P3074"/>
      <c r="Q3074"/>
      <c r="R3074"/>
    </row>
    <row r="3075" spans="14:18" x14ac:dyDescent="0.25">
      <c r="N3075"/>
      <c r="O3075"/>
      <c r="P3075"/>
      <c r="Q3075"/>
      <c r="R3075"/>
    </row>
    <row r="3076" spans="14:18" x14ac:dyDescent="0.25">
      <c r="N3076"/>
      <c r="O3076"/>
      <c r="P3076"/>
      <c r="Q3076"/>
      <c r="R3076"/>
    </row>
    <row r="3077" spans="14:18" x14ac:dyDescent="0.25">
      <c r="N3077"/>
      <c r="O3077"/>
      <c r="P3077"/>
      <c r="Q3077"/>
      <c r="R3077"/>
    </row>
    <row r="3078" spans="14:18" x14ac:dyDescent="0.25">
      <c r="N3078"/>
      <c r="O3078"/>
      <c r="P3078"/>
      <c r="Q3078"/>
      <c r="R3078"/>
    </row>
    <row r="3079" spans="14:18" x14ac:dyDescent="0.25">
      <c r="N3079"/>
      <c r="O3079"/>
      <c r="P3079"/>
      <c r="Q3079"/>
      <c r="R3079"/>
    </row>
    <row r="3080" spans="14:18" x14ac:dyDescent="0.25">
      <c r="N3080"/>
      <c r="O3080"/>
      <c r="P3080"/>
      <c r="Q3080"/>
      <c r="R3080"/>
    </row>
    <row r="3081" spans="14:18" x14ac:dyDescent="0.25">
      <c r="N3081"/>
      <c r="O3081"/>
      <c r="P3081"/>
      <c r="Q3081"/>
      <c r="R3081"/>
    </row>
    <row r="3082" spans="14:18" x14ac:dyDescent="0.25">
      <c r="N3082"/>
      <c r="O3082"/>
      <c r="P3082"/>
      <c r="Q3082"/>
      <c r="R3082"/>
    </row>
    <row r="3083" spans="14:18" x14ac:dyDescent="0.25">
      <c r="N3083"/>
      <c r="O3083"/>
      <c r="P3083"/>
      <c r="Q3083"/>
      <c r="R3083"/>
    </row>
    <row r="3084" spans="14:18" x14ac:dyDescent="0.25">
      <c r="N3084"/>
      <c r="O3084"/>
      <c r="P3084"/>
      <c r="Q3084"/>
      <c r="R3084"/>
    </row>
    <row r="3085" spans="14:18" x14ac:dyDescent="0.25">
      <c r="N3085"/>
      <c r="O3085"/>
      <c r="P3085"/>
      <c r="Q3085"/>
      <c r="R3085"/>
    </row>
    <row r="3086" spans="14:18" x14ac:dyDescent="0.25">
      <c r="N3086"/>
      <c r="O3086"/>
      <c r="P3086"/>
      <c r="Q3086"/>
      <c r="R3086"/>
    </row>
    <row r="3087" spans="14:18" x14ac:dyDescent="0.25">
      <c r="N3087"/>
      <c r="O3087"/>
      <c r="P3087"/>
      <c r="Q3087"/>
      <c r="R3087"/>
    </row>
    <row r="3088" spans="14:18" x14ac:dyDescent="0.25">
      <c r="N3088"/>
      <c r="O3088"/>
      <c r="P3088"/>
      <c r="Q3088"/>
      <c r="R3088"/>
    </row>
    <row r="3089" spans="14:18" x14ac:dyDescent="0.25">
      <c r="N3089"/>
      <c r="O3089"/>
      <c r="P3089"/>
      <c r="Q3089"/>
      <c r="R3089"/>
    </row>
    <row r="3090" spans="14:18" x14ac:dyDescent="0.25">
      <c r="N3090"/>
      <c r="O3090"/>
      <c r="P3090"/>
      <c r="Q3090"/>
      <c r="R3090"/>
    </row>
    <row r="3091" spans="14:18" x14ac:dyDescent="0.25">
      <c r="N3091"/>
      <c r="O3091"/>
      <c r="P3091"/>
      <c r="Q3091"/>
      <c r="R3091"/>
    </row>
    <row r="3092" spans="14:18" x14ac:dyDescent="0.25">
      <c r="N3092"/>
      <c r="O3092"/>
      <c r="P3092"/>
      <c r="Q3092"/>
      <c r="R3092"/>
    </row>
    <row r="3093" spans="14:18" x14ac:dyDescent="0.25">
      <c r="N3093"/>
      <c r="O3093"/>
      <c r="P3093"/>
      <c r="Q3093"/>
      <c r="R3093"/>
    </row>
    <row r="3094" spans="14:18" x14ac:dyDescent="0.25">
      <c r="N3094"/>
      <c r="O3094"/>
      <c r="P3094"/>
      <c r="Q3094"/>
      <c r="R3094"/>
    </row>
    <row r="3095" spans="14:18" x14ac:dyDescent="0.25">
      <c r="N3095"/>
      <c r="O3095"/>
      <c r="P3095"/>
      <c r="Q3095"/>
      <c r="R3095"/>
    </row>
    <row r="3096" spans="14:18" x14ac:dyDescent="0.25">
      <c r="N3096"/>
      <c r="O3096"/>
      <c r="P3096"/>
      <c r="Q3096"/>
      <c r="R3096"/>
    </row>
    <row r="3097" spans="14:18" x14ac:dyDescent="0.25">
      <c r="N3097"/>
      <c r="O3097"/>
      <c r="P3097"/>
      <c r="Q3097"/>
      <c r="R3097"/>
    </row>
    <row r="3098" spans="14:18" x14ac:dyDescent="0.25">
      <c r="N3098"/>
      <c r="O3098"/>
      <c r="P3098"/>
      <c r="Q3098"/>
      <c r="R3098"/>
    </row>
    <row r="3099" spans="14:18" x14ac:dyDescent="0.25">
      <c r="N3099"/>
      <c r="O3099"/>
      <c r="P3099"/>
      <c r="Q3099"/>
      <c r="R3099"/>
    </row>
    <row r="3100" spans="14:18" x14ac:dyDescent="0.25">
      <c r="N3100"/>
      <c r="O3100"/>
      <c r="P3100"/>
      <c r="Q3100"/>
      <c r="R3100"/>
    </row>
    <row r="3101" spans="14:18" x14ac:dyDescent="0.25">
      <c r="N3101"/>
      <c r="O3101"/>
      <c r="P3101"/>
      <c r="Q3101"/>
      <c r="R3101"/>
    </row>
    <row r="3102" spans="14:18" x14ac:dyDescent="0.25">
      <c r="N3102"/>
      <c r="O3102"/>
      <c r="P3102"/>
      <c r="Q3102"/>
      <c r="R3102"/>
    </row>
    <row r="3103" spans="14:18" x14ac:dyDescent="0.25">
      <c r="N3103"/>
      <c r="O3103"/>
      <c r="P3103"/>
      <c r="Q3103"/>
      <c r="R3103"/>
    </row>
    <row r="3104" spans="14:18" x14ac:dyDescent="0.25">
      <c r="N3104"/>
      <c r="O3104"/>
      <c r="P3104"/>
      <c r="Q3104"/>
      <c r="R3104"/>
    </row>
    <row r="3105" spans="14:18" x14ac:dyDescent="0.25">
      <c r="N3105"/>
      <c r="O3105"/>
      <c r="P3105"/>
      <c r="Q3105"/>
      <c r="R3105"/>
    </row>
    <row r="3106" spans="14:18" x14ac:dyDescent="0.25">
      <c r="N3106"/>
      <c r="O3106"/>
      <c r="P3106"/>
      <c r="Q3106"/>
      <c r="R3106"/>
    </row>
    <row r="3107" spans="14:18" x14ac:dyDescent="0.25">
      <c r="N3107"/>
      <c r="O3107"/>
      <c r="P3107"/>
      <c r="Q3107"/>
      <c r="R3107"/>
    </row>
    <row r="3108" spans="14:18" x14ac:dyDescent="0.25">
      <c r="N3108"/>
      <c r="O3108"/>
      <c r="P3108"/>
      <c r="Q3108"/>
      <c r="R3108"/>
    </row>
    <row r="3109" spans="14:18" x14ac:dyDescent="0.25">
      <c r="N3109"/>
      <c r="O3109"/>
      <c r="P3109"/>
      <c r="Q3109"/>
      <c r="R3109"/>
    </row>
    <row r="3110" spans="14:18" x14ac:dyDescent="0.25">
      <c r="N3110"/>
      <c r="O3110"/>
      <c r="P3110"/>
      <c r="Q3110"/>
      <c r="R3110"/>
    </row>
    <row r="3111" spans="14:18" x14ac:dyDescent="0.25">
      <c r="N3111"/>
      <c r="O3111"/>
      <c r="P3111"/>
      <c r="Q3111"/>
      <c r="R3111"/>
    </row>
    <row r="3112" spans="14:18" x14ac:dyDescent="0.25">
      <c r="N3112"/>
      <c r="O3112"/>
      <c r="P3112"/>
      <c r="Q3112"/>
      <c r="R3112"/>
    </row>
    <row r="3113" spans="14:18" x14ac:dyDescent="0.25">
      <c r="N3113"/>
      <c r="O3113"/>
      <c r="P3113"/>
      <c r="Q3113"/>
      <c r="R3113"/>
    </row>
    <row r="3114" spans="14:18" x14ac:dyDescent="0.25">
      <c r="N3114"/>
      <c r="O3114"/>
      <c r="P3114"/>
      <c r="Q3114"/>
      <c r="R3114"/>
    </row>
    <row r="3115" spans="14:18" x14ac:dyDescent="0.25">
      <c r="N3115"/>
      <c r="O3115"/>
      <c r="P3115"/>
      <c r="Q3115"/>
      <c r="R3115"/>
    </row>
    <row r="3116" spans="14:18" x14ac:dyDescent="0.25">
      <c r="N3116"/>
      <c r="O3116"/>
      <c r="P3116"/>
      <c r="Q3116"/>
      <c r="R3116"/>
    </row>
    <row r="3117" spans="14:18" x14ac:dyDescent="0.25">
      <c r="N3117"/>
      <c r="O3117"/>
      <c r="P3117"/>
      <c r="Q3117"/>
      <c r="R3117"/>
    </row>
    <row r="3118" spans="14:18" x14ac:dyDescent="0.25">
      <c r="N3118"/>
      <c r="O3118"/>
      <c r="P3118"/>
      <c r="Q3118"/>
      <c r="R3118"/>
    </row>
    <row r="3119" spans="14:18" x14ac:dyDescent="0.25">
      <c r="N3119"/>
      <c r="O3119"/>
      <c r="P3119"/>
      <c r="Q3119"/>
      <c r="R3119"/>
    </row>
    <row r="3120" spans="14:18" x14ac:dyDescent="0.25">
      <c r="N3120"/>
      <c r="O3120"/>
      <c r="P3120"/>
      <c r="Q3120"/>
      <c r="R3120"/>
    </row>
    <row r="3121" spans="14:18" x14ac:dyDescent="0.25">
      <c r="N3121"/>
      <c r="O3121"/>
      <c r="P3121"/>
      <c r="Q3121"/>
      <c r="R3121"/>
    </row>
    <row r="3122" spans="14:18" x14ac:dyDescent="0.25">
      <c r="N3122"/>
      <c r="O3122"/>
      <c r="P3122"/>
      <c r="Q3122"/>
      <c r="R3122"/>
    </row>
    <row r="3123" spans="14:18" x14ac:dyDescent="0.25">
      <c r="N3123"/>
      <c r="O3123"/>
      <c r="P3123"/>
      <c r="Q3123"/>
      <c r="R3123"/>
    </row>
    <row r="3124" spans="14:18" x14ac:dyDescent="0.25">
      <c r="N3124"/>
      <c r="O3124"/>
      <c r="P3124"/>
      <c r="Q3124"/>
      <c r="R3124"/>
    </row>
    <row r="3125" spans="14:18" x14ac:dyDescent="0.25">
      <c r="N3125"/>
      <c r="O3125"/>
      <c r="P3125"/>
      <c r="Q3125"/>
      <c r="R3125"/>
    </row>
    <row r="3126" spans="14:18" x14ac:dyDescent="0.25">
      <c r="N3126"/>
      <c r="O3126"/>
      <c r="P3126"/>
      <c r="Q3126"/>
      <c r="R3126"/>
    </row>
    <row r="3127" spans="14:18" x14ac:dyDescent="0.25">
      <c r="N3127"/>
      <c r="O3127"/>
      <c r="P3127"/>
      <c r="Q3127"/>
      <c r="R3127"/>
    </row>
    <row r="3128" spans="14:18" x14ac:dyDescent="0.25">
      <c r="N3128"/>
      <c r="O3128"/>
      <c r="P3128"/>
      <c r="Q3128"/>
      <c r="R3128"/>
    </row>
    <row r="3129" spans="14:18" x14ac:dyDescent="0.25">
      <c r="N3129"/>
      <c r="O3129"/>
      <c r="P3129"/>
      <c r="Q3129"/>
      <c r="R3129"/>
    </row>
    <row r="3130" spans="14:18" x14ac:dyDescent="0.25">
      <c r="N3130"/>
      <c r="O3130"/>
      <c r="P3130"/>
      <c r="Q3130"/>
      <c r="R3130"/>
    </row>
    <row r="3131" spans="14:18" x14ac:dyDescent="0.25">
      <c r="N3131"/>
      <c r="O3131"/>
      <c r="P3131"/>
      <c r="Q3131"/>
      <c r="R3131"/>
    </row>
    <row r="3132" spans="14:18" x14ac:dyDescent="0.25">
      <c r="N3132"/>
      <c r="O3132"/>
      <c r="P3132"/>
      <c r="Q3132"/>
      <c r="R3132"/>
    </row>
    <row r="3133" spans="14:18" x14ac:dyDescent="0.25">
      <c r="N3133"/>
      <c r="O3133"/>
      <c r="P3133"/>
      <c r="Q3133"/>
      <c r="R3133"/>
    </row>
    <row r="3134" spans="14:18" x14ac:dyDescent="0.25">
      <c r="N3134"/>
      <c r="O3134"/>
      <c r="P3134"/>
      <c r="Q3134"/>
      <c r="R3134"/>
    </row>
    <row r="3135" spans="14:18" x14ac:dyDescent="0.25">
      <c r="N3135"/>
      <c r="O3135"/>
      <c r="P3135"/>
      <c r="Q3135"/>
      <c r="R3135"/>
    </row>
    <row r="3136" spans="14:18" x14ac:dyDescent="0.25">
      <c r="N3136"/>
      <c r="O3136"/>
      <c r="P3136"/>
      <c r="Q3136"/>
      <c r="R3136"/>
    </row>
    <row r="3137" spans="14:18" x14ac:dyDescent="0.25">
      <c r="N3137"/>
      <c r="O3137"/>
      <c r="P3137"/>
      <c r="Q3137"/>
      <c r="R3137"/>
    </row>
    <row r="3138" spans="14:18" x14ac:dyDescent="0.25">
      <c r="N3138"/>
      <c r="O3138"/>
      <c r="P3138"/>
      <c r="Q3138"/>
      <c r="R3138"/>
    </row>
    <row r="3139" spans="14:18" x14ac:dyDescent="0.25">
      <c r="N3139"/>
      <c r="O3139"/>
      <c r="P3139"/>
      <c r="Q3139"/>
      <c r="R3139"/>
    </row>
    <row r="3140" spans="14:18" x14ac:dyDescent="0.25">
      <c r="N3140"/>
      <c r="O3140"/>
      <c r="P3140"/>
      <c r="Q3140"/>
      <c r="R3140"/>
    </row>
    <row r="3141" spans="14:18" x14ac:dyDescent="0.25">
      <c r="N3141"/>
      <c r="O3141"/>
      <c r="P3141"/>
      <c r="Q3141"/>
      <c r="R3141"/>
    </row>
    <row r="3142" spans="14:18" x14ac:dyDescent="0.25">
      <c r="N3142"/>
      <c r="O3142"/>
      <c r="P3142"/>
      <c r="Q3142"/>
      <c r="R3142"/>
    </row>
    <row r="3143" spans="14:18" x14ac:dyDescent="0.25">
      <c r="N3143"/>
      <c r="O3143"/>
      <c r="P3143"/>
      <c r="Q3143"/>
      <c r="R3143"/>
    </row>
    <row r="3144" spans="14:18" x14ac:dyDescent="0.25">
      <c r="N3144"/>
      <c r="O3144"/>
      <c r="P3144"/>
      <c r="Q3144"/>
      <c r="R3144"/>
    </row>
    <row r="3145" spans="14:18" x14ac:dyDescent="0.25">
      <c r="N3145"/>
      <c r="O3145"/>
      <c r="P3145"/>
      <c r="Q3145"/>
      <c r="R3145"/>
    </row>
    <row r="3146" spans="14:18" x14ac:dyDescent="0.25">
      <c r="N3146"/>
      <c r="O3146"/>
      <c r="P3146"/>
      <c r="Q3146"/>
      <c r="R3146"/>
    </row>
    <row r="3147" spans="14:18" x14ac:dyDescent="0.25">
      <c r="N3147"/>
      <c r="O3147"/>
      <c r="P3147"/>
      <c r="Q3147"/>
      <c r="R3147"/>
    </row>
    <row r="3148" spans="14:18" x14ac:dyDescent="0.25">
      <c r="N3148"/>
      <c r="O3148"/>
      <c r="P3148"/>
      <c r="Q3148"/>
      <c r="R3148"/>
    </row>
    <row r="3149" spans="14:18" x14ac:dyDescent="0.25">
      <c r="N3149"/>
      <c r="O3149"/>
      <c r="P3149"/>
      <c r="Q3149"/>
      <c r="R3149"/>
    </row>
    <row r="3150" spans="14:18" x14ac:dyDescent="0.25">
      <c r="N3150"/>
      <c r="O3150"/>
      <c r="P3150"/>
      <c r="Q3150"/>
      <c r="R3150"/>
    </row>
    <row r="3151" spans="14:18" x14ac:dyDescent="0.25">
      <c r="N3151"/>
      <c r="O3151"/>
      <c r="P3151"/>
      <c r="Q3151"/>
      <c r="R3151"/>
    </row>
    <row r="3152" spans="14:18" x14ac:dyDescent="0.25">
      <c r="N3152"/>
      <c r="O3152"/>
      <c r="P3152"/>
      <c r="Q3152"/>
      <c r="R3152"/>
    </row>
    <row r="3153" spans="14:18" x14ac:dyDescent="0.25">
      <c r="N3153"/>
      <c r="O3153"/>
      <c r="P3153"/>
      <c r="Q3153"/>
      <c r="R3153"/>
    </row>
    <row r="3154" spans="14:18" x14ac:dyDescent="0.25">
      <c r="N3154"/>
      <c r="O3154"/>
      <c r="P3154"/>
      <c r="Q3154"/>
      <c r="R3154"/>
    </row>
    <row r="3155" spans="14:18" x14ac:dyDescent="0.25">
      <c r="N3155"/>
      <c r="O3155"/>
      <c r="P3155"/>
      <c r="Q3155"/>
      <c r="R3155"/>
    </row>
    <row r="3156" spans="14:18" x14ac:dyDescent="0.25">
      <c r="N3156"/>
      <c r="O3156"/>
      <c r="P3156"/>
      <c r="Q3156"/>
      <c r="R3156"/>
    </row>
    <row r="3157" spans="14:18" x14ac:dyDescent="0.25">
      <c r="N3157"/>
      <c r="O3157"/>
      <c r="P3157"/>
      <c r="Q3157"/>
      <c r="R3157"/>
    </row>
    <row r="3158" spans="14:18" x14ac:dyDescent="0.25">
      <c r="N3158"/>
      <c r="O3158"/>
      <c r="P3158"/>
      <c r="Q3158"/>
      <c r="R3158"/>
    </row>
    <row r="3159" spans="14:18" x14ac:dyDescent="0.25">
      <c r="N3159"/>
      <c r="O3159"/>
      <c r="P3159"/>
      <c r="Q3159"/>
      <c r="R3159"/>
    </row>
    <row r="3160" spans="14:18" x14ac:dyDescent="0.25">
      <c r="N3160"/>
      <c r="O3160"/>
      <c r="P3160"/>
      <c r="Q3160"/>
      <c r="R3160"/>
    </row>
    <row r="3161" spans="14:18" x14ac:dyDescent="0.25">
      <c r="N3161"/>
      <c r="O3161"/>
      <c r="P3161"/>
      <c r="Q3161"/>
      <c r="R3161"/>
    </row>
    <row r="3162" spans="14:18" x14ac:dyDescent="0.25">
      <c r="N3162"/>
      <c r="O3162"/>
      <c r="P3162"/>
      <c r="Q3162"/>
      <c r="R3162"/>
    </row>
    <row r="3163" spans="14:18" x14ac:dyDescent="0.25">
      <c r="N3163"/>
      <c r="O3163"/>
      <c r="P3163"/>
      <c r="Q3163"/>
      <c r="R3163"/>
    </row>
    <row r="3164" spans="14:18" x14ac:dyDescent="0.25">
      <c r="N3164"/>
      <c r="O3164"/>
      <c r="P3164"/>
      <c r="Q3164"/>
      <c r="R3164"/>
    </row>
    <row r="3165" spans="14:18" x14ac:dyDescent="0.25">
      <c r="N3165"/>
      <c r="O3165"/>
      <c r="P3165"/>
      <c r="Q3165"/>
      <c r="R3165"/>
    </row>
    <row r="3166" spans="14:18" x14ac:dyDescent="0.25">
      <c r="N3166"/>
      <c r="O3166"/>
      <c r="P3166"/>
      <c r="Q3166"/>
      <c r="R3166"/>
    </row>
    <row r="3167" spans="14:18" x14ac:dyDescent="0.25">
      <c r="N3167"/>
      <c r="O3167"/>
      <c r="P3167"/>
      <c r="Q3167"/>
      <c r="R3167"/>
    </row>
    <row r="3168" spans="14:18" x14ac:dyDescent="0.25">
      <c r="N3168"/>
      <c r="O3168"/>
      <c r="P3168"/>
      <c r="Q3168"/>
      <c r="R3168"/>
    </row>
    <row r="3169" spans="14:18" x14ac:dyDescent="0.25">
      <c r="N3169"/>
      <c r="O3169"/>
      <c r="P3169"/>
      <c r="Q3169"/>
      <c r="R3169"/>
    </row>
    <row r="3170" spans="14:18" x14ac:dyDescent="0.25">
      <c r="N3170"/>
      <c r="O3170"/>
      <c r="P3170"/>
      <c r="Q3170"/>
      <c r="R3170"/>
    </row>
    <row r="3171" spans="14:18" x14ac:dyDescent="0.25">
      <c r="N3171"/>
      <c r="O3171"/>
      <c r="P3171"/>
      <c r="Q3171"/>
      <c r="R3171"/>
    </row>
    <row r="3172" spans="14:18" x14ac:dyDescent="0.25">
      <c r="N3172"/>
      <c r="O3172"/>
      <c r="P3172"/>
      <c r="Q3172"/>
      <c r="R3172"/>
    </row>
    <row r="3173" spans="14:18" x14ac:dyDescent="0.25">
      <c r="N3173"/>
      <c r="O3173"/>
      <c r="P3173"/>
      <c r="Q3173"/>
      <c r="R3173"/>
    </row>
    <row r="3174" spans="14:18" x14ac:dyDescent="0.25">
      <c r="N3174"/>
      <c r="O3174"/>
      <c r="P3174"/>
      <c r="Q3174"/>
      <c r="R3174"/>
    </row>
    <row r="3175" spans="14:18" x14ac:dyDescent="0.25">
      <c r="N3175"/>
      <c r="O3175"/>
      <c r="P3175"/>
      <c r="Q3175"/>
      <c r="R3175"/>
    </row>
    <row r="3176" spans="14:18" x14ac:dyDescent="0.25">
      <c r="N3176"/>
      <c r="O3176"/>
      <c r="P3176"/>
      <c r="Q3176"/>
      <c r="R3176"/>
    </row>
    <row r="3177" spans="14:18" x14ac:dyDescent="0.25">
      <c r="N3177"/>
      <c r="O3177"/>
      <c r="P3177"/>
      <c r="Q3177"/>
      <c r="R3177"/>
    </row>
    <row r="3178" spans="14:18" x14ac:dyDescent="0.25">
      <c r="N3178"/>
      <c r="O3178"/>
      <c r="P3178"/>
      <c r="Q3178"/>
      <c r="R3178"/>
    </row>
    <row r="3179" spans="14:18" x14ac:dyDescent="0.25">
      <c r="N3179"/>
      <c r="O3179"/>
      <c r="P3179"/>
      <c r="Q3179"/>
      <c r="R3179"/>
    </row>
    <row r="3180" spans="14:18" x14ac:dyDescent="0.25">
      <c r="N3180"/>
      <c r="O3180"/>
      <c r="P3180"/>
      <c r="Q3180"/>
      <c r="R3180"/>
    </row>
    <row r="3181" spans="14:18" x14ac:dyDescent="0.25">
      <c r="N3181"/>
      <c r="O3181"/>
      <c r="P3181"/>
      <c r="Q3181"/>
      <c r="R3181"/>
    </row>
    <row r="3182" spans="14:18" x14ac:dyDescent="0.25">
      <c r="N3182"/>
      <c r="O3182"/>
      <c r="P3182"/>
      <c r="Q3182"/>
      <c r="R3182"/>
    </row>
    <row r="3183" spans="14:18" x14ac:dyDescent="0.25">
      <c r="N3183"/>
      <c r="O3183"/>
      <c r="P3183"/>
      <c r="Q3183"/>
      <c r="R3183"/>
    </row>
    <row r="3184" spans="14:18" x14ac:dyDescent="0.25">
      <c r="N3184"/>
      <c r="O3184"/>
      <c r="P3184"/>
      <c r="Q3184"/>
      <c r="R3184"/>
    </row>
    <row r="3185" spans="14:18" x14ac:dyDescent="0.25">
      <c r="N3185"/>
      <c r="O3185"/>
      <c r="P3185"/>
      <c r="Q3185"/>
      <c r="R3185"/>
    </row>
    <row r="3186" spans="14:18" x14ac:dyDescent="0.25">
      <c r="N3186"/>
      <c r="O3186"/>
      <c r="P3186"/>
      <c r="Q3186"/>
      <c r="R3186"/>
    </row>
    <row r="3187" spans="14:18" x14ac:dyDescent="0.25">
      <c r="N3187"/>
      <c r="O3187"/>
      <c r="P3187"/>
      <c r="Q3187"/>
      <c r="R3187"/>
    </row>
    <row r="3188" spans="14:18" x14ac:dyDescent="0.25">
      <c r="N3188"/>
      <c r="O3188"/>
      <c r="P3188"/>
      <c r="Q3188"/>
      <c r="R3188"/>
    </row>
    <row r="3189" spans="14:18" x14ac:dyDescent="0.25">
      <c r="N3189"/>
      <c r="O3189"/>
      <c r="P3189"/>
      <c r="Q3189"/>
      <c r="R3189"/>
    </row>
    <row r="3190" spans="14:18" x14ac:dyDescent="0.25">
      <c r="N3190"/>
      <c r="O3190"/>
      <c r="P3190"/>
      <c r="Q3190"/>
      <c r="R3190"/>
    </row>
    <row r="3191" spans="14:18" x14ac:dyDescent="0.25">
      <c r="N3191"/>
      <c r="O3191"/>
      <c r="P3191"/>
      <c r="Q3191"/>
      <c r="R3191"/>
    </row>
    <row r="3192" spans="14:18" x14ac:dyDescent="0.25">
      <c r="N3192"/>
      <c r="O3192"/>
      <c r="P3192"/>
      <c r="Q3192"/>
      <c r="R3192"/>
    </row>
    <row r="3193" spans="14:18" x14ac:dyDescent="0.25">
      <c r="N3193"/>
      <c r="O3193"/>
      <c r="P3193"/>
      <c r="Q3193"/>
      <c r="R3193"/>
    </row>
    <row r="3194" spans="14:18" x14ac:dyDescent="0.25">
      <c r="N3194"/>
      <c r="O3194"/>
      <c r="P3194"/>
      <c r="Q3194"/>
      <c r="R3194"/>
    </row>
    <row r="3195" spans="14:18" x14ac:dyDescent="0.25">
      <c r="N3195"/>
      <c r="O3195"/>
      <c r="P3195"/>
      <c r="Q3195"/>
      <c r="R3195"/>
    </row>
    <row r="3196" spans="14:18" x14ac:dyDescent="0.25">
      <c r="N3196"/>
      <c r="O3196"/>
      <c r="P3196"/>
      <c r="Q3196"/>
      <c r="R3196"/>
    </row>
    <row r="3197" spans="14:18" x14ac:dyDescent="0.25">
      <c r="N3197"/>
      <c r="O3197"/>
      <c r="P3197"/>
      <c r="Q3197"/>
      <c r="R3197"/>
    </row>
    <row r="3198" spans="14:18" x14ac:dyDescent="0.25">
      <c r="N3198"/>
      <c r="O3198"/>
      <c r="P3198"/>
      <c r="Q3198"/>
      <c r="R3198"/>
    </row>
    <row r="3199" spans="14:18" x14ac:dyDescent="0.25">
      <c r="N3199"/>
      <c r="O3199"/>
      <c r="P3199"/>
      <c r="Q3199"/>
      <c r="R3199"/>
    </row>
    <row r="3200" spans="14:18" x14ac:dyDescent="0.25">
      <c r="N3200"/>
      <c r="O3200"/>
      <c r="P3200"/>
      <c r="Q3200"/>
      <c r="R3200"/>
    </row>
    <row r="3201" spans="14:18" x14ac:dyDescent="0.25">
      <c r="N3201"/>
      <c r="O3201"/>
      <c r="P3201"/>
      <c r="Q3201"/>
      <c r="R3201"/>
    </row>
    <row r="3202" spans="14:18" x14ac:dyDescent="0.25">
      <c r="N3202"/>
      <c r="O3202"/>
      <c r="P3202"/>
      <c r="Q3202"/>
      <c r="R3202"/>
    </row>
    <row r="3203" spans="14:18" x14ac:dyDescent="0.25">
      <c r="N3203"/>
      <c r="O3203"/>
      <c r="P3203"/>
      <c r="Q3203"/>
      <c r="R3203"/>
    </row>
    <row r="3204" spans="14:18" x14ac:dyDescent="0.25">
      <c r="N3204"/>
      <c r="O3204"/>
      <c r="P3204"/>
      <c r="Q3204"/>
      <c r="R3204"/>
    </row>
    <row r="3205" spans="14:18" x14ac:dyDescent="0.25">
      <c r="N3205"/>
      <c r="O3205"/>
      <c r="P3205"/>
      <c r="Q3205"/>
      <c r="R3205"/>
    </row>
    <row r="3206" spans="14:18" x14ac:dyDescent="0.25">
      <c r="N3206"/>
      <c r="O3206"/>
      <c r="P3206"/>
      <c r="Q3206"/>
      <c r="R3206"/>
    </row>
    <row r="3207" spans="14:18" x14ac:dyDescent="0.25">
      <c r="N3207"/>
      <c r="O3207"/>
      <c r="P3207"/>
      <c r="Q3207"/>
      <c r="R3207"/>
    </row>
    <row r="3208" spans="14:18" x14ac:dyDescent="0.25">
      <c r="N3208"/>
      <c r="O3208"/>
      <c r="P3208"/>
      <c r="Q3208"/>
      <c r="R3208"/>
    </row>
    <row r="3209" spans="14:18" x14ac:dyDescent="0.25">
      <c r="N3209"/>
      <c r="O3209"/>
      <c r="P3209"/>
      <c r="Q3209"/>
      <c r="R3209"/>
    </row>
    <row r="3210" spans="14:18" x14ac:dyDescent="0.25">
      <c r="N3210"/>
      <c r="O3210"/>
      <c r="P3210"/>
      <c r="Q3210"/>
      <c r="R3210"/>
    </row>
    <row r="3211" spans="14:18" x14ac:dyDescent="0.25">
      <c r="N3211"/>
      <c r="O3211"/>
      <c r="P3211"/>
      <c r="Q3211"/>
      <c r="R3211"/>
    </row>
    <row r="3212" spans="14:18" x14ac:dyDescent="0.25">
      <c r="N3212"/>
      <c r="O3212"/>
      <c r="P3212"/>
      <c r="Q3212"/>
      <c r="R3212"/>
    </row>
    <row r="3213" spans="14:18" x14ac:dyDescent="0.25">
      <c r="N3213"/>
      <c r="O3213"/>
      <c r="P3213"/>
      <c r="Q3213"/>
      <c r="R3213"/>
    </row>
    <row r="3214" spans="14:18" x14ac:dyDescent="0.25">
      <c r="N3214"/>
      <c r="O3214"/>
      <c r="P3214"/>
      <c r="Q3214"/>
      <c r="R3214"/>
    </row>
    <row r="3215" spans="14:18" x14ac:dyDescent="0.25">
      <c r="N3215"/>
      <c r="O3215"/>
      <c r="P3215"/>
      <c r="Q3215"/>
      <c r="R3215"/>
    </row>
    <row r="3216" spans="14:18" x14ac:dyDescent="0.25">
      <c r="N3216"/>
      <c r="O3216"/>
      <c r="P3216"/>
      <c r="Q3216"/>
      <c r="R3216"/>
    </row>
    <row r="3217" spans="14:18" x14ac:dyDescent="0.25">
      <c r="N3217"/>
      <c r="O3217"/>
      <c r="P3217"/>
      <c r="Q3217"/>
      <c r="R3217"/>
    </row>
    <row r="3218" spans="14:18" x14ac:dyDescent="0.25">
      <c r="N3218"/>
      <c r="O3218"/>
      <c r="P3218"/>
      <c r="Q3218"/>
      <c r="R3218"/>
    </row>
    <row r="3219" spans="14:18" x14ac:dyDescent="0.25">
      <c r="N3219"/>
      <c r="O3219"/>
      <c r="P3219"/>
      <c r="Q3219"/>
      <c r="R3219"/>
    </row>
    <row r="3220" spans="14:18" x14ac:dyDescent="0.25">
      <c r="N3220"/>
      <c r="O3220"/>
      <c r="P3220"/>
      <c r="Q3220"/>
      <c r="R3220"/>
    </row>
    <row r="3221" spans="14:18" x14ac:dyDescent="0.25">
      <c r="N3221"/>
      <c r="O3221"/>
      <c r="P3221"/>
      <c r="Q3221"/>
      <c r="R3221"/>
    </row>
    <row r="3222" spans="14:18" x14ac:dyDescent="0.25">
      <c r="N3222"/>
      <c r="O3222"/>
      <c r="P3222"/>
      <c r="Q3222"/>
      <c r="R3222"/>
    </row>
    <row r="3223" spans="14:18" x14ac:dyDescent="0.25">
      <c r="N3223"/>
      <c r="O3223"/>
      <c r="P3223"/>
      <c r="Q3223"/>
      <c r="R3223"/>
    </row>
    <row r="3224" spans="14:18" x14ac:dyDescent="0.25">
      <c r="N3224"/>
      <c r="O3224"/>
      <c r="P3224"/>
      <c r="Q3224"/>
      <c r="R3224"/>
    </row>
    <row r="3225" spans="14:18" x14ac:dyDescent="0.25">
      <c r="N3225"/>
      <c r="O3225"/>
      <c r="P3225"/>
      <c r="Q3225"/>
      <c r="R3225"/>
    </row>
    <row r="3226" spans="14:18" x14ac:dyDescent="0.25">
      <c r="N3226"/>
      <c r="O3226"/>
      <c r="P3226"/>
      <c r="Q3226"/>
      <c r="R3226"/>
    </row>
    <row r="3227" spans="14:18" x14ac:dyDescent="0.25">
      <c r="N3227"/>
      <c r="O3227"/>
      <c r="P3227"/>
      <c r="Q3227"/>
      <c r="R3227"/>
    </row>
    <row r="3228" spans="14:18" x14ac:dyDescent="0.25">
      <c r="N3228"/>
      <c r="O3228"/>
      <c r="P3228"/>
      <c r="Q3228"/>
      <c r="R3228"/>
    </row>
    <row r="3229" spans="14:18" x14ac:dyDescent="0.25">
      <c r="N3229"/>
      <c r="O3229"/>
      <c r="P3229"/>
      <c r="Q3229"/>
      <c r="R3229"/>
    </row>
    <row r="3230" spans="14:18" x14ac:dyDescent="0.25">
      <c r="N3230"/>
      <c r="O3230"/>
      <c r="P3230"/>
      <c r="Q3230"/>
      <c r="R3230"/>
    </row>
    <row r="3231" spans="14:18" x14ac:dyDescent="0.25">
      <c r="N3231"/>
      <c r="O3231"/>
      <c r="P3231"/>
      <c r="Q3231"/>
      <c r="R3231"/>
    </row>
    <row r="3232" spans="14:18" x14ac:dyDescent="0.25">
      <c r="N3232"/>
      <c r="O3232"/>
      <c r="P3232"/>
      <c r="Q3232"/>
      <c r="R3232"/>
    </row>
    <row r="3233" spans="14:18" x14ac:dyDescent="0.25">
      <c r="N3233"/>
      <c r="O3233"/>
      <c r="P3233"/>
      <c r="Q3233"/>
      <c r="R3233"/>
    </row>
    <row r="3234" spans="14:18" x14ac:dyDescent="0.25">
      <c r="N3234"/>
      <c r="O3234"/>
      <c r="P3234"/>
      <c r="Q3234"/>
      <c r="R3234"/>
    </row>
    <row r="3235" spans="14:18" x14ac:dyDescent="0.25">
      <c r="N3235"/>
      <c r="O3235"/>
      <c r="P3235"/>
      <c r="Q3235"/>
      <c r="R3235"/>
    </row>
    <row r="3236" spans="14:18" x14ac:dyDescent="0.25">
      <c r="N3236"/>
      <c r="O3236"/>
      <c r="P3236"/>
      <c r="Q3236"/>
      <c r="R3236"/>
    </row>
    <row r="3237" spans="14:18" x14ac:dyDescent="0.25">
      <c r="N3237"/>
      <c r="O3237"/>
      <c r="P3237"/>
      <c r="Q3237"/>
      <c r="R3237"/>
    </row>
    <row r="3238" spans="14:18" x14ac:dyDescent="0.25">
      <c r="N3238"/>
      <c r="O3238"/>
      <c r="P3238"/>
      <c r="Q3238"/>
      <c r="R3238"/>
    </row>
    <row r="3239" spans="14:18" x14ac:dyDescent="0.25">
      <c r="N3239"/>
      <c r="O3239"/>
      <c r="P3239"/>
      <c r="Q3239"/>
      <c r="R3239"/>
    </row>
    <row r="3240" spans="14:18" x14ac:dyDescent="0.25">
      <c r="N3240"/>
      <c r="O3240"/>
      <c r="P3240"/>
      <c r="Q3240"/>
      <c r="R3240"/>
    </row>
    <row r="3241" spans="14:18" x14ac:dyDescent="0.25">
      <c r="N3241"/>
      <c r="O3241"/>
      <c r="P3241"/>
      <c r="Q3241"/>
      <c r="R3241"/>
    </row>
    <row r="3242" spans="14:18" x14ac:dyDescent="0.25">
      <c r="N3242"/>
      <c r="O3242"/>
      <c r="P3242"/>
      <c r="Q3242"/>
      <c r="R3242"/>
    </row>
    <row r="3243" spans="14:18" x14ac:dyDescent="0.25">
      <c r="N3243"/>
      <c r="O3243"/>
      <c r="P3243"/>
      <c r="Q3243"/>
      <c r="R3243"/>
    </row>
    <row r="3244" spans="14:18" x14ac:dyDescent="0.25">
      <c r="N3244"/>
      <c r="O3244"/>
      <c r="P3244"/>
      <c r="Q3244"/>
      <c r="R3244"/>
    </row>
    <row r="3245" spans="14:18" x14ac:dyDescent="0.25">
      <c r="N3245"/>
      <c r="O3245"/>
      <c r="P3245"/>
      <c r="Q3245"/>
      <c r="R3245"/>
    </row>
    <row r="3246" spans="14:18" x14ac:dyDescent="0.25">
      <c r="N3246"/>
      <c r="O3246"/>
      <c r="P3246"/>
      <c r="Q3246"/>
      <c r="R3246"/>
    </row>
    <row r="3247" spans="14:18" x14ac:dyDescent="0.25">
      <c r="N3247"/>
      <c r="O3247"/>
      <c r="P3247"/>
      <c r="Q3247"/>
      <c r="R3247"/>
    </row>
    <row r="3248" spans="14:18" x14ac:dyDescent="0.25">
      <c r="N3248"/>
      <c r="O3248"/>
      <c r="P3248"/>
      <c r="Q3248"/>
      <c r="R3248"/>
    </row>
    <row r="3249" spans="14:18" x14ac:dyDescent="0.25">
      <c r="N3249"/>
      <c r="O3249"/>
      <c r="P3249"/>
      <c r="Q3249"/>
      <c r="R3249"/>
    </row>
    <row r="3250" spans="14:18" x14ac:dyDescent="0.25">
      <c r="N3250"/>
      <c r="O3250"/>
      <c r="P3250"/>
      <c r="Q3250"/>
      <c r="R3250"/>
    </row>
    <row r="3251" spans="14:18" x14ac:dyDescent="0.25">
      <c r="N3251"/>
      <c r="O3251"/>
      <c r="P3251"/>
      <c r="Q3251"/>
      <c r="R3251"/>
    </row>
    <row r="3252" spans="14:18" x14ac:dyDescent="0.25">
      <c r="N3252"/>
      <c r="O3252"/>
      <c r="P3252"/>
      <c r="Q3252"/>
      <c r="R3252"/>
    </row>
    <row r="3253" spans="14:18" x14ac:dyDescent="0.25">
      <c r="N3253"/>
      <c r="O3253"/>
      <c r="P3253"/>
      <c r="Q3253"/>
      <c r="R3253"/>
    </row>
    <row r="3254" spans="14:18" x14ac:dyDescent="0.25">
      <c r="N3254"/>
      <c r="O3254"/>
      <c r="P3254"/>
      <c r="Q3254"/>
      <c r="R3254"/>
    </row>
    <row r="3255" spans="14:18" x14ac:dyDescent="0.25">
      <c r="N3255"/>
      <c r="O3255"/>
      <c r="P3255"/>
      <c r="Q3255"/>
      <c r="R3255"/>
    </row>
    <row r="3256" spans="14:18" x14ac:dyDescent="0.25">
      <c r="N3256"/>
      <c r="O3256"/>
      <c r="P3256"/>
      <c r="Q3256"/>
      <c r="R3256"/>
    </row>
    <row r="3257" spans="14:18" x14ac:dyDescent="0.25">
      <c r="N3257"/>
      <c r="O3257"/>
      <c r="P3257"/>
      <c r="Q3257"/>
      <c r="R3257"/>
    </row>
    <row r="3258" spans="14:18" x14ac:dyDescent="0.25">
      <c r="N3258"/>
      <c r="O3258"/>
      <c r="P3258"/>
      <c r="Q3258"/>
      <c r="R3258"/>
    </row>
    <row r="3259" spans="14:18" x14ac:dyDescent="0.25">
      <c r="N3259"/>
      <c r="O3259"/>
      <c r="P3259"/>
      <c r="Q3259"/>
      <c r="R3259"/>
    </row>
    <row r="3260" spans="14:18" x14ac:dyDescent="0.25">
      <c r="N3260"/>
      <c r="O3260"/>
      <c r="P3260"/>
      <c r="Q3260"/>
      <c r="R3260"/>
    </row>
    <row r="3261" spans="14:18" x14ac:dyDescent="0.25">
      <c r="N3261"/>
      <c r="O3261"/>
      <c r="P3261"/>
      <c r="Q3261"/>
      <c r="R3261"/>
    </row>
    <row r="3262" spans="14:18" x14ac:dyDescent="0.25">
      <c r="N3262"/>
      <c r="O3262"/>
      <c r="P3262"/>
      <c r="Q3262"/>
      <c r="R3262"/>
    </row>
    <row r="3263" spans="14:18" x14ac:dyDescent="0.25">
      <c r="N3263"/>
      <c r="O3263"/>
      <c r="P3263"/>
      <c r="Q3263"/>
      <c r="R3263"/>
    </row>
    <row r="3264" spans="14:18" x14ac:dyDescent="0.25">
      <c r="N3264"/>
      <c r="O3264"/>
      <c r="P3264"/>
      <c r="Q3264"/>
      <c r="R3264"/>
    </row>
    <row r="3265" spans="14:18" x14ac:dyDescent="0.25">
      <c r="N3265"/>
      <c r="O3265"/>
      <c r="P3265"/>
      <c r="Q3265"/>
      <c r="R3265"/>
    </row>
    <row r="3266" spans="14:18" x14ac:dyDescent="0.25">
      <c r="N3266"/>
      <c r="O3266"/>
      <c r="P3266"/>
      <c r="Q3266"/>
      <c r="R3266"/>
    </row>
    <row r="3267" spans="14:18" x14ac:dyDescent="0.25">
      <c r="N3267"/>
      <c r="O3267"/>
      <c r="P3267"/>
      <c r="Q3267"/>
      <c r="R3267"/>
    </row>
    <row r="3268" spans="14:18" x14ac:dyDescent="0.25">
      <c r="N3268"/>
      <c r="O3268"/>
      <c r="P3268"/>
      <c r="Q3268"/>
      <c r="R3268"/>
    </row>
    <row r="3269" spans="14:18" x14ac:dyDescent="0.25">
      <c r="N3269"/>
      <c r="O3269"/>
      <c r="P3269"/>
      <c r="Q3269"/>
      <c r="R3269"/>
    </row>
    <row r="3270" spans="14:18" x14ac:dyDescent="0.25">
      <c r="N3270"/>
      <c r="O3270"/>
      <c r="P3270"/>
      <c r="Q3270"/>
      <c r="R3270"/>
    </row>
    <row r="3271" spans="14:18" x14ac:dyDescent="0.25">
      <c r="N3271"/>
      <c r="O3271"/>
      <c r="P3271"/>
      <c r="Q3271"/>
      <c r="R3271"/>
    </row>
    <row r="3272" spans="14:18" x14ac:dyDescent="0.25">
      <c r="N3272"/>
      <c r="O3272"/>
      <c r="P3272"/>
      <c r="Q3272"/>
      <c r="R3272"/>
    </row>
    <row r="3273" spans="14:18" x14ac:dyDescent="0.25">
      <c r="N3273"/>
      <c r="O3273"/>
      <c r="P3273"/>
      <c r="Q3273"/>
      <c r="R3273"/>
    </row>
    <row r="3274" spans="14:18" x14ac:dyDescent="0.25">
      <c r="N3274"/>
      <c r="O3274"/>
      <c r="P3274"/>
      <c r="Q3274"/>
      <c r="R3274"/>
    </row>
    <row r="3275" spans="14:18" x14ac:dyDescent="0.25">
      <c r="N3275"/>
      <c r="O3275"/>
      <c r="P3275"/>
      <c r="Q3275"/>
      <c r="R3275"/>
    </row>
    <row r="3276" spans="14:18" x14ac:dyDescent="0.25">
      <c r="N3276"/>
      <c r="O3276"/>
      <c r="P3276"/>
      <c r="Q3276"/>
      <c r="R3276"/>
    </row>
    <row r="3277" spans="14:18" x14ac:dyDescent="0.25">
      <c r="N3277"/>
      <c r="O3277"/>
      <c r="P3277"/>
      <c r="Q3277"/>
      <c r="R3277"/>
    </row>
    <row r="3278" spans="14:18" x14ac:dyDescent="0.25">
      <c r="N3278"/>
      <c r="O3278"/>
      <c r="P3278"/>
      <c r="Q3278"/>
      <c r="R3278"/>
    </row>
    <row r="3279" spans="14:18" x14ac:dyDescent="0.25">
      <c r="N3279"/>
      <c r="O3279"/>
      <c r="P3279"/>
      <c r="Q3279"/>
      <c r="R3279"/>
    </row>
    <row r="3280" spans="14:18" x14ac:dyDescent="0.25">
      <c r="N3280"/>
      <c r="O3280"/>
      <c r="P3280"/>
      <c r="Q3280"/>
      <c r="R3280"/>
    </row>
    <row r="3281" spans="14:18" x14ac:dyDescent="0.25">
      <c r="N3281"/>
      <c r="O3281"/>
      <c r="P3281"/>
      <c r="Q3281"/>
      <c r="R3281"/>
    </row>
    <row r="3282" spans="14:18" x14ac:dyDescent="0.25">
      <c r="N3282"/>
      <c r="O3282"/>
      <c r="P3282"/>
      <c r="Q3282"/>
      <c r="R3282"/>
    </row>
    <row r="3283" spans="14:18" x14ac:dyDescent="0.25">
      <c r="N3283"/>
      <c r="O3283"/>
      <c r="P3283"/>
      <c r="Q3283"/>
      <c r="R3283"/>
    </row>
    <row r="3284" spans="14:18" x14ac:dyDescent="0.25">
      <c r="N3284"/>
      <c r="O3284"/>
      <c r="P3284"/>
      <c r="Q3284"/>
      <c r="R3284"/>
    </row>
    <row r="3285" spans="14:18" x14ac:dyDescent="0.25">
      <c r="N3285"/>
      <c r="O3285"/>
      <c r="P3285"/>
      <c r="Q3285"/>
      <c r="R3285"/>
    </row>
    <row r="3286" spans="14:18" x14ac:dyDescent="0.25">
      <c r="N3286"/>
      <c r="O3286"/>
      <c r="P3286"/>
      <c r="Q3286"/>
      <c r="R3286"/>
    </row>
    <row r="3287" spans="14:18" x14ac:dyDescent="0.25">
      <c r="N3287"/>
      <c r="O3287"/>
      <c r="P3287"/>
      <c r="Q3287"/>
      <c r="R3287"/>
    </row>
    <row r="3288" spans="14:18" x14ac:dyDescent="0.25">
      <c r="N3288"/>
      <c r="O3288"/>
      <c r="P3288"/>
      <c r="Q3288"/>
      <c r="R3288"/>
    </row>
    <row r="3289" spans="14:18" x14ac:dyDescent="0.25">
      <c r="N3289"/>
      <c r="O3289"/>
      <c r="P3289"/>
      <c r="Q3289"/>
      <c r="R3289"/>
    </row>
    <row r="3290" spans="14:18" x14ac:dyDescent="0.25">
      <c r="N3290"/>
      <c r="O3290"/>
      <c r="P3290"/>
      <c r="Q3290"/>
      <c r="R3290"/>
    </row>
    <row r="3291" spans="14:18" x14ac:dyDescent="0.25">
      <c r="N3291"/>
      <c r="O3291"/>
      <c r="P3291"/>
      <c r="Q3291"/>
      <c r="R3291"/>
    </row>
    <row r="3292" spans="14:18" x14ac:dyDescent="0.25">
      <c r="N3292"/>
      <c r="O3292"/>
      <c r="P3292"/>
      <c r="Q3292"/>
      <c r="R3292"/>
    </row>
    <row r="3293" spans="14:18" x14ac:dyDescent="0.25">
      <c r="N3293"/>
      <c r="O3293"/>
      <c r="P3293"/>
      <c r="Q3293"/>
      <c r="R3293"/>
    </row>
    <row r="3294" spans="14:18" x14ac:dyDescent="0.25">
      <c r="N3294"/>
      <c r="O3294"/>
      <c r="P3294"/>
      <c r="Q3294"/>
      <c r="R3294"/>
    </row>
    <row r="3295" spans="14:18" x14ac:dyDescent="0.25">
      <c r="N3295"/>
      <c r="O3295"/>
      <c r="P3295"/>
      <c r="Q3295"/>
      <c r="R3295"/>
    </row>
    <row r="3296" spans="14:18" x14ac:dyDescent="0.25">
      <c r="N3296"/>
      <c r="O3296"/>
      <c r="P3296"/>
      <c r="Q3296"/>
      <c r="R3296"/>
    </row>
    <row r="3297" spans="14:18" x14ac:dyDescent="0.25">
      <c r="N3297"/>
      <c r="O3297"/>
      <c r="P3297"/>
      <c r="Q3297"/>
      <c r="R3297"/>
    </row>
    <row r="3298" spans="14:18" x14ac:dyDescent="0.25">
      <c r="N3298"/>
      <c r="O3298"/>
      <c r="P3298"/>
      <c r="Q3298"/>
      <c r="R3298"/>
    </row>
    <row r="3299" spans="14:18" x14ac:dyDescent="0.25">
      <c r="N3299"/>
      <c r="O3299"/>
      <c r="P3299"/>
      <c r="Q3299"/>
      <c r="R3299"/>
    </row>
    <row r="3300" spans="14:18" x14ac:dyDescent="0.25">
      <c r="N3300"/>
      <c r="O3300"/>
      <c r="P3300"/>
      <c r="Q3300"/>
      <c r="R3300"/>
    </row>
    <row r="3301" spans="14:18" x14ac:dyDescent="0.25">
      <c r="N3301"/>
      <c r="O3301"/>
      <c r="P3301"/>
      <c r="Q3301"/>
      <c r="R3301"/>
    </row>
    <row r="3302" spans="14:18" x14ac:dyDescent="0.25">
      <c r="N3302"/>
      <c r="O3302"/>
      <c r="P3302"/>
      <c r="Q3302"/>
      <c r="R3302"/>
    </row>
    <row r="3303" spans="14:18" x14ac:dyDescent="0.25">
      <c r="N3303"/>
      <c r="O3303"/>
      <c r="P3303"/>
      <c r="Q3303"/>
      <c r="R3303"/>
    </row>
    <row r="3304" spans="14:18" x14ac:dyDescent="0.25">
      <c r="N3304"/>
      <c r="O3304"/>
      <c r="P3304"/>
      <c r="Q3304"/>
      <c r="R3304"/>
    </row>
    <row r="3305" spans="14:18" x14ac:dyDescent="0.25">
      <c r="N3305"/>
      <c r="O3305"/>
      <c r="P3305"/>
      <c r="Q3305"/>
      <c r="R3305"/>
    </row>
    <row r="3306" spans="14:18" x14ac:dyDescent="0.25">
      <c r="N3306"/>
      <c r="O3306"/>
      <c r="P3306"/>
      <c r="Q3306"/>
      <c r="R3306"/>
    </row>
    <row r="3307" spans="14:18" x14ac:dyDescent="0.25">
      <c r="N3307"/>
      <c r="O3307"/>
      <c r="P3307"/>
      <c r="Q3307"/>
      <c r="R3307"/>
    </row>
    <row r="3308" spans="14:18" x14ac:dyDescent="0.25">
      <c r="N3308"/>
      <c r="O3308"/>
      <c r="P3308"/>
      <c r="Q3308"/>
      <c r="R3308"/>
    </row>
    <row r="3309" spans="14:18" x14ac:dyDescent="0.25">
      <c r="N3309"/>
      <c r="O3309"/>
      <c r="P3309"/>
      <c r="Q3309"/>
      <c r="R3309"/>
    </row>
    <row r="3310" spans="14:18" x14ac:dyDescent="0.25">
      <c r="N3310"/>
      <c r="O3310"/>
      <c r="P3310"/>
      <c r="Q3310"/>
      <c r="R3310"/>
    </row>
    <row r="3311" spans="14:18" x14ac:dyDescent="0.25">
      <c r="N3311"/>
      <c r="O3311"/>
      <c r="P3311"/>
      <c r="Q3311"/>
      <c r="R3311"/>
    </row>
    <row r="3312" spans="14:18" x14ac:dyDescent="0.25">
      <c r="N3312"/>
      <c r="O3312"/>
      <c r="P3312"/>
      <c r="Q3312"/>
      <c r="R3312"/>
    </row>
    <row r="3313" spans="14:18" x14ac:dyDescent="0.25">
      <c r="N3313"/>
      <c r="O3313"/>
      <c r="P3313"/>
      <c r="Q3313"/>
      <c r="R3313"/>
    </row>
    <row r="3314" spans="14:18" x14ac:dyDescent="0.25">
      <c r="N3314"/>
      <c r="O3314"/>
      <c r="P3314"/>
      <c r="Q3314"/>
      <c r="R3314"/>
    </row>
    <row r="3315" spans="14:18" x14ac:dyDescent="0.25">
      <c r="N3315"/>
      <c r="O3315"/>
      <c r="P3315"/>
      <c r="Q3315"/>
      <c r="R3315"/>
    </row>
    <row r="3316" spans="14:18" x14ac:dyDescent="0.25">
      <c r="N3316"/>
      <c r="O3316"/>
      <c r="P3316"/>
      <c r="Q3316"/>
      <c r="R3316"/>
    </row>
    <row r="3317" spans="14:18" x14ac:dyDescent="0.25">
      <c r="N3317"/>
      <c r="O3317"/>
      <c r="P3317"/>
      <c r="Q3317"/>
      <c r="R3317"/>
    </row>
    <row r="3318" spans="14:18" x14ac:dyDescent="0.25">
      <c r="N3318"/>
      <c r="O3318"/>
      <c r="P3318"/>
      <c r="Q3318"/>
      <c r="R3318"/>
    </row>
    <row r="3319" spans="14:18" x14ac:dyDescent="0.25">
      <c r="N3319"/>
      <c r="O3319"/>
      <c r="P3319"/>
      <c r="Q3319"/>
      <c r="R3319"/>
    </row>
    <row r="3320" spans="14:18" x14ac:dyDescent="0.25">
      <c r="N3320"/>
      <c r="O3320"/>
      <c r="P3320"/>
      <c r="Q3320"/>
      <c r="R3320"/>
    </row>
    <row r="3321" spans="14:18" x14ac:dyDescent="0.25">
      <c r="N3321"/>
      <c r="O3321"/>
      <c r="P3321"/>
      <c r="Q3321"/>
      <c r="R3321"/>
    </row>
    <row r="3322" spans="14:18" x14ac:dyDescent="0.25">
      <c r="N3322"/>
      <c r="O3322"/>
      <c r="P3322"/>
      <c r="Q3322"/>
      <c r="R3322"/>
    </row>
    <row r="3323" spans="14:18" x14ac:dyDescent="0.25">
      <c r="N3323"/>
      <c r="O3323"/>
      <c r="P3323"/>
      <c r="Q3323"/>
      <c r="R3323"/>
    </row>
    <row r="3324" spans="14:18" x14ac:dyDescent="0.25">
      <c r="N3324"/>
      <c r="O3324"/>
      <c r="P3324"/>
      <c r="Q3324"/>
      <c r="R3324"/>
    </row>
    <row r="3325" spans="14:18" x14ac:dyDescent="0.25">
      <c r="N3325"/>
      <c r="O3325"/>
      <c r="P3325"/>
      <c r="Q3325"/>
      <c r="R3325"/>
    </row>
    <row r="3326" spans="14:18" x14ac:dyDescent="0.25">
      <c r="N3326"/>
      <c r="O3326"/>
      <c r="P3326"/>
      <c r="Q3326"/>
      <c r="R3326"/>
    </row>
    <row r="3327" spans="14:18" x14ac:dyDescent="0.25">
      <c r="N3327"/>
      <c r="O3327"/>
      <c r="P3327"/>
      <c r="Q3327"/>
      <c r="R3327"/>
    </row>
    <row r="3328" spans="14:18" x14ac:dyDescent="0.25">
      <c r="N3328"/>
      <c r="O3328"/>
      <c r="P3328"/>
      <c r="Q3328"/>
      <c r="R3328"/>
    </row>
    <row r="3329" spans="14:18" x14ac:dyDescent="0.25">
      <c r="N3329"/>
      <c r="O3329"/>
      <c r="P3329"/>
      <c r="Q3329"/>
      <c r="R3329"/>
    </row>
    <row r="3330" spans="14:18" x14ac:dyDescent="0.25">
      <c r="N3330"/>
      <c r="O3330"/>
      <c r="P3330"/>
      <c r="Q3330"/>
      <c r="R3330"/>
    </row>
    <row r="3331" spans="14:18" x14ac:dyDescent="0.25">
      <c r="N3331"/>
      <c r="O3331"/>
      <c r="P3331"/>
      <c r="Q3331"/>
      <c r="R3331"/>
    </row>
    <row r="3332" spans="14:18" x14ac:dyDescent="0.25">
      <c r="N3332"/>
      <c r="O3332"/>
      <c r="P3332"/>
      <c r="Q3332"/>
      <c r="R3332"/>
    </row>
    <row r="3333" spans="14:18" x14ac:dyDescent="0.25">
      <c r="N3333"/>
      <c r="O3333"/>
      <c r="P3333"/>
      <c r="Q3333"/>
      <c r="R3333"/>
    </row>
    <row r="3334" spans="14:18" x14ac:dyDescent="0.25">
      <c r="N3334"/>
      <c r="O3334"/>
      <c r="P3334"/>
      <c r="Q3334"/>
      <c r="R3334"/>
    </row>
    <row r="3335" spans="14:18" x14ac:dyDescent="0.25">
      <c r="N3335"/>
      <c r="O3335"/>
      <c r="P3335"/>
      <c r="Q3335"/>
      <c r="R3335"/>
    </row>
    <row r="3336" spans="14:18" x14ac:dyDescent="0.25">
      <c r="N3336"/>
      <c r="O3336"/>
      <c r="P3336"/>
      <c r="Q3336"/>
      <c r="R3336"/>
    </row>
    <row r="3337" spans="14:18" x14ac:dyDescent="0.25">
      <c r="N3337"/>
      <c r="O3337"/>
      <c r="P3337"/>
      <c r="Q3337"/>
      <c r="R3337"/>
    </row>
    <row r="3338" spans="14:18" x14ac:dyDescent="0.25">
      <c r="N3338"/>
      <c r="O3338"/>
      <c r="P3338"/>
      <c r="Q3338"/>
      <c r="R3338"/>
    </row>
    <row r="3339" spans="14:18" x14ac:dyDescent="0.25">
      <c r="N3339"/>
      <c r="O3339"/>
      <c r="P3339"/>
      <c r="Q3339"/>
      <c r="R3339"/>
    </row>
    <row r="3340" spans="14:18" x14ac:dyDescent="0.25">
      <c r="N3340"/>
      <c r="O3340"/>
      <c r="P3340"/>
      <c r="Q3340"/>
      <c r="R3340"/>
    </row>
    <row r="3341" spans="14:18" x14ac:dyDescent="0.25">
      <c r="N3341"/>
      <c r="O3341"/>
      <c r="P3341"/>
      <c r="Q3341"/>
      <c r="R3341"/>
    </row>
    <row r="3342" spans="14:18" x14ac:dyDescent="0.25">
      <c r="N3342"/>
      <c r="O3342"/>
      <c r="P3342"/>
      <c r="Q3342"/>
      <c r="R3342"/>
    </row>
    <row r="3343" spans="14:18" x14ac:dyDescent="0.25">
      <c r="N3343"/>
      <c r="O3343"/>
      <c r="P3343"/>
      <c r="Q3343"/>
      <c r="R3343"/>
    </row>
    <row r="3344" spans="14:18" x14ac:dyDescent="0.25">
      <c r="N3344"/>
      <c r="O3344"/>
      <c r="P3344"/>
      <c r="Q3344"/>
      <c r="R3344"/>
    </row>
    <row r="3345" spans="14:18" x14ac:dyDescent="0.25">
      <c r="N3345"/>
      <c r="O3345"/>
      <c r="P3345"/>
      <c r="Q3345"/>
      <c r="R3345"/>
    </row>
    <row r="3346" spans="14:18" x14ac:dyDescent="0.25">
      <c r="N3346"/>
      <c r="O3346"/>
      <c r="P3346"/>
      <c r="Q3346"/>
      <c r="R3346"/>
    </row>
    <row r="3347" spans="14:18" x14ac:dyDescent="0.25">
      <c r="N3347"/>
      <c r="O3347"/>
      <c r="P3347"/>
      <c r="Q3347"/>
      <c r="R3347"/>
    </row>
    <row r="3348" spans="14:18" x14ac:dyDescent="0.25">
      <c r="N3348"/>
      <c r="O3348"/>
      <c r="P3348"/>
      <c r="Q3348"/>
      <c r="R3348"/>
    </row>
    <row r="3349" spans="14:18" x14ac:dyDescent="0.25">
      <c r="N3349"/>
      <c r="O3349"/>
      <c r="P3349"/>
      <c r="Q3349"/>
      <c r="R3349"/>
    </row>
    <row r="3350" spans="14:18" x14ac:dyDescent="0.25">
      <c r="N3350"/>
      <c r="O3350"/>
      <c r="P3350"/>
      <c r="Q3350"/>
      <c r="R3350"/>
    </row>
    <row r="3351" spans="14:18" x14ac:dyDescent="0.25">
      <c r="N3351"/>
      <c r="O3351"/>
      <c r="P3351"/>
      <c r="Q3351"/>
      <c r="R3351"/>
    </row>
    <row r="3352" spans="14:18" x14ac:dyDescent="0.25">
      <c r="N3352"/>
      <c r="O3352"/>
      <c r="P3352"/>
      <c r="Q3352"/>
      <c r="R3352"/>
    </row>
    <row r="3353" spans="14:18" x14ac:dyDescent="0.25">
      <c r="N3353"/>
      <c r="O3353"/>
      <c r="P3353"/>
      <c r="Q3353"/>
      <c r="R3353"/>
    </row>
    <row r="3354" spans="14:18" x14ac:dyDescent="0.25">
      <c r="N3354"/>
      <c r="O3354"/>
      <c r="P3354"/>
      <c r="Q3354"/>
      <c r="R3354"/>
    </row>
    <row r="3355" spans="14:18" x14ac:dyDescent="0.25">
      <c r="N3355"/>
      <c r="O3355"/>
      <c r="P3355"/>
      <c r="Q3355"/>
      <c r="R3355"/>
    </row>
    <row r="3356" spans="14:18" x14ac:dyDescent="0.25">
      <c r="N3356"/>
      <c r="O3356"/>
      <c r="P3356"/>
      <c r="Q3356"/>
      <c r="R3356"/>
    </row>
    <row r="3357" spans="14:18" x14ac:dyDescent="0.25">
      <c r="N3357"/>
      <c r="O3357"/>
      <c r="P3357"/>
      <c r="Q3357"/>
      <c r="R3357"/>
    </row>
    <row r="3358" spans="14:18" x14ac:dyDescent="0.25">
      <c r="N3358"/>
      <c r="O3358"/>
      <c r="P3358"/>
      <c r="Q3358"/>
      <c r="R3358"/>
    </row>
    <row r="3359" spans="14:18" x14ac:dyDescent="0.25">
      <c r="N3359"/>
      <c r="O3359"/>
      <c r="P3359"/>
      <c r="Q3359"/>
      <c r="R3359"/>
    </row>
    <row r="3360" spans="14:18" x14ac:dyDescent="0.25">
      <c r="N3360"/>
      <c r="O3360"/>
      <c r="P3360"/>
      <c r="Q3360"/>
      <c r="R3360"/>
    </row>
    <row r="3361" spans="14:18" x14ac:dyDescent="0.25">
      <c r="N3361"/>
      <c r="O3361"/>
      <c r="P3361"/>
      <c r="Q3361"/>
      <c r="R3361"/>
    </row>
    <row r="3362" spans="14:18" x14ac:dyDescent="0.25">
      <c r="N3362"/>
      <c r="O3362"/>
      <c r="P3362"/>
      <c r="Q3362"/>
      <c r="R3362"/>
    </row>
    <row r="3363" spans="14:18" x14ac:dyDescent="0.25">
      <c r="N3363"/>
      <c r="O3363"/>
      <c r="P3363"/>
      <c r="Q3363"/>
      <c r="R3363"/>
    </row>
    <row r="3364" spans="14:18" x14ac:dyDescent="0.25">
      <c r="N3364"/>
      <c r="O3364"/>
      <c r="P3364"/>
      <c r="Q3364"/>
      <c r="R3364"/>
    </row>
    <row r="3365" spans="14:18" x14ac:dyDescent="0.25">
      <c r="N3365"/>
      <c r="O3365"/>
      <c r="P3365"/>
      <c r="Q3365"/>
      <c r="R3365"/>
    </row>
    <row r="3366" spans="14:18" x14ac:dyDescent="0.25">
      <c r="N3366"/>
      <c r="O3366"/>
      <c r="P3366"/>
      <c r="Q3366"/>
      <c r="R3366"/>
    </row>
    <row r="3367" spans="14:18" x14ac:dyDescent="0.25">
      <c r="N3367"/>
      <c r="O3367"/>
      <c r="P3367"/>
      <c r="Q3367"/>
      <c r="R3367"/>
    </row>
    <row r="3368" spans="14:18" x14ac:dyDescent="0.25">
      <c r="N3368"/>
      <c r="O3368"/>
      <c r="P3368"/>
      <c r="Q3368"/>
      <c r="R3368"/>
    </row>
    <row r="3369" spans="14:18" x14ac:dyDescent="0.25">
      <c r="N3369"/>
      <c r="O3369"/>
      <c r="P3369"/>
      <c r="Q3369"/>
      <c r="R3369"/>
    </row>
    <row r="3370" spans="14:18" x14ac:dyDescent="0.25">
      <c r="N3370"/>
      <c r="O3370"/>
      <c r="P3370"/>
      <c r="Q3370"/>
      <c r="R3370"/>
    </row>
    <row r="3371" spans="14:18" x14ac:dyDescent="0.25">
      <c r="N3371"/>
      <c r="O3371"/>
      <c r="P3371"/>
      <c r="Q3371"/>
      <c r="R3371"/>
    </row>
    <row r="3372" spans="14:18" x14ac:dyDescent="0.25">
      <c r="N3372"/>
      <c r="O3372"/>
      <c r="P3372"/>
      <c r="Q3372"/>
      <c r="R3372"/>
    </row>
    <row r="3373" spans="14:18" x14ac:dyDescent="0.25">
      <c r="N3373"/>
      <c r="O3373"/>
      <c r="P3373"/>
      <c r="Q3373"/>
      <c r="R3373"/>
    </row>
    <row r="3374" spans="14:18" x14ac:dyDescent="0.25">
      <c r="N3374"/>
      <c r="O3374"/>
      <c r="P3374"/>
      <c r="Q3374"/>
      <c r="R3374"/>
    </row>
    <row r="3375" spans="14:18" x14ac:dyDescent="0.25">
      <c r="N3375"/>
      <c r="O3375"/>
      <c r="P3375"/>
      <c r="Q3375"/>
      <c r="R3375"/>
    </row>
    <row r="3376" spans="14:18" x14ac:dyDescent="0.25">
      <c r="N3376"/>
      <c r="O3376"/>
      <c r="P3376"/>
      <c r="Q3376"/>
      <c r="R3376"/>
    </row>
    <row r="3377" spans="14:18" x14ac:dyDescent="0.25">
      <c r="N3377"/>
      <c r="O3377"/>
      <c r="P3377"/>
      <c r="Q3377"/>
      <c r="R3377"/>
    </row>
    <row r="3378" spans="14:18" x14ac:dyDescent="0.25">
      <c r="N3378"/>
      <c r="O3378"/>
      <c r="P3378"/>
      <c r="Q3378"/>
      <c r="R3378"/>
    </row>
    <row r="3379" spans="14:18" x14ac:dyDescent="0.25">
      <c r="N3379"/>
      <c r="O3379"/>
      <c r="P3379"/>
      <c r="Q3379"/>
      <c r="R3379"/>
    </row>
    <row r="3380" spans="14:18" x14ac:dyDescent="0.25">
      <c r="N3380"/>
      <c r="O3380"/>
      <c r="P3380"/>
      <c r="Q3380"/>
      <c r="R3380"/>
    </row>
    <row r="3381" spans="14:18" x14ac:dyDescent="0.25">
      <c r="N3381"/>
      <c r="O3381"/>
      <c r="P3381"/>
      <c r="Q3381"/>
      <c r="R3381"/>
    </row>
    <row r="3382" spans="14:18" x14ac:dyDescent="0.25">
      <c r="N3382"/>
      <c r="O3382"/>
      <c r="P3382"/>
      <c r="Q3382"/>
      <c r="R3382"/>
    </row>
    <row r="3383" spans="14:18" x14ac:dyDescent="0.25">
      <c r="N3383"/>
      <c r="O3383"/>
      <c r="P3383"/>
      <c r="Q3383"/>
      <c r="R3383"/>
    </row>
    <row r="3384" spans="14:18" x14ac:dyDescent="0.25">
      <c r="N3384"/>
      <c r="O3384"/>
      <c r="P3384"/>
      <c r="Q3384"/>
      <c r="R3384"/>
    </row>
    <row r="3385" spans="14:18" x14ac:dyDescent="0.25">
      <c r="N3385"/>
      <c r="O3385"/>
      <c r="P3385"/>
      <c r="Q3385"/>
      <c r="R3385"/>
    </row>
    <row r="3386" spans="14:18" x14ac:dyDescent="0.25">
      <c r="N3386"/>
      <c r="O3386"/>
      <c r="P3386"/>
      <c r="Q3386"/>
      <c r="R3386"/>
    </row>
    <row r="3387" spans="14:18" x14ac:dyDescent="0.25">
      <c r="N3387"/>
      <c r="O3387"/>
      <c r="P3387"/>
      <c r="Q3387"/>
      <c r="R3387"/>
    </row>
    <row r="3388" spans="14:18" x14ac:dyDescent="0.25">
      <c r="N3388"/>
      <c r="O3388"/>
      <c r="P3388"/>
      <c r="Q3388"/>
      <c r="R3388"/>
    </row>
    <row r="3389" spans="14:18" x14ac:dyDescent="0.25">
      <c r="N3389"/>
      <c r="O3389"/>
      <c r="P3389"/>
      <c r="Q3389"/>
      <c r="R3389"/>
    </row>
    <row r="3390" spans="14:18" x14ac:dyDescent="0.25">
      <c r="N3390"/>
      <c r="O3390"/>
      <c r="P3390"/>
      <c r="Q3390"/>
      <c r="R3390"/>
    </row>
    <row r="3391" spans="14:18" x14ac:dyDescent="0.25">
      <c r="N3391"/>
      <c r="O3391"/>
      <c r="P3391"/>
      <c r="Q3391"/>
      <c r="R3391"/>
    </row>
    <row r="3392" spans="14:18" x14ac:dyDescent="0.25">
      <c r="N3392"/>
      <c r="O3392"/>
      <c r="P3392"/>
      <c r="Q3392"/>
      <c r="R3392"/>
    </row>
    <row r="3393" spans="14:18" x14ac:dyDescent="0.25">
      <c r="N3393"/>
      <c r="O3393"/>
      <c r="P3393"/>
      <c r="Q3393"/>
      <c r="R3393"/>
    </row>
    <row r="3394" spans="14:18" x14ac:dyDescent="0.25">
      <c r="N3394"/>
      <c r="O3394"/>
      <c r="P3394"/>
      <c r="Q3394"/>
      <c r="R3394"/>
    </row>
    <row r="3395" spans="14:18" x14ac:dyDescent="0.25">
      <c r="N3395"/>
      <c r="O3395"/>
      <c r="P3395"/>
      <c r="Q3395"/>
      <c r="R3395"/>
    </row>
    <row r="3396" spans="14:18" x14ac:dyDescent="0.25">
      <c r="N3396"/>
      <c r="O3396"/>
      <c r="P3396"/>
      <c r="Q3396"/>
      <c r="R3396"/>
    </row>
    <row r="3397" spans="14:18" x14ac:dyDescent="0.25">
      <c r="N3397"/>
      <c r="O3397"/>
      <c r="P3397"/>
      <c r="Q3397"/>
      <c r="R3397"/>
    </row>
    <row r="3398" spans="14:18" x14ac:dyDescent="0.25">
      <c r="N3398"/>
      <c r="O3398"/>
      <c r="P3398"/>
      <c r="Q3398"/>
      <c r="R3398"/>
    </row>
    <row r="3399" spans="14:18" x14ac:dyDescent="0.25">
      <c r="N3399"/>
      <c r="O3399"/>
      <c r="P3399"/>
      <c r="Q3399"/>
      <c r="R3399"/>
    </row>
    <row r="3400" spans="14:18" x14ac:dyDescent="0.25">
      <c r="N3400"/>
      <c r="O3400"/>
      <c r="P3400"/>
      <c r="Q3400"/>
      <c r="R3400"/>
    </row>
    <row r="3401" spans="14:18" x14ac:dyDescent="0.25">
      <c r="N3401"/>
      <c r="O3401"/>
      <c r="P3401"/>
      <c r="Q3401"/>
      <c r="R3401"/>
    </row>
    <row r="3402" spans="14:18" x14ac:dyDescent="0.25">
      <c r="N3402"/>
      <c r="O3402"/>
      <c r="P3402"/>
      <c r="Q3402"/>
      <c r="R3402"/>
    </row>
    <row r="3403" spans="14:18" x14ac:dyDescent="0.25">
      <c r="N3403"/>
      <c r="O3403"/>
      <c r="P3403"/>
      <c r="Q3403"/>
      <c r="R3403"/>
    </row>
    <row r="3404" spans="14:18" x14ac:dyDescent="0.25">
      <c r="N3404"/>
      <c r="O3404"/>
      <c r="P3404"/>
      <c r="Q3404"/>
      <c r="R3404"/>
    </row>
    <row r="3405" spans="14:18" x14ac:dyDescent="0.25">
      <c r="N3405"/>
      <c r="O3405"/>
      <c r="P3405"/>
      <c r="Q3405"/>
      <c r="R3405"/>
    </row>
    <row r="3406" spans="14:18" x14ac:dyDescent="0.25">
      <c r="N3406"/>
      <c r="O3406"/>
      <c r="P3406"/>
      <c r="Q3406"/>
      <c r="R3406"/>
    </row>
    <row r="3407" spans="14:18" x14ac:dyDescent="0.25">
      <c r="N3407"/>
      <c r="O3407"/>
      <c r="P3407"/>
      <c r="Q3407"/>
      <c r="R3407"/>
    </row>
    <row r="3408" spans="14:18" x14ac:dyDescent="0.25">
      <c r="N3408"/>
      <c r="O3408"/>
      <c r="P3408"/>
      <c r="Q3408"/>
      <c r="R3408"/>
    </row>
    <row r="3409" spans="14:18" x14ac:dyDescent="0.25">
      <c r="N3409"/>
      <c r="O3409"/>
      <c r="P3409"/>
      <c r="Q3409"/>
      <c r="R3409"/>
    </row>
    <row r="3410" spans="14:18" x14ac:dyDescent="0.25">
      <c r="N3410"/>
      <c r="O3410"/>
      <c r="P3410"/>
      <c r="Q3410"/>
      <c r="R3410"/>
    </row>
    <row r="3411" spans="14:18" x14ac:dyDescent="0.25">
      <c r="N3411"/>
      <c r="O3411"/>
      <c r="P3411"/>
      <c r="Q3411"/>
      <c r="R3411"/>
    </row>
    <row r="3412" spans="14:18" x14ac:dyDescent="0.25">
      <c r="N3412"/>
      <c r="O3412"/>
      <c r="P3412"/>
      <c r="Q3412"/>
      <c r="R3412"/>
    </row>
    <row r="3413" spans="14:18" x14ac:dyDescent="0.25">
      <c r="N3413"/>
      <c r="O3413"/>
      <c r="P3413"/>
      <c r="Q3413"/>
      <c r="R3413"/>
    </row>
    <row r="3414" spans="14:18" x14ac:dyDescent="0.25">
      <c r="N3414"/>
      <c r="O3414"/>
      <c r="P3414"/>
      <c r="Q3414"/>
      <c r="R3414"/>
    </row>
    <row r="3415" spans="14:18" x14ac:dyDescent="0.25">
      <c r="N3415"/>
      <c r="O3415"/>
      <c r="P3415"/>
      <c r="Q3415"/>
      <c r="R3415"/>
    </row>
    <row r="3416" spans="14:18" x14ac:dyDescent="0.25">
      <c r="N3416"/>
      <c r="O3416"/>
      <c r="P3416"/>
      <c r="Q3416"/>
      <c r="R3416"/>
    </row>
    <row r="3417" spans="14:18" x14ac:dyDescent="0.25">
      <c r="N3417"/>
      <c r="O3417"/>
      <c r="P3417"/>
      <c r="Q3417"/>
      <c r="R3417"/>
    </row>
    <row r="3418" spans="14:18" x14ac:dyDescent="0.25">
      <c r="N3418"/>
      <c r="O3418"/>
      <c r="P3418"/>
      <c r="Q3418"/>
      <c r="R3418"/>
    </row>
    <row r="3419" spans="14:18" x14ac:dyDescent="0.25">
      <c r="N3419"/>
      <c r="O3419"/>
      <c r="P3419"/>
      <c r="Q3419"/>
      <c r="R3419"/>
    </row>
    <row r="3420" spans="14:18" x14ac:dyDescent="0.25">
      <c r="N3420"/>
      <c r="O3420"/>
      <c r="P3420"/>
      <c r="Q3420"/>
      <c r="R3420"/>
    </row>
    <row r="3421" spans="14:18" x14ac:dyDescent="0.25">
      <c r="N3421"/>
      <c r="O3421"/>
      <c r="P3421"/>
      <c r="Q3421"/>
      <c r="R3421"/>
    </row>
    <row r="3422" spans="14:18" x14ac:dyDescent="0.25">
      <c r="N3422"/>
      <c r="O3422"/>
      <c r="P3422"/>
      <c r="Q3422"/>
      <c r="R3422"/>
    </row>
    <row r="3423" spans="14:18" x14ac:dyDescent="0.25">
      <c r="N3423"/>
      <c r="O3423"/>
      <c r="P3423"/>
      <c r="Q3423"/>
      <c r="R3423"/>
    </row>
    <row r="3424" spans="14:18" x14ac:dyDescent="0.25">
      <c r="N3424"/>
      <c r="O3424"/>
      <c r="P3424"/>
      <c r="Q3424"/>
      <c r="R3424"/>
    </row>
    <row r="3425" spans="14:18" x14ac:dyDescent="0.25">
      <c r="N3425"/>
      <c r="O3425"/>
      <c r="P3425"/>
      <c r="Q3425"/>
      <c r="R3425"/>
    </row>
    <row r="3426" spans="14:18" x14ac:dyDescent="0.25">
      <c r="N3426"/>
      <c r="O3426"/>
      <c r="P3426"/>
      <c r="Q3426"/>
      <c r="R3426"/>
    </row>
    <row r="3427" spans="14:18" x14ac:dyDescent="0.25">
      <c r="N3427"/>
      <c r="O3427"/>
      <c r="P3427"/>
      <c r="Q3427"/>
      <c r="R3427"/>
    </row>
    <row r="3428" spans="14:18" x14ac:dyDescent="0.25">
      <c r="N3428"/>
      <c r="O3428"/>
      <c r="P3428"/>
      <c r="Q3428"/>
      <c r="R3428"/>
    </row>
    <row r="3429" spans="14:18" x14ac:dyDescent="0.25">
      <c r="N3429"/>
      <c r="O3429"/>
      <c r="P3429"/>
      <c r="Q3429"/>
      <c r="R3429"/>
    </row>
    <row r="3430" spans="14:18" x14ac:dyDescent="0.25">
      <c r="N3430"/>
      <c r="O3430"/>
      <c r="P3430"/>
      <c r="Q3430"/>
      <c r="R3430"/>
    </row>
    <row r="3431" spans="14:18" x14ac:dyDescent="0.25">
      <c r="N3431"/>
      <c r="O3431"/>
      <c r="P3431"/>
      <c r="Q3431"/>
      <c r="R3431"/>
    </row>
    <row r="3432" spans="14:18" x14ac:dyDescent="0.25">
      <c r="N3432"/>
      <c r="O3432"/>
      <c r="P3432"/>
      <c r="Q3432"/>
      <c r="R3432"/>
    </row>
    <row r="3433" spans="14:18" x14ac:dyDescent="0.25">
      <c r="N3433"/>
      <c r="O3433"/>
      <c r="P3433"/>
      <c r="Q3433"/>
      <c r="R3433"/>
    </row>
    <row r="3434" spans="14:18" x14ac:dyDescent="0.25">
      <c r="N3434"/>
      <c r="O3434"/>
      <c r="P3434"/>
      <c r="Q3434"/>
      <c r="R3434"/>
    </row>
    <row r="3435" spans="14:18" x14ac:dyDescent="0.25">
      <c r="N3435"/>
      <c r="O3435"/>
      <c r="P3435"/>
      <c r="Q3435"/>
      <c r="R3435"/>
    </row>
    <row r="3436" spans="14:18" x14ac:dyDescent="0.25">
      <c r="N3436"/>
      <c r="O3436"/>
      <c r="P3436"/>
      <c r="Q3436"/>
      <c r="R3436"/>
    </row>
    <row r="3437" spans="14:18" x14ac:dyDescent="0.25">
      <c r="N3437"/>
      <c r="O3437"/>
      <c r="P3437"/>
      <c r="Q3437"/>
      <c r="R3437"/>
    </row>
    <row r="3438" spans="14:18" x14ac:dyDescent="0.25">
      <c r="N3438"/>
      <c r="O3438"/>
      <c r="P3438"/>
      <c r="Q3438"/>
      <c r="R3438"/>
    </row>
    <row r="3439" spans="14:18" x14ac:dyDescent="0.25">
      <c r="N3439"/>
      <c r="O3439"/>
      <c r="P3439"/>
      <c r="Q3439"/>
      <c r="R3439"/>
    </row>
    <row r="3440" spans="14:18" x14ac:dyDescent="0.25">
      <c r="N3440"/>
      <c r="O3440"/>
      <c r="P3440"/>
      <c r="Q3440"/>
      <c r="R3440"/>
    </row>
    <row r="3441" spans="14:18" x14ac:dyDescent="0.25">
      <c r="N3441"/>
      <c r="O3441"/>
      <c r="P3441"/>
      <c r="Q3441"/>
      <c r="R3441"/>
    </row>
    <row r="3442" spans="14:18" x14ac:dyDescent="0.25">
      <c r="N3442"/>
      <c r="O3442"/>
      <c r="P3442"/>
      <c r="Q3442"/>
      <c r="R3442"/>
    </row>
    <row r="3443" spans="14:18" x14ac:dyDescent="0.25">
      <c r="N3443"/>
      <c r="O3443"/>
      <c r="P3443"/>
      <c r="Q3443"/>
      <c r="R3443"/>
    </row>
    <row r="3444" spans="14:18" x14ac:dyDescent="0.25">
      <c r="N3444"/>
      <c r="O3444"/>
      <c r="P3444"/>
      <c r="Q3444"/>
      <c r="R3444"/>
    </row>
    <row r="3445" spans="14:18" x14ac:dyDescent="0.25">
      <c r="N3445"/>
      <c r="O3445"/>
      <c r="P3445"/>
      <c r="Q3445"/>
      <c r="R3445"/>
    </row>
    <row r="3446" spans="14:18" x14ac:dyDescent="0.25">
      <c r="N3446"/>
      <c r="O3446"/>
      <c r="P3446"/>
      <c r="Q3446"/>
      <c r="R3446"/>
    </row>
    <row r="3447" spans="14:18" x14ac:dyDescent="0.25">
      <c r="N3447"/>
      <c r="O3447"/>
      <c r="P3447"/>
      <c r="Q3447"/>
      <c r="R3447"/>
    </row>
    <row r="3448" spans="14:18" x14ac:dyDescent="0.25">
      <c r="N3448"/>
      <c r="O3448"/>
      <c r="P3448"/>
      <c r="Q3448"/>
      <c r="R3448"/>
    </row>
    <row r="3449" spans="14:18" x14ac:dyDescent="0.25">
      <c r="N3449"/>
      <c r="O3449"/>
      <c r="P3449"/>
      <c r="Q3449"/>
      <c r="R3449"/>
    </row>
    <row r="3450" spans="14:18" x14ac:dyDescent="0.25">
      <c r="N3450"/>
      <c r="O3450"/>
      <c r="P3450"/>
      <c r="Q3450"/>
      <c r="R3450"/>
    </row>
    <row r="3451" spans="14:18" x14ac:dyDescent="0.25">
      <c r="N3451"/>
      <c r="O3451"/>
      <c r="P3451"/>
      <c r="Q3451"/>
      <c r="R3451"/>
    </row>
    <row r="3452" spans="14:18" x14ac:dyDescent="0.25">
      <c r="N3452"/>
      <c r="O3452"/>
      <c r="P3452"/>
      <c r="Q3452"/>
      <c r="R3452"/>
    </row>
    <row r="3453" spans="14:18" x14ac:dyDescent="0.25">
      <c r="N3453"/>
      <c r="O3453"/>
      <c r="P3453"/>
      <c r="Q3453"/>
      <c r="R3453"/>
    </row>
    <row r="3454" spans="14:18" x14ac:dyDescent="0.25">
      <c r="N3454"/>
      <c r="O3454"/>
      <c r="P3454"/>
      <c r="Q3454"/>
      <c r="R3454"/>
    </row>
    <row r="3455" spans="14:18" x14ac:dyDescent="0.25">
      <c r="N3455"/>
      <c r="O3455"/>
      <c r="P3455"/>
      <c r="Q3455"/>
      <c r="R3455"/>
    </row>
    <row r="3456" spans="14:18" x14ac:dyDescent="0.25">
      <c r="N3456"/>
      <c r="O3456"/>
      <c r="P3456"/>
      <c r="Q3456"/>
      <c r="R3456"/>
    </row>
    <row r="3457" spans="14:18" x14ac:dyDescent="0.25">
      <c r="N3457"/>
      <c r="O3457"/>
      <c r="P3457"/>
      <c r="Q3457"/>
      <c r="R3457"/>
    </row>
    <row r="3458" spans="14:18" x14ac:dyDescent="0.25">
      <c r="N3458"/>
      <c r="O3458"/>
      <c r="P3458"/>
      <c r="Q3458"/>
      <c r="R3458"/>
    </row>
    <row r="3459" spans="14:18" x14ac:dyDescent="0.25">
      <c r="N3459"/>
      <c r="O3459"/>
      <c r="P3459"/>
      <c r="Q3459"/>
      <c r="R3459"/>
    </row>
    <row r="3460" spans="14:18" x14ac:dyDescent="0.25">
      <c r="N3460"/>
      <c r="O3460"/>
      <c r="P3460"/>
      <c r="Q3460"/>
      <c r="R3460"/>
    </row>
    <row r="3461" spans="14:18" x14ac:dyDescent="0.25">
      <c r="N3461"/>
      <c r="O3461"/>
      <c r="P3461"/>
      <c r="Q3461"/>
      <c r="R3461"/>
    </row>
    <row r="3462" spans="14:18" x14ac:dyDescent="0.25">
      <c r="N3462"/>
      <c r="O3462"/>
      <c r="P3462"/>
      <c r="Q3462"/>
      <c r="R3462"/>
    </row>
    <row r="3463" spans="14:18" x14ac:dyDescent="0.25">
      <c r="N3463"/>
      <c r="O3463"/>
      <c r="P3463"/>
      <c r="Q3463"/>
      <c r="R3463"/>
    </row>
    <row r="3464" spans="14:18" x14ac:dyDescent="0.25">
      <c r="N3464"/>
      <c r="O3464"/>
      <c r="P3464"/>
      <c r="Q3464"/>
      <c r="R3464"/>
    </row>
    <row r="3465" spans="14:18" x14ac:dyDescent="0.25">
      <c r="N3465"/>
      <c r="O3465"/>
      <c r="P3465"/>
      <c r="Q3465"/>
      <c r="R3465"/>
    </row>
    <row r="3466" spans="14:18" x14ac:dyDescent="0.25">
      <c r="N3466"/>
      <c r="O3466"/>
      <c r="P3466"/>
      <c r="Q3466"/>
      <c r="R3466"/>
    </row>
    <row r="3467" spans="14:18" x14ac:dyDescent="0.25">
      <c r="N3467"/>
      <c r="O3467"/>
      <c r="P3467"/>
      <c r="Q3467"/>
      <c r="R3467"/>
    </row>
    <row r="3468" spans="14:18" x14ac:dyDescent="0.25">
      <c r="N3468"/>
      <c r="O3468"/>
      <c r="P3468"/>
      <c r="Q3468"/>
      <c r="R3468"/>
    </row>
    <row r="3469" spans="14:18" x14ac:dyDescent="0.25">
      <c r="N3469"/>
      <c r="O3469"/>
      <c r="P3469"/>
      <c r="Q3469"/>
      <c r="R3469"/>
    </row>
    <row r="3470" spans="14:18" x14ac:dyDescent="0.25">
      <c r="N3470"/>
      <c r="O3470"/>
      <c r="P3470"/>
      <c r="Q3470"/>
      <c r="R3470"/>
    </row>
    <row r="3471" spans="14:18" x14ac:dyDescent="0.25">
      <c r="N3471"/>
      <c r="O3471"/>
      <c r="P3471"/>
      <c r="Q3471"/>
      <c r="R3471"/>
    </row>
    <row r="3472" spans="14:18" x14ac:dyDescent="0.25">
      <c r="N3472"/>
      <c r="O3472"/>
      <c r="P3472"/>
      <c r="Q3472"/>
      <c r="R3472"/>
    </row>
    <row r="3473" spans="14:18" x14ac:dyDescent="0.25">
      <c r="N3473"/>
      <c r="O3473"/>
      <c r="P3473"/>
      <c r="Q3473"/>
      <c r="R3473"/>
    </row>
    <row r="3474" spans="14:18" x14ac:dyDescent="0.25">
      <c r="N3474"/>
      <c r="O3474"/>
      <c r="P3474"/>
      <c r="Q3474"/>
      <c r="R3474"/>
    </row>
    <row r="3475" spans="14:18" x14ac:dyDescent="0.25">
      <c r="N3475"/>
      <c r="O3475"/>
      <c r="P3475"/>
      <c r="Q3475"/>
      <c r="R3475"/>
    </row>
    <row r="3476" spans="14:18" x14ac:dyDescent="0.25">
      <c r="N3476"/>
      <c r="O3476"/>
      <c r="P3476"/>
      <c r="Q3476"/>
      <c r="R3476"/>
    </row>
    <row r="3477" spans="14:18" x14ac:dyDescent="0.25">
      <c r="N3477"/>
      <c r="O3477"/>
      <c r="P3477"/>
      <c r="Q3477"/>
      <c r="R3477"/>
    </row>
    <row r="3478" spans="14:18" x14ac:dyDescent="0.25">
      <c r="N3478"/>
      <c r="O3478"/>
      <c r="P3478"/>
      <c r="Q3478"/>
      <c r="R3478"/>
    </row>
    <row r="3479" spans="14:18" x14ac:dyDescent="0.25">
      <c r="N3479"/>
      <c r="O3479"/>
      <c r="P3479"/>
      <c r="Q3479"/>
      <c r="R3479"/>
    </row>
    <row r="3480" spans="14:18" x14ac:dyDescent="0.25">
      <c r="N3480"/>
      <c r="O3480"/>
      <c r="P3480"/>
      <c r="Q3480"/>
      <c r="R3480"/>
    </row>
    <row r="3481" spans="14:18" x14ac:dyDescent="0.25">
      <c r="N3481"/>
      <c r="O3481"/>
      <c r="P3481"/>
      <c r="Q3481"/>
      <c r="R3481"/>
    </row>
    <row r="3482" spans="14:18" x14ac:dyDescent="0.25">
      <c r="N3482"/>
      <c r="O3482"/>
      <c r="P3482"/>
      <c r="Q3482"/>
      <c r="R3482"/>
    </row>
    <row r="3483" spans="14:18" x14ac:dyDescent="0.25">
      <c r="N3483"/>
      <c r="O3483"/>
      <c r="P3483"/>
      <c r="Q3483"/>
      <c r="R3483"/>
    </row>
    <row r="3484" spans="14:18" x14ac:dyDescent="0.25">
      <c r="N3484"/>
      <c r="O3484"/>
      <c r="P3484"/>
      <c r="Q3484"/>
      <c r="R3484"/>
    </row>
    <row r="3485" spans="14:18" x14ac:dyDescent="0.25">
      <c r="N3485"/>
      <c r="O3485"/>
      <c r="P3485"/>
      <c r="Q3485"/>
      <c r="R3485"/>
    </row>
    <row r="3486" spans="14:18" x14ac:dyDescent="0.25">
      <c r="N3486"/>
      <c r="O3486"/>
      <c r="P3486"/>
      <c r="Q3486"/>
      <c r="R3486"/>
    </row>
    <row r="3487" spans="14:18" x14ac:dyDescent="0.25">
      <c r="N3487"/>
      <c r="O3487"/>
      <c r="P3487"/>
      <c r="Q3487"/>
      <c r="R3487"/>
    </row>
    <row r="3488" spans="14:18" x14ac:dyDescent="0.25">
      <c r="N3488"/>
      <c r="O3488"/>
      <c r="P3488"/>
      <c r="Q3488"/>
      <c r="R3488"/>
    </row>
    <row r="3489" spans="14:18" x14ac:dyDescent="0.25">
      <c r="N3489"/>
      <c r="O3489"/>
      <c r="P3489"/>
      <c r="Q3489"/>
      <c r="R3489"/>
    </row>
    <row r="3490" spans="14:18" x14ac:dyDescent="0.25">
      <c r="N3490"/>
      <c r="O3490"/>
      <c r="P3490"/>
      <c r="Q3490"/>
      <c r="R3490"/>
    </row>
    <row r="3491" spans="14:18" x14ac:dyDescent="0.25">
      <c r="N3491"/>
      <c r="O3491"/>
      <c r="P3491"/>
      <c r="Q3491"/>
      <c r="R3491"/>
    </row>
    <row r="3492" spans="14:18" x14ac:dyDescent="0.25">
      <c r="N3492"/>
      <c r="O3492"/>
      <c r="P3492"/>
      <c r="Q3492"/>
      <c r="R3492"/>
    </row>
    <row r="3493" spans="14:18" x14ac:dyDescent="0.25">
      <c r="N3493"/>
      <c r="O3493"/>
      <c r="P3493"/>
      <c r="Q3493"/>
      <c r="R3493"/>
    </row>
    <row r="3494" spans="14:18" x14ac:dyDescent="0.25">
      <c r="N3494"/>
      <c r="O3494"/>
      <c r="P3494"/>
      <c r="Q3494"/>
      <c r="R3494"/>
    </row>
    <row r="3495" spans="14:18" x14ac:dyDescent="0.25">
      <c r="N3495"/>
      <c r="O3495"/>
      <c r="P3495"/>
      <c r="Q3495"/>
      <c r="R3495"/>
    </row>
    <row r="3496" spans="14:18" x14ac:dyDescent="0.25">
      <c r="N3496"/>
      <c r="O3496"/>
      <c r="P3496"/>
      <c r="Q3496"/>
      <c r="R3496"/>
    </row>
    <row r="3497" spans="14:18" x14ac:dyDescent="0.25">
      <c r="N3497"/>
      <c r="O3497"/>
      <c r="P3497"/>
      <c r="Q3497"/>
      <c r="R3497"/>
    </row>
    <row r="3498" spans="14:18" x14ac:dyDescent="0.25">
      <c r="N3498"/>
      <c r="O3498"/>
      <c r="P3498"/>
      <c r="Q3498"/>
      <c r="R3498"/>
    </row>
    <row r="3499" spans="14:18" x14ac:dyDescent="0.25">
      <c r="N3499"/>
      <c r="O3499"/>
      <c r="P3499"/>
      <c r="Q3499"/>
      <c r="R3499"/>
    </row>
    <row r="3500" spans="14:18" x14ac:dyDescent="0.25">
      <c r="N3500"/>
      <c r="O3500"/>
      <c r="P3500"/>
      <c r="Q3500"/>
      <c r="R3500"/>
    </row>
    <row r="3501" spans="14:18" x14ac:dyDescent="0.25">
      <c r="N3501"/>
      <c r="O3501"/>
      <c r="P3501"/>
      <c r="Q3501"/>
      <c r="R3501"/>
    </row>
    <row r="3502" spans="14:18" x14ac:dyDescent="0.25">
      <c r="N3502"/>
      <c r="O3502"/>
      <c r="P3502"/>
      <c r="Q3502"/>
      <c r="R3502"/>
    </row>
    <row r="3503" spans="14:18" x14ac:dyDescent="0.25">
      <c r="N3503"/>
      <c r="O3503"/>
      <c r="P3503"/>
      <c r="Q3503"/>
      <c r="R3503"/>
    </row>
    <row r="3504" spans="14:18" x14ac:dyDescent="0.25">
      <c r="N3504"/>
      <c r="O3504"/>
      <c r="P3504"/>
      <c r="Q3504"/>
      <c r="R3504"/>
    </row>
    <row r="3505" spans="14:18" x14ac:dyDescent="0.25">
      <c r="N3505"/>
      <c r="O3505"/>
      <c r="P3505"/>
      <c r="Q3505"/>
      <c r="R3505"/>
    </row>
    <row r="3506" spans="14:18" x14ac:dyDescent="0.25">
      <c r="N3506"/>
      <c r="O3506"/>
      <c r="P3506"/>
      <c r="Q3506"/>
      <c r="R3506"/>
    </row>
    <row r="3507" spans="14:18" x14ac:dyDescent="0.25">
      <c r="N3507"/>
      <c r="O3507"/>
      <c r="P3507"/>
      <c r="Q3507"/>
      <c r="R3507"/>
    </row>
    <row r="3508" spans="14:18" x14ac:dyDescent="0.25">
      <c r="N3508"/>
      <c r="O3508"/>
      <c r="P3508"/>
      <c r="Q3508"/>
      <c r="R3508"/>
    </row>
    <row r="3509" spans="14:18" x14ac:dyDescent="0.25">
      <c r="N3509"/>
      <c r="O3509"/>
      <c r="P3509"/>
      <c r="Q3509"/>
      <c r="R3509"/>
    </row>
    <row r="3510" spans="14:18" x14ac:dyDescent="0.25">
      <c r="N3510"/>
      <c r="O3510"/>
      <c r="P3510"/>
      <c r="Q3510"/>
      <c r="R3510"/>
    </row>
    <row r="3511" spans="14:18" x14ac:dyDescent="0.25">
      <c r="N3511"/>
      <c r="O3511"/>
      <c r="P3511"/>
      <c r="Q3511"/>
      <c r="R3511"/>
    </row>
    <row r="3512" spans="14:18" x14ac:dyDescent="0.25">
      <c r="N3512"/>
      <c r="O3512"/>
      <c r="P3512"/>
      <c r="Q3512"/>
      <c r="R3512"/>
    </row>
    <row r="3513" spans="14:18" x14ac:dyDescent="0.25">
      <c r="N3513"/>
      <c r="O3513"/>
      <c r="P3513"/>
      <c r="Q3513"/>
      <c r="R3513"/>
    </row>
    <row r="3514" spans="14:18" x14ac:dyDescent="0.25">
      <c r="N3514"/>
      <c r="O3514"/>
      <c r="P3514"/>
      <c r="Q3514"/>
      <c r="R3514"/>
    </row>
    <row r="3515" spans="14:18" x14ac:dyDescent="0.25">
      <c r="N3515"/>
      <c r="O3515"/>
      <c r="P3515"/>
      <c r="Q3515"/>
      <c r="R3515"/>
    </row>
    <row r="3516" spans="14:18" x14ac:dyDescent="0.25">
      <c r="N3516"/>
      <c r="O3516"/>
      <c r="P3516"/>
      <c r="Q3516"/>
      <c r="R3516"/>
    </row>
    <row r="3517" spans="14:18" x14ac:dyDescent="0.25">
      <c r="N3517"/>
      <c r="O3517"/>
      <c r="P3517"/>
      <c r="Q3517"/>
      <c r="R3517"/>
    </row>
    <row r="3518" spans="14:18" x14ac:dyDescent="0.25">
      <c r="N3518"/>
      <c r="O3518"/>
      <c r="P3518"/>
      <c r="Q3518"/>
      <c r="R3518"/>
    </row>
    <row r="3519" spans="14:18" x14ac:dyDescent="0.25">
      <c r="N3519"/>
      <c r="O3519"/>
      <c r="P3519"/>
      <c r="Q3519"/>
      <c r="R3519"/>
    </row>
    <row r="3520" spans="14:18" x14ac:dyDescent="0.25">
      <c r="N3520"/>
      <c r="O3520"/>
      <c r="P3520"/>
      <c r="Q3520"/>
      <c r="R3520"/>
    </row>
    <row r="3521" spans="14:18" x14ac:dyDescent="0.25">
      <c r="N3521"/>
      <c r="O3521"/>
      <c r="P3521"/>
      <c r="Q3521"/>
      <c r="R3521"/>
    </row>
    <row r="3522" spans="14:18" x14ac:dyDescent="0.25">
      <c r="N3522"/>
      <c r="O3522"/>
      <c r="P3522"/>
      <c r="Q3522"/>
      <c r="R3522"/>
    </row>
    <row r="3523" spans="14:18" x14ac:dyDescent="0.25">
      <c r="N3523"/>
      <c r="O3523"/>
      <c r="P3523"/>
      <c r="Q3523"/>
      <c r="R3523"/>
    </row>
    <row r="3524" spans="14:18" x14ac:dyDescent="0.25">
      <c r="N3524"/>
      <c r="O3524"/>
      <c r="P3524"/>
      <c r="Q3524"/>
      <c r="R3524"/>
    </row>
    <row r="3525" spans="14:18" x14ac:dyDescent="0.25">
      <c r="N3525"/>
      <c r="O3525"/>
      <c r="P3525"/>
      <c r="Q3525"/>
      <c r="R3525"/>
    </row>
    <row r="3526" spans="14:18" x14ac:dyDescent="0.25">
      <c r="N3526"/>
      <c r="O3526"/>
      <c r="P3526"/>
      <c r="Q3526"/>
      <c r="R3526"/>
    </row>
    <row r="3527" spans="14:18" x14ac:dyDescent="0.25">
      <c r="N3527"/>
      <c r="O3527"/>
      <c r="P3527"/>
      <c r="Q3527"/>
      <c r="R3527"/>
    </row>
    <row r="3528" spans="14:18" x14ac:dyDescent="0.25">
      <c r="N3528"/>
      <c r="O3528"/>
      <c r="P3528"/>
      <c r="Q3528"/>
      <c r="R3528"/>
    </row>
    <row r="3529" spans="14:18" x14ac:dyDescent="0.25">
      <c r="N3529"/>
      <c r="O3529"/>
      <c r="P3529"/>
      <c r="Q3529"/>
      <c r="R3529"/>
    </row>
    <row r="3530" spans="14:18" x14ac:dyDescent="0.25">
      <c r="N3530"/>
      <c r="O3530"/>
      <c r="P3530"/>
      <c r="Q3530"/>
      <c r="R3530"/>
    </row>
    <row r="3531" spans="14:18" x14ac:dyDescent="0.25">
      <c r="N3531"/>
      <c r="O3531"/>
      <c r="P3531"/>
      <c r="Q3531"/>
      <c r="R3531"/>
    </row>
    <row r="3532" spans="14:18" x14ac:dyDescent="0.25">
      <c r="N3532"/>
      <c r="O3532"/>
      <c r="P3532"/>
      <c r="Q3532"/>
      <c r="R3532"/>
    </row>
    <row r="3533" spans="14:18" x14ac:dyDescent="0.25">
      <c r="N3533"/>
      <c r="O3533"/>
      <c r="P3533"/>
      <c r="Q3533"/>
      <c r="R3533"/>
    </row>
    <row r="3534" spans="14:18" x14ac:dyDescent="0.25">
      <c r="N3534"/>
      <c r="O3534"/>
      <c r="P3534"/>
      <c r="Q3534"/>
      <c r="R3534"/>
    </row>
    <row r="3535" spans="14:18" x14ac:dyDescent="0.25">
      <c r="N3535"/>
      <c r="O3535"/>
      <c r="P3535"/>
      <c r="Q3535"/>
      <c r="R3535"/>
    </row>
    <row r="3536" spans="14:18" x14ac:dyDescent="0.25">
      <c r="N3536"/>
      <c r="O3536"/>
      <c r="P3536"/>
      <c r="Q3536"/>
      <c r="R3536"/>
    </row>
    <row r="3537" spans="14:18" x14ac:dyDescent="0.25">
      <c r="N3537"/>
      <c r="O3537"/>
      <c r="P3537"/>
      <c r="Q3537"/>
      <c r="R3537"/>
    </row>
    <row r="3538" spans="14:18" x14ac:dyDescent="0.25">
      <c r="N3538"/>
      <c r="O3538"/>
      <c r="P3538"/>
      <c r="Q3538"/>
      <c r="R3538"/>
    </row>
    <row r="3539" spans="14:18" x14ac:dyDescent="0.25">
      <c r="N3539"/>
      <c r="O3539"/>
      <c r="P3539"/>
      <c r="Q3539"/>
      <c r="R3539"/>
    </row>
    <row r="3540" spans="14:18" x14ac:dyDescent="0.25">
      <c r="N3540"/>
      <c r="O3540"/>
      <c r="P3540"/>
      <c r="Q3540"/>
      <c r="R3540"/>
    </row>
    <row r="3541" spans="14:18" x14ac:dyDescent="0.25">
      <c r="N3541"/>
      <c r="O3541"/>
      <c r="P3541"/>
      <c r="Q3541"/>
      <c r="R3541"/>
    </row>
    <row r="3542" spans="14:18" x14ac:dyDescent="0.25">
      <c r="N3542"/>
      <c r="O3542"/>
      <c r="P3542"/>
      <c r="Q3542"/>
      <c r="R3542"/>
    </row>
    <row r="3543" spans="14:18" x14ac:dyDescent="0.25">
      <c r="N3543"/>
      <c r="O3543"/>
      <c r="P3543"/>
      <c r="Q3543"/>
      <c r="R3543"/>
    </row>
    <row r="3544" spans="14:18" x14ac:dyDescent="0.25">
      <c r="N3544"/>
      <c r="O3544"/>
      <c r="P3544"/>
      <c r="Q3544"/>
      <c r="R3544"/>
    </row>
    <row r="3545" spans="14:18" x14ac:dyDescent="0.25">
      <c r="N3545"/>
      <c r="O3545"/>
      <c r="P3545"/>
      <c r="Q3545"/>
      <c r="R3545"/>
    </row>
    <row r="3546" spans="14:18" x14ac:dyDescent="0.25">
      <c r="N3546"/>
      <c r="O3546"/>
      <c r="P3546"/>
      <c r="Q3546"/>
      <c r="R3546"/>
    </row>
    <row r="3547" spans="14:18" x14ac:dyDescent="0.25">
      <c r="N3547"/>
      <c r="O3547"/>
      <c r="P3547"/>
      <c r="Q3547"/>
      <c r="R3547"/>
    </row>
    <row r="3548" spans="14:18" x14ac:dyDescent="0.25">
      <c r="N3548"/>
      <c r="O3548"/>
      <c r="P3548"/>
      <c r="Q3548"/>
      <c r="R3548"/>
    </row>
    <row r="3549" spans="14:18" x14ac:dyDescent="0.25">
      <c r="N3549"/>
      <c r="O3549"/>
      <c r="P3549"/>
      <c r="Q3549"/>
      <c r="R3549"/>
    </row>
    <row r="3550" spans="14:18" x14ac:dyDescent="0.25">
      <c r="N3550"/>
      <c r="O3550"/>
      <c r="P3550"/>
      <c r="Q3550"/>
      <c r="R3550"/>
    </row>
    <row r="3551" spans="14:18" x14ac:dyDescent="0.25">
      <c r="N3551"/>
      <c r="O3551"/>
      <c r="P3551"/>
      <c r="Q3551"/>
      <c r="R3551"/>
    </row>
    <row r="3552" spans="14:18" x14ac:dyDescent="0.25">
      <c r="N3552"/>
      <c r="O3552"/>
      <c r="P3552"/>
      <c r="Q3552"/>
      <c r="R3552"/>
    </row>
    <row r="3553" spans="14:18" x14ac:dyDescent="0.25">
      <c r="N3553"/>
      <c r="O3553"/>
      <c r="P3553"/>
      <c r="Q3553"/>
      <c r="R3553"/>
    </row>
    <row r="3554" spans="14:18" x14ac:dyDescent="0.25">
      <c r="N3554"/>
      <c r="O3554"/>
      <c r="P3554"/>
      <c r="Q3554"/>
      <c r="R3554"/>
    </row>
    <row r="3555" spans="14:18" x14ac:dyDescent="0.25">
      <c r="N3555"/>
      <c r="O3555"/>
      <c r="P3555"/>
      <c r="Q3555"/>
      <c r="R3555"/>
    </row>
    <row r="3556" spans="14:18" x14ac:dyDescent="0.25">
      <c r="N3556"/>
      <c r="O3556"/>
      <c r="P3556"/>
      <c r="Q3556"/>
      <c r="R3556"/>
    </row>
    <row r="3557" spans="14:18" x14ac:dyDescent="0.25">
      <c r="N3557"/>
      <c r="O3557"/>
      <c r="P3557"/>
      <c r="Q3557"/>
      <c r="R3557"/>
    </row>
    <row r="3558" spans="14:18" x14ac:dyDescent="0.25">
      <c r="N3558"/>
      <c r="O3558"/>
      <c r="P3558"/>
      <c r="Q3558"/>
      <c r="R3558"/>
    </row>
    <row r="3559" spans="14:18" x14ac:dyDescent="0.25">
      <c r="N3559"/>
      <c r="O3559"/>
      <c r="P3559"/>
      <c r="Q3559"/>
      <c r="R3559"/>
    </row>
    <row r="3560" spans="14:18" x14ac:dyDescent="0.25">
      <c r="N3560"/>
      <c r="O3560"/>
      <c r="P3560"/>
      <c r="Q3560"/>
      <c r="R3560"/>
    </row>
    <row r="3561" spans="14:18" x14ac:dyDescent="0.25">
      <c r="N3561"/>
      <c r="O3561"/>
      <c r="P3561"/>
      <c r="Q3561"/>
      <c r="R3561"/>
    </row>
    <row r="3562" spans="14:18" x14ac:dyDescent="0.25">
      <c r="N3562"/>
      <c r="O3562"/>
      <c r="P3562"/>
      <c r="Q3562"/>
      <c r="R3562"/>
    </row>
    <row r="3563" spans="14:18" x14ac:dyDescent="0.25">
      <c r="N3563"/>
      <c r="O3563"/>
      <c r="P3563"/>
      <c r="Q3563"/>
      <c r="R3563"/>
    </row>
    <row r="3564" spans="14:18" x14ac:dyDescent="0.25">
      <c r="N3564"/>
      <c r="O3564"/>
      <c r="P3564"/>
      <c r="Q3564"/>
      <c r="R3564"/>
    </row>
    <row r="3565" spans="14:18" x14ac:dyDescent="0.25">
      <c r="N3565"/>
      <c r="O3565"/>
      <c r="P3565"/>
      <c r="Q3565"/>
      <c r="R3565"/>
    </row>
    <row r="3566" spans="14:18" x14ac:dyDescent="0.25">
      <c r="N3566"/>
      <c r="O3566"/>
      <c r="P3566"/>
      <c r="Q3566"/>
      <c r="R3566"/>
    </row>
    <row r="3567" spans="14:18" x14ac:dyDescent="0.25">
      <c r="N3567"/>
      <c r="O3567"/>
      <c r="P3567"/>
      <c r="Q3567"/>
      <c r="R3567"/>
    </row>
    <row r="3568" spans="14:18" x14ac:dyDescent="0.25">
      <c r="N3568"/>
      <c r="O3568"/>
      <c r="P3568"/>
      <c r="Q3568"/>
      <c r="R3568"/>
    </row>
    <row r="3569" spans="14:18" x14ac:dyDescent="0.25">
      <c r="N3569"/>
      <c r="O3569"/>
      <c r="P3569"/>
      <c r="Q3569"/>
      <c r="R3569"/>
    </row>
    <row r="3570" spans="14:18" x14ac:dyDescent="0.25">
      <c r="N3570"/>
      <c r="O3570"/>
      <c r="P3570"/>
      <c r="Q3570"/>
      <c r="R3570"/>
    </row>
    <row r="3571" spans="14:18" x14ac:dyDescent="0.25">
      <c r="N3571"/>
      <c r="O3571"/>
      <c r="P3571"/>
      <c r="Q3571"/>
      <c r="R3571"/>
    </row>
    <row r="3572" spans="14:18" x14ac:dyDescent="0.25">
      <c r="N3572"/>
      <c r="O3572"/>
      <c r="P3572"/>
      <c r="Q3572"/>
      <c r="R3572"/>
    </row>
    <row r="3573" spans="14:18" x14ac:dyDescent="0.25">
      <c r="N3573"/>
      <c r="O3573"/>
      <c r="P3573"/>
      <c r="Q3573"/>
      <c r="R3573"/>
    </row>
    <row r="3574" spans="14:18" x14ac:dyDescent="0.25">
      <c r="N3574"/>
      <c r="O3574"/>
      <c r="P3574"/>
      <c r="Q3574"/>
      <c r="R3574"/>
    </row>
    <row r="3575" spans="14:18" x14ac:dyDescent="0.25">
      <c r="N3575"/>
      <c r="O3575"/>
      <c r="P3575"/>
      <c r="Q3575"/>
      <c r="R3575"/>
    </row>
    <row r="3576" spans="14:18" x14ac:dyDescent="0.25">
      <c r="N3576"/>
      <c r="O3576"/>
      <c r="P3576"/>
      <c r="Q3576"/>
      <c r="R3576"/>
    </row>
    <row r="3577" spans="14:18" x14ac:dyDescent="0.25">
      <c r="N3577"/>
      <c r="O3577"/>
      <c r="P3577"/>
      <c r="Q3577"/>
      <c r="R3577"/>
    </row>
    <row r="3578" spans="14:18" x14ac:dyDescent="0.25">
      <c r="N3578"/>
      <c r="O3578"/>
      <c r="P3578"/>
      <c r="Q3578"/>
      <c r="R3578"/>
    </row>
    <row r="3579" spans="14:18" x14ac:dyDescent="0.25">
      <c r="N3579"/>
      <c r="O3579"/>
      <c r="P3579"/>
      <c r="Q3579"/>
      <c r="R3579"/>
    </row>
    <row r="3580" spans="14:18" x14ac:dyDescent="0.25">
      <c r="N3580"/>
      <c r="O3580"/>
      <c r="P3580"/>
      <c r="Q3580"/>
      <c r="R3580"/>
    </row>
    <row r="3581" spans="14:18" x14ac:dyDescent="0.25">
      <c r="N3581"/>
      <c r="O3581"/>
      <c r="P3581"/>
      <c r="Q3581"/>
      <c r="R3581"/>
    </row>
    <row r="3582" spans="14:18" x14ac:dyDescent="0.25">
      <c r="N3582"/>
      <c r="O3582"/>
      <c r="P3582"/>
      <c r="Q3582"/>
      <c r="R3582"/>
    </row>
    <row r="3583" spans="14:18" x14ac:dyDescent="0.25">
      <c r="N3583"/>
      <c r="O3583"/>
      <c r="P3583"/>
      <c r="Q3583"/>
      <c r="R3583"/>
    </row>
    <row r="3584" spans="14:18" x14ac:dyDescent="0.25">
      <c r="N3584"/>
      <c r="O3584"/>
      <c r="P3584"/>
      <c r="Q3584"/>
      <c r="R3584"/>
    </row>
    <row r="3585" spans="14:18" x14ac:dyDescent="0.25">
      <c r="N3585"/>
      <c r="O3585"/>
      <c r="P3585"/>
      <c r="Q3585"/>
      <c r="R3585"/>
    </row>
    <row r="3586" spans="14:18" x14ac:dyDescent="0.25">
      <c r="N3586"/>
      <c r="O3586"/>
      <c r="P3586"/>
      <c r="Q3586"/>
      <c r="R3586"/>
    </row>
    <row r="3587" spans="14:18" x14ac:dyDescent="0.25">
      <c r="N3587"/>
      <c r="O3587"/>
      <c r="P3587"/>
      <c r="Q3587"/>
      <c r="R3587"/>
    </row>
    <row r="3588" spans="14:18" x14ac:dyDescent="0.25">
      <c r="N3588"/>
      <c r="O3588"/>
      <c r="P3588"/>
      <c r="Q3588"/>
      <c r="R3588"/>
    </row>
    <row r="3589" spans="14:18" x14ac:dyDescent="0.25">
      <c r="N3589"/>
      <c r="O3589"/>
      <c r="P3589"/>
      <c r="Q3589"/>
      <c r="R3589"/>
    </row>
    <row r="3590" spans="14:18" x14ac:dyDescent="0.25">
      <c r="N3590"/>
      <c r="O3590"/>
      <c r="P3590"/>
      <c r="Q3590"/>
      <c r="R3590"/>
    </row>
    <row r="3591" spans="14:18" x14ac:dyDescent="0.25">
      <c r="N3591"/>
      <c r="O3591"/>
      <c r="P3591"/>
      <c r="Q3591"/>
      <c r="R3591"/>
    </row>
    <row r="3592" spans="14:18" x14ac:dyDescent="0.25">
      <c r="N3592"/>
      <c r="O3592"/>
      <c r="P3592"/>
      <c r="Q3592"/>
      <c r="R3592"/>
    </row>
    <row r="3593" spans="14:18" x14ac:dyDescent="0.25">
      <c r="N3593"/>
      <c r="O3593"/>
      <c r="P3593"/>
      <c r="Q3593"/>
      <c r="R3593"/>
    </row>
    <row r="3594" spans="14:18" x14ac:dyDescent="0.25">
      <c r="N3594"/>
      <c r="O3594"/>
      <c r="P3594"/>
      <c r="Q3594"/>
      <c r="R3594"/>
    </row>
    <row r="3595" spans="14:18" x14ac:dyDescent="0.25">
      <c r="N3595"/>
      <c r="O3595"/>
      <c r="P3595"/>
      <c r="Q3595"/>
      <c r="R3595"/>
    </row>
    <row r="3596" spans="14:18" x14ac:dyDescent="0.25">
      <c r="N3596"/>
      <c r="O3596"/>
      <c r="P3596"/>
      <c r="Q3596"/>
      <c r="R3596"/>
    </row>
    <row r="3597" spans="14:18" x14ac:dyDescent="0.25">
      <c r="N3597"/>
      <c r="O3597"/>
      <c r="P3597"/>
      <c r="Q3597"/>
      <c r="R3597"/>
    </row>
    <row r="3598" spans="14:18" x14ac:dyDescent="0.25">
      <c r="N3598"/>
      <c r="O3598"/>
      <c r="P3598"/>
      <c r="Q3598"/>
      <c r="R3598"/>
    </row>
    <row r="3599" spans="14:18" x14ac:dyDescent="0.25">
      <c r="N3599"/>
      <c r="O3599"/>
      <c r="P3599"/>
      <c r="Q3599"/>
      <c r="R3599"/>
    </row>
    <row r="3600" spans="14:18" x14ac:dyDescent="0.25">
      <c r="N3600"/>
      <c r="O3600"/>
      <c r="P3600"/>
      <c r="Q3600"/>
      <c r="R3600"/>
    </row>
    <row r="3601" spans="14:18" x14ac:dyDescent="0.25">
      <c r="N3601"/>
      <c r="O3601"/>
      <c r="P3601"/>
      <c r="Q3601"/>
      <c r="R3601"/>
    </row>
    <row r="3602" spans="14:18" x14ac:dyDescent="0.25">
      <c r="N3602"/>
      <c r="O3602"/>
      <c r="P3602"/>
      <c r="Q3602"/>
      <c r="R3602"/>
    </row>
    <row r="3603" spans="14:18" x14ac:dyDescent="0.25">
      <c r="N3603"/>
      <c r="O3603"/>
      <c r="P3603"/>
      <c r="Q3603"/>
      <c r="R3603"/>
    </row>
    <row r="3604" spans="14:18" x14ac:dyDescent="0.25">
      <c r="N3604"/>
      <c r="O3604"/>
      <c r="P3604"/>
      <c r="Q3604"/>
      <c r="R3604"/>
    </row>
    <row r="3605" spans="14:18" x14ac:dyDescent="0.25">
      <c r="N3605"/>
      <c r="O3605"/>
      <c r="P3605"/>
      <c r="Q3605"/>
      <c r="R3605"/>
    </row>
    <row r="3606" spans="14:18" x14ac:dyDescent="0.25">
      <c r="N3606"/>
      <c r="O3606"/>
      <c r="P3606"/>
      <c r="Q3606"/>
      <c r="R3606"/>
    </row>
    <row r="3607" spans="14:18" x14ac:dyDescent="0.25">
      <c r="N3607"/>
      <c r="O3607"/>
      <c r="P3607"/>
      <c r="Q3607"/>
      <c r="R3607"/>
    </row>
    <row r="3608" spans="14:18" x14ac:dyDescent="0.25">
      <c r="N3608"/>
      <c r="O3608"/>
      <c r="P3608"/>
      <c r="Q3608"/>
      <c r="R3608"/>
    </row>
    <row r="3609" spans="14:18" x14ac:dyDescent="0.25">
      <c r="N3609"/>
      <c r="O3609"/>
      <c r="P3609"/>
      <c r="Q3609"/>
      <c r="R3609"/>
    </row>
    <row r="3610" spans="14:18" x14ac:dyDescent="0.25">
      <c r="N3610"/>
      <c r="O3610"/>
      <c r="P3610"/>
      <c r="Q3610"/>
      <c r="R3610"/>
    </row>
    <row r="3611" spans="14:18" x14ac:dyDescent="0.25">
      <c r="N3611"/>
      <c r="O3611"/>
      <c r="P3611"/>
      <c r="Q3611"/>
      <c r="R3611"/>
    </row>
    <row r="3612" spans="14:18" x14ac:dyDescent="0.25">
      <c r="N3612"/>
      <c r="O3612"/>
      <c r="P3612"/>
      <c r="Q3612"/>
      <c r="R3612"/>
    </row>
    <row r="3613" spans="14:18" x14ac:dyDescent="0.25">
      <c r="N3613"/>
      <c r="O3613"/>
      <c r="P3613"/>
      <c r="Q3613"/>
      <c r="R3613"/>
    </row>
    <row r="3614" spans="14:18" x14ac:dyDescent="0.25">
      <c r="N3614"/>
      <c r="O3614"/>
      <c r="P3614"/>
      <c r="Q3614"/>
      <c r="R3614"/>
    </row>
    <row r="3615" spans="14:18" x14ac:dyDescent="0.25">
      <c r="N3615"/>
      <c r="O3615"/>
      <c r="P3615"/>
      <c r="Q3615"/>
      <c r="R3615"/>
    </row>
    <row r="3616" spans="14:18" x14ac:dyDescent="0.25">
      <c r="N3616"/>
      <c r="O3616"/>
      <c r="P3616"/>
      <c r="Q3616"/>
      <c r="R3616"/>
    </row>
    <row r="3617" spans="14:18" x14ac:dyDescent="0.25">
      <c r="N3617"/>
      <c r="O3617"/>
      <c r="P3617"/>
      <c r="Q3617"/>
      <c r="R3617"/>
    </row>
    <row r="3618" spans="14:18" x14ac:dyDescent="0.25">
      <c r="N3618"/>
      <c r="O3618"/>
      <c r="P3618"/>
      <c r="Q3618"/>
      <c r="R3618"/>
    </row>
    <row r="3619" spans="14:18" x14ac:dyDescent="0.25">
      <c r="N3619"/>
      <c r="O3619"/>
      <c r="P3619"/>
      <c r="Q3619"/>
      <c r="R3619"/>
    </row>
    <row r="3620" spans="14:18" x14ac:dyDescent="0.25">
      <c r="N3620"/>
      <c r="O3620"/>
      <c r="P3620"/>
      <c r="Q3620"/>
      <c r="R3620"/>
    </row>
    <row r="3621" spans="14:18" x14ac:dyDescent="0.25">
      <c r="N3621"/>
      <c r="O3621"/>
      <c r="P3621"/>
      <c r="Q3621"/>
      <c r="R3621"/>
    </row>
    <row r="3622" spans="14:18" x14ac:dyDescent="0.25">
      <c r="N3622"/>
      <c r="O3622"/>
      <c r="P3622"/>
      <c r="Q3622"/>
      <c r="R3622"/>
    </row>
    <row r="3623" spans="14:18" x14ac:dyDescent="0.25">
      <c r="N3623"/>
      <c r="O3623"/>
      <c r="P3623"/>
      <c r="Q3623"/>
      <c r="R3623"/>
    </row>
    <row r="3624" spans="14:18" x14ac:dyDescent="0.25">
      <c r="N3624"/>
      <c r="O3624"/>
      <c r="P3624"/>
      <c r="Q3624"/>
      <c r="R3624"/>
    </row>
    <row r="3625" spans="14:18" x14ac:dyDescent="0.25">
      <c r="N3625"/>
      <c r="O3625"/>
      <c r="P3625"/>
      <c r="Q3625"/>
      <c r="R3625"/>
    </row>
    <row r="3626" spans="14:18" x14ac:dyDescent="0.25">
      <c r="N3626"/>
      <c r="O3626"/>
      <c r="P3626"/>
      <c r="Q3626"/>
      <c r="R3626"/>
    </row>
    <row r="3627" spans="14:18" x14ac:dyDescent="0.25">
      <c r="N3627"/>
      <c r="O3627"/>
      <c r="P3627"/>
      <c r="Q3627"/>
      <c r="R3627"/>
    </row>
    <row r="3628" spans="14:18" x14ac:dyDescent="0.25">
      <c r="N3628"/>
      <c r="O3628"/>
      <c r="P3628"/>
      <c r="Q3628"/>
      <c r="R3628"/>
    </row>
    <row r="3629" spans="14:18" x14ac:dyDescent="0.25">
      <c r="N3629"/>
      <c r="O3629"/>
      <c r="P3629"/>
      <c r="Q3629"/>
      <c r="R3629"/>
    </row>
    <row r="3630" spans="14:18" x14ac:dyDescent="0.25">
      <c r="N3630"/>
      <c r="O3630"/>
      <c r="P3630"/>
      <c r="Q3630"/>
      <c r="R3630"/>
    </row>
    <row r="3631" spans="14:18" x14ac:dyDescent="0.25">
      <c r="N3631"/>
      <c r="O3631"/>
      <c r="P3631"/>
      <c r="Q3631"/>
      <c r="R3631"/>
    </row>
    <row r="3632" spans="14:18" x14ac:dyDescent="0.25">
      <c r="N3632"/>
      <c r="O3632"/>
      <c r="P3632"/>
      <c r="Q3632"/>
      <c r="R3632"/>
    </row>
    <row r="3633" spans="14:18" x14ac:dyDescent="0.25">
      <c r="N3633"/>
      <c r="O3633"/>
      <c r="P3633"/>
      <c r="Q3633"/>
      <c r="R3633"/>
    </row>
    <row r="3634" spans="14:18" x14ac:dyDescent="0.25">
      <c r="N3634"/>
      <c r="O3634"/>
      <c r="P3634"/>
      <c r="Q3634"/>
      <c r="R3634"/>
    </row>
    <row r="3635" spans="14:18" x14ac:dyDescent="0.25">
      <c r="N3635"/>
      <c r="O3635"/>
      <c r="P3635"/>
      <c r="Q3635"/>
      <c r="R3635"/>
    </row>
    <row r="3636" spans="14:18" x14ac:dyDescent="0.25">
      <c r="N3636"/>
      <c r="O3636"/>
      <c r="P3636"/>
      <c r="Q3636"/>
      <c r="R3636"/>
    </row>
    <row r="3637" spans="14:18" x14ac:dyDescent="0.25">
      <c r="N3637"/>
      <c r="O3637"/>
      <c r="P3637"/>
      <c r="Q3637"/>
      <c r="R3637"/>
    </row>
    <row r="3638" spans="14:18" x14ac:dyDescent="0.25">
      <c r="N3638"/>
      <c r="O3638"/>
      <c r="P3638"/>
      <c r="Q3638"/>
      <c r="R3638"/>
    </row>
    <row r="3639" spans="14:18" x14ac:dyDescent="0.25">
      <c r="N3639"/>
      <c r="O3639"/>
      <c r="P3639"/>
      <c r="Q3639"/>
      <c r="R3639"/>
    </row>
    <row r="3640" spans="14:18" x14ac:dyDescent="0.25">
      <c r="N3640"/>
      <c r="O3640"/>
      <c r="P3640"/>
      <c r="Q3640"/>
      <c r="R3640"/>
    </row>
    <row r="3641" spans="14:18" x14ac:dyDescent="0.25">
      <c r="N3641"/>
      <c r="O3641"/>
      <c r="P3641"/>
      <c r="Q3641"/>
      <c r="R3641"/>
    </row>
    <row r="3642" spans="14:18" x14ac:dyDescent="0.25">
      <c r="N3642"/>
      <c r="O3642"/>
      <c r="P3642"/>
      <c r="Q3642"/>
      <c r="R3642"/>
    </row>
    <row r="3643" spans="14:18" x14ac:dyDescent="0.25">
      <c r="N3643"/>
      <c r="O3643"/>
      <c r="P3643"/>
      <c r="Q3643"/>
      <c r="R3643"/>
    </row>
    <row r="3644" spans="14:18" x14ac:dyDescent="0.25">
      <c r="N3644"/>
      <c r="O3644"/>
      <c r="P3644"/>
      <c r="Q3644"/>
      <c r="R3644"/>
    </row>
    <row r="3645" spans="14:18" x14ac:dyDescent="0.25">
      <c r="N3645"/>
      <c r="O3645"/>
      <c r="P3645"/>
      <c r="Q3645"/>
      <c r="R3645"/>
    </row>
    <row r="3646" spans="14:18" x14ac:dyDescent="0.25">
      <c r="N3646"/>
      <c r="O3646"/>
      <c r="P3646"/>
      <c r="Q3646"/>
      <c r="R3646"/>
    </row>
    <row r="3647" spans="14:18" x14ac:dyDescent="0.25">
      <c r="N3647"/>
      <c r="O3647"/>
      <c r="P3647"/>
      <c r="Q3647"/>
      <c r="R3647"/>
    </row>
    <row r="3648" spans="14:18" x14ac:dyDescent="0.25">
      <c r="N3648"/>
      <c r="O3648"/>
      <c r="P3648"/>
      <c r="Q3648"/>
      <c r="R3648"/>
    </row>
    <row r="3649" spans="14:18" x14ac:dyDescent="0.25">
      <c r="N3649"/>
      <c r="O3649"/>
      <c r="P3649"/>
      <c r="Q3649"/>
      <c r="R3649"/>
    </row>
    <row r="3650" spans="14:18" x14ac:dyDescent="0.25">
      <c r="N3650"/>
      <c r="O3650"/>
      <c r="P3650"/>
      <c r="Q3650"/>
      <c r="R3650"/>
    </row>
    <row r="3651" spans="14:18" x14ac:dyDescent="0.25">
      <c r="N3651"/>
      <c r="O3651"/>
      <c r="P3651"/>
      <c r="Q3651"/>
      <c r="R3651"/>
    </row>
    <row r="3652" spans="14:18" x14ac:dyDescent="0.25">
      <c r="N3652"/>
      <c r="O3652"/>
      <c r="P3652"/>
      <c r="Q3652"/>
      <c r="R3652"/>
    </row>
    <row r="3653" spans="14:18" x14ac:dyDescent="0.25">
      <c r="N3653"/>
      <c r="O3653"/>
      <c r="P3653"/>
      <c r="Q3653"/>
      <c r="R3653"/>
    </row>
    <row r="3654" spans="14:18" x14ac:dyDescent="0.25">
      <c r="N3654"/>
      <c r="O3654"/>
      <c r="P3654"/>
      <c r="Q3654"/>
      <c r="R3654"/>
    </row>
    <row r="3655" spans="14:18" x14ac:dyDescent="0.25">
      <c r="N3655"/>
      <c r="O3655"/>
      <c r="P3655"/>
      <c r="Q3655"/>
      <c r="R3655"/>
    </row>
    <row r="3656" spans="14:18" x14ac:dyDescent="0.25">
      <c r="N3656"/>
      <c r="O3656"/>
      <c r="P3656"/>
      <c r="Q3656"/>
      <c r="R3656"/>
    </row>
    <row r="3657" spans="14:18" x14ac:dyDescent="0.25">
      <c r="N3657"/>
      <c r="O3657"/>
      <c r="P3657"/>
      <c r="Q3657"/>
      <c r="R3657"/>
    </row>
    <row r="3658" spans="14:18" x14ac:dyDescent="0.25">
      <c r="N3658"/>
      <c r="O3658"/>
      <c r="P3658"/>
      <c r="Q3658"/>
      <c r="R3658"/>
    </row>
    <row r="3659" spans="14:18" x14ac:dyDescent="0.25">
      <c r="N3659"/>
      <c r="O3659"/>
      <c r="P3659"/>
      <c r="Q3659"/>
      <c r="R3659"/>
    </row>
    <row r="3660" spans="14:18" x14ac:dyDescent="0.25">
      <c r="N3660"/>
      <c r="O3660"/>
      <c r="P3660"/>
      <c r="Q3660"/>
      <c r="R3660"/>
    </row>
    <row r="3661" spans="14:18" x14ac:dyDescent="0.25">
      <c r="N3661"/>
      <c r="O3661"/>
      <c r="P3661"/>
      <c r="Q3661"/>
      <c r="R3661"/>
    </row>
    <row r="3662" spans="14:18" x14ac:dyDescent="0.25">
      <c r="N3662"/>
      <c r="O3662"/>
      <c r="P3662"/>
      <c r="Q3662"/>
      <c r="R3662"/>
    </row>
    <row r="3663" spans="14:18" x14ac:dyDescent="0.25">
      <c r="N3663"/>
      <c r="O3663"/>
      <c r="P3663"/>
      <c r="Q3663"/>
      <c r="R3663"/>
    </row>
    <row r="3664" spans="14:18" x14ac:dyDescent="0.25">
      <c r="N3664"/>
      <c r="O3664"/>
      <c r="P3664"/>
      <c r="Q3664"/>
      <c r="R3664"/>
    </row>
    <row r="3665" spans="14:18" x14ac:dyDescent="0.25">
      <c r="N3665"/>
      <c r="O3665"/>
      <c r="P3665"/>
      <c r="Q3665"/>
      <c r="R3665"/>
    </row>
    <row r="3666" spans="14:18" x14ac:dyDescent="0.25">
      <c r="N3666"/>
      <c r="O3666"/>
      <c r="P3666"/>
      <c r="Q3666"/>
      <c r="R3666"/>
    </row>
    <row r="3667" spans="14:18" x14ac:dyDescent="0.25">
      <c r="N3667"/>
      <c r="O3667"/>
      <c r="P3667"/>
      <c r="Q3667"/>
      <c r="R3667"/>
    </row>
    <row r="3668" spans="14:18" x14ac:dyDescent="0.25">
      <c r="N3668"/>
      <c r="O3668"/>
      <c r="P3668"/>
      <c r="Q3668"/>
      <c r="R3668"/>
    </row>
    <row r="3669" spans="14:18" x14ac:dyDescent="0.25">
      <c r="N3669"/>
      <c r="O3669"/>
      <c r="P3669"/>
      <c r="Q3669"/>
      <c r="R3669"/>
    </row>
    <row r="3670" spans="14:18" x14ac:dyDescent="0.25">
      <c r="N3670"/>
      <c r="O3670"/>
      <c r="P3670"/>
      <c r="Q3670"/>
      <c r="R3670"/>
    </row>
    <row r="3671" spans="14:18" x14ac:dyDescent="0.25">
      <c r="N3671"/>
      <c r="O3671"/>
      <c r="P3671"/>
      <c r="Q3671"/>
      <c r="R3671"/>
    </row>
    <row r="3672" spans="14:18" x14ac:dyDescent="0.25">
      <c r="N3672"/>
      <c r="O3672"/>
      <c r="P3672"/>
      <c r="Q3672"/>
      <c r="R3672"/>
    </row>
    <row r="3673" spans="14:18" x14ac:dyDescent="0.25">
      <c r="N3673"/>
      <c r="O3673"/>
      <c r="P3673"/>
      <c r="Q3673"/>
      <c r="R3673"/>
    </row>
    <row r="3674" spans="14:18" x14ac:dyDescent="0.25">
      <c r="N3674"/>
      <c r="O3674"/>
      <c r="P3674"/>
      <c r="Q3674"/>
      <c r="R3674"/>
    </row>
    <row r="3675" spans="14:18" x14ac:dyDescent="0.25">
      <c r="N3675"/>
      <c r="O3675"/>
      <c r="P3675"/>
      <c r="Q3675"/>
      <c r="R3675"/>
    </row>
    <row r="3676" spans="14:18" x14ac:dyDescent="0.25">
      <c r="N3676"/>
      <c r="O3676"/>
      <c r="P3676"/>
      <c r="Q3676"/>
      <c r="R3676"/>
    </row>
    <row r="3677" spans="14:18" x14ac:dyDescent="0.25">
      <c r="N3677"/>
      <c r="O3677"/>
      <c r="P3677"/>
      <c r="Q3677"/>
      <c r="R3677"/>
    </row>
    <row r="3678" spans="14:18" x14ac:dyDescent="0.25">
      <c r="N3678"/>
      <c r="O3678"/>
      <c r="P3678"/>
      <c r="Q3678"/>
      <c r="R3678"/>
    </row>
    <row r="3679" spans="14:18" x14ac:dyDescent="0.25">
      <c r="N3679"/>
      <c r="O3679"/>
      <c r="P3679"/>
      <c r="Q3679"/>
      <c r="R3679"/>
    </row>
    <row r="3680" spans="14:18" x14ac:dyDescent="0.25">
      <c r="N3680"/>
      <c r="O3680"/>
      <c r="P3680"/>
      <c r="Q3680"/>
      <c r="R3680"/>
    </row>
    <row r="3681" spans="14:18" x14ac:dyDescent="0.25">
      <c r="N3681"/>
      <c r="O3681"/>
      <c r="P3681"/>
      <c r="Q3681"/>
      <c r="R3681"/>
    </row>
    <row r="3682" spans="14:18" x14ac:dyDescent="0.25">
      <c r="N3682"/>
      <c r="O3682"/>
      <c r="P3682"/>
      <c r="Q3682"/>
      <c r="R3682"/>
    </row>
    <row r="3683" spans="14:18" x14ac:dyDescent="0.25">
      <c r="N3683"/>
      <c r="O3683"/>
      <c r="P3683"/>
      <c r="Q3683"/>
      <c r="R3683"/>
    </row>
    <row r="3684" spans="14:18" x14ac:dyDescent="0.25">
      <c r="N3684"/>
      <c r="O3684"/>
      <c r="P3684"/>
      <c r="Q3684"/>
      <c r="R3684"/>
    </row>
    <row r="3685" spans="14:18" x14ac:dyDescent="0.25">
      <c r="N3685"/>
      <c r="O3685"/>
      <c r="P3685"/>
      <c r="Q3685"/>
      <c r="R3685"/>
    </row>
    <row r="3686" spans="14:18" x14ac:dyDescent="0.25">
      <c r="N3686"/>
      <c r="O3686"/>
      <c r="P3686"/>
      <c r="Q3686"/>
      <c r="R3686"/>
    </row>
    <row r="3687" spans="14:18" x14ac:dyDescent="0.25">
      <c r="N3687"/>
      <c r="O3687"/>
      <c r="P3687"/>
      <c r="Q3687"/>
      <c r="R3687"/>
    </row>
    <row r="3688" spans="14:18" x14ac:dyDescent="0.25">
      <c r="N3688"/>
      <c r="O3688"/>
      <c r="P3688"/>
      <c r="Q3688"/>
      <c r="R3688"/>
    </row>
    <row r="3689" spans="14:18" x14ac:dyDescent="0.25">
      <c r="N3689"/>
      <c r="O3689"/>
      <c r="P3689"/>
      <c r="Q3689"/>
      <c r="R3689"/>
    </row>
    <row r="3690" spans="14:18" x14ac:dyDescent="0.25">
      <c r="N3690"/>
      <c r="O3690"/>
      <c r="P3690"/>
      <c r="Q3690"/>
      <c r="R3690"/>
    </row>
    <row r="3691" spans="14:18" x14ac:dyDescent="0.25">
      <c r="N3691"/>
      <c r="O3691"/>
      <c r="P3691"/>
      <c r="Q3691"/>
      <c r="R3691"/>
    </row>
    <row r="3692" spans="14:18" x14ac:dyDescent="0.25">
      <c r="N3692"/>
      <c r="O3692"/>
      <c r="P3692"/>
      <c r="Q3692"/>
      <c r="R3692"/>
    </row>
    <row r="3693" spans="14:18" x14ac:dyDescent="0.25">
      <c r="N3693"/>
      <c r="O3693"/>
      <c r="P3693"/>
      <c r="Q3693"/>
      <c r="R3693"/>
    </row>
    <row r="3694" spans="14:18" x14ac:dyDescent="0.25">
      <c r="N3694"/>
      <c r="O3694"/>
      <c r="P3694"/>
      <c r="Q3694"/>
      <c r="R3694"/>
    </row>
    <row r="3695" spans="14:18" x14ac:dyDescent="0.25">
      <c r="N3695"/>
      <c r="O3695"/>
      <c r="P3695"/>
      <c r="Q3695"/>
      <c r="R3695"/>
    </row>
    <row r="3696" spans="14:18" x14ac:dyDescent="0.25">
      <c r="N3696"/>
      <c r="O3696"/>
      <c r="P3696"/>
      <c r="Q3696"/>
      <c r="R3696"/>
    </row>
    <row r="3697" spans="14:18" x14ac:dyDescent="0.25">
      <c r="N3697"/>
      <c r="O3697"/>
      <c r="P3697"/>
      <c r="Q3697"/>
      <c r="R3697"/>
    </row>
    <row r="3698" spans="14:18" x14ac:dyDescent="0.25">
      <c r="N3698"/>
      <c r="O3698"/>
      <c r="P3698"/>
      <c r="Q3698"/>
      <c r="R3698"/>
    </row>
    <row r="3699" spans="14:18" x14ac:dyDescent="0.25">
      <c r="N3699"/>
      <c r="O3699"/>
      <c r="P3699"/>
      <c r="Q3699"/>
      <c r="R3699"/>
    </row>
    <row r="3700" spans="14:18" x14ac:dyDescent="0.25">
      <c r="N3700"/>
      <c r="O3700"/>
      <c r="P3700"/>
      <c r="Q3700"/>
      <c r="R3700"/>
    </row>
    <row r="3701" spans="14:18" x14ac:dyDescent="0.25">
      <c r="N3701"/>
      <c r="O3701"/>
      <c r="P3701"/>
      <c r="Q3701"/>
      <c r="R3701"/>
    </row>
    <row r="3702" spans="14:18" x14ac:dyDescent="0.25">
      <c r="N3702"/>
      <c r="O3702"/>
      <c r="P3702"/>
      <c r="Q3702"/>
      <c r="R3702"/>
    </row>
    <row r="3703" spans="14:18" x14ac:dyDescent="0.25">
      <c r="N3703"/>
      <c r="O3703"/>
      <c r="P3703"/>
      <c r="Q3703"/>
      <c r="R3703"/>
    </row>
    <row r="3704" spans="14:18" x14ac:dyDescent="0.25">
      <c r="N3704"/>
      <c r="O3704"/>
      <c r="P3704"/>
      <c r="Q3704"/>
      <c r="R3704"/>
    </row>
    <row r="3705" spans="14:18" x14ac:dyDescent="0.25">
      <c r="N3705"/>
      <c r="O3705"/>
      <c r="P3705"/>
      <c r="Q3705"/>
      <c r="R3705"/>
    </row>
    <row r="3706" spans="14:18" x14ac:dyDescent="0.25">
      <c r="N3706"/>
      <c r="O3706"/>
      <c r="P3706"/>
      <c r="Q3706"/>
      <c r="R3706"/>
    </row>
    <row r="3707" spans="14:18" x14ac:dyDescent="0.25">
      <c r="N3707"/>
      <c r="O3707"/>
      <c r="P3707"/>
      <c r="Q3707"/>
      <c r="R3707"/>
    </row>
    <row r="3708" spans="14:18" x14ac:dyDescent="0.25">
      <c r="N3708"/>
      <c r="O3708"/>
      <c r="P3708"/>
      <c r="Q3708"/>
      <c r="R3708"/>
    </row>
    <row r="3709" spans="14:18" x14ac:dyDescent="0.25">
      <c r="N3709"/>
      <c r="O3709"/>
      <c r="P3709"/>
      <c r="Q3709"/>
      <c r="R3709"/>
    </row>
    <row r="3710" spans="14:18" x14ac:dyDescent="0.25">
      <c r="N3710"/>
      <c r="O3710"/>
      <c r="P3710"/>
      <c r="Q3710"/>
      <c r="R3710"/>
    </row>
    <row r="3711" spans="14:18" x14ac:dyDescent="0.25">
      <c r="N3711"/>
      <c r="O3711"/>
      <c r="P3711"/>
      <c r="Q3711"/>
      <c r="R3711"/>
    </row>
    <row r="3712" spans="14:18" x14ac:dyDescent="0.25">
      <c r="N3712"/>
      <c r="O3712"/>
      <c r="P3712"/>
      <c r="Q3712"/>
      <c r="R3712"/>
    </row>
    <row r="3713" spans="14:18" x14ac:dyDescent="0.25">
      <c r="N3713"/>
      <c r="O3713"/>
      <c r="P3713"/>
      <c r="Q3713"/>
      <c r="R3713"/>
    </row>
    <row r="3714" spans="14:18" x14ac:dyDescent="0.25">
      <c r="N3714"/>
      <c r="O3714"/>
      <c r="P3714"/>
      <c r="Q3714"/>
      <c r="R3714"/>
    </row>
    <row r="3715" spans="14:18" x14ac:dyDescent="0.25">
      <c r="N3715"/>
      <c r="O3715"/>
      <c r="P3715"/>
      <c r="Q3715"/>
      <c r="R3715"/>
    </row>
    <row r="3716" spans="14:18" x14ac:dyDescent="0.25">
      <c r="N3716"/>
      <c r="O3716"/>
      <c r="P3716"/>
      <c r="Q3716"/>
      <c r="R3716"/>
    </row>
    <row r="3717" spans="14:18" x14ac:dyDescent="0.25">
      <c r="N3717"/>
      <c r="O3717"/>
      <c r="P3717"/>
      <c r="Q3717"/>
      <c r="R3717"/>
    </row>
    <row r="3718" spans="14:18" x14ac:dyDescent="0.25">
      <c r="N3718"/>
      <c r="O3718"/>
      <c r="P3718"/>
      <c r="Q3718"/>
      <c r="R3718"/>
    </row>
    <row r="3719" spans="14:18" x14ac:dyDescent="0.25">
      <c r="N3719"/>
      <c r="O3719"/>
      <c r="P3719"/>
      <c r="Q3719"/>
      <c r="R3719"/>
    </row>
    <row r="3720" spans="14:18" x14ac:dyDescent="0.25">
      <c r="N3720"/>
      <c r="O3720"/>
      <c r="P3720"/>
      <c r="Q3720"/>
      <c r="R3720"/>
    </row>
    <row r="3721" spans="14:18" x14ac:dyDescent="0.25">
      <c r="N3721"/>
      <c r="O3721"/>
      <c r="P3721"/>
      <c r="Q3721"/>
      <c r="R3721"/>
    </row>
    <row r="3722" spans="14:18" x14ac:dyDescent="0.25">
      <c r="N3722"/>
      <c r="O3722"/>
      <c r="P3722"/>
      <c r="Q3722"/>
      <c r="R3722"/>
    </row>
    <row r="3723" spans="14:18" x14ac:dyDescent="0.25">
      <c r="N3723"/>
      <c r="O3723"/>
      <c r="P3723"/>
      <c r="Q3723"/>
      <c r="R3723"/>
    </row>
    <row r="3724" spans="14:18" x14ac:dyDescent="0.25">
      <c r="N3724"/>
      <c r="O3724"/>
      <c r="P3724"/>
      <c r="Q3724"/>
      <c r="R3724"/>
    </row>
    <row r="3725" spans="14:18" x14ac:dyDescent="0.25">
      <c r="N3725"/>
      <c r="O3725"/>
      <c r="P3725"/>
      <c r="Q3725"/>
      <c r="R3725"/>
    </row>
    <row r="3726" spans="14:18" x14ac:dyDescent="0.25">
      <c r="N3726"/>
      <c r="O3726"/>
      <c r="P3726"/>
      <c r="Q3726"/>
      <c r="R3726"/>
    </row>
    <row r="3727" spans="14:18" x14ac:dyDescent="0.25">
      <c r="N3727"/>
      <c r="O3727"/>
      <c r="P3727"/>
      <c r="Q3727"/>
      <c r="R3727"/>
    </row>
    <row r="3728" spans="14:18" x14ac:dyDescent="0.25">
      <c r="N3728"/>
      <c r="O3728"/>
      <c r="P3728"/>
      <c r="Q3728"/>
      <c r="R3728"/>
    </row>
    <row r="3729" spans="14:18" x14ac:dyDescent="0.25">
      <c r="N3729"/>
      <c r="O3729"/>
      <c r="P3729"/>
      <c r="Q3729"/>
      <c r="R3729"/>
    </row>
    <row r="3730" spans="14:18" x14ac:dyDescent="0.25">
      <c r="N3730"/>
      <c r="O3730"/>
      <c r="P3730"/>
      <c r="Q3730"/>
      <c r="R3730"/>
    </row>
    <row r="3731" spans="14:18" x14ac:dyDescent="0.25">
      <c r="N3731"/>
      <c r="O3731"/>
      <c r="P3731"/>
      <c r="Q3731"/>
      <c r="R3731"/>
    </row>
    <row r="3732" spans="14:18" x14ac:dyDescent="0.25">
      <c r="N3732"/>
      <c r="O3732"/>
      <c r="P3732"/>
      <c r="Q3732"/>
      <c r="R3732"/>
    </row>
    <row r="3733" spans="14:18" x14ac:dyDescent="0.25">
      <c r="N3733"/>
      <c r="O3733"/>
      <c r="P3733"/>
      <c r="Q3733"/>
      <c r="R3733"/>
    </row>
    <row r="3734" spans="14:18" x14ac:dyDescent="0.25">
      <c r="N3734"/>
      <c r="O3734"/>
      <c r="P3734"/>
      <c r="Q3734"/>
      <c r="R3734"/>
    </row>
    <row r="3735" spans="14:18" x14ac:dyDescent="0.25">
      <c r="N3735"/>
      <c r="O3735"/>
      <c r="P3735"/>
      <c r="Q3735"/>
      <c r="R3735"/>
    </row>
    <row r="3736" spans="14:18" x14ac:dyDescent="0.25">
      <c r="N3736"/>
      <c r="O3736"/>
      <c r="P3736"/>
      <c r="Q3736"/>
      <c r="R3736"/>
    </row>
    <row r="3737" spans="14:18" x14ac:dyDescent="0.25">
      <c r="N3737"/>
      <c r="O3737"/>
      <c r="P3737"/>
      <c r="Q3737"/>
      <c r="R3737"/>
    </row>
    <row r="3738" spans="14:18" x14ac:dyDescent="0.25">
      <c r="N3738"/>
      <c r="O3738"/>
      <c r="P3738"/>
      <c r="Q3738"/>
      <c r="R3738"/>
    </row>
    <row r="3739" spans="14:18" x14ac:dyDescent="0.25">
      <c r="N3739"/>
      <c r="O3739"/>
      <c r="P3739"/>
      <c r="Q3739"/>
      <c r="R3739"/>
    </row>
    <row r="3740" spans="14:18" x14ac:dyDescent="0.25">
      <c r="N3740"/>
      <c r="O3740"/>
      <c r="P3740"/>
      <c r="Q3740"/>
      <c r="R3740"/>
    </row>
    <row r="3741" spans="14:18" x14ac:dyDescent="0.25">
      <c r="N3741"/>
      <c r="O3741"/>
      <c r="P3741"/>
      <c r="Q3741"/>
      <c r="R3741"/>
    </row>
    <row r="3742" spans="14:18" x14ac:dyDescent="0.25">
      <c r="N3742"/>
      <c r="O3742"/>
      <c r="P3742"/>
      <c r="Q3742"/>
      <c r="R3742"/>
    </row>
    <row r="3743" spans="14:18" x14ac:dyDescent="0.25">
      <c r="N3743"/>
      <c r="O3743"/>
      <c r="P3743"/>
      <c r="Q3743"/>
      <c r="R3743"/>
    </row>
    <row r="3744" spans="14:18" x14ac:dyDescent="0.25">
      <c r="N3744"/>
      <c r="O3744"/>
      <c r="P3744"/>
      <c r="Q3744"/>
      <c r="R3744"/>
    </row>
    <row r="3745" spans="14:18" x14ac:dyDescent="0.25">
      <c r="N3745"/>
      <c r="O3745"/>
      <c r="P3745"/>
      <c r="Q3745"/>
      <c r="R3745"/>
    </row>
    <row r="3746" spans="14:18" x14ac:dyDescent="0.25">
      <c r="N3746"/>
      <c r="O3746"/>
      <c r="P3746"/>
      <c r="Q3746"/>
      <c r="R3746"/>
    </row>
    <row r="3747" spans="14:18" x14ac:dyDescent="0.25">
      <c r="N3747"/>
      <c r="O3747"/>
      <c r="P3747"/>
      <c r="Q3747"/>
      <c r="R3747"/>
    </row>
    <row r="3748" spans="14:18" x14ac:dyDescent="0.25">
      <c r="N3748"/>
      <c r="O3748"/>
      <c r="P3748"/>
      <c r="Q3748"/>
      <c r="R3748"/>
    </row>
    <row r="3749" spans="14:18" x14ac:dyDescent="0.25">
      <c r="N3749"/>
      <c r="O3749"/>
      <c r="P3749"/>
      <c r="Q3749"/>
      <c r="R3749"/>
    </row>
    <row r="3750" spans="14:18" x14ac:dyDescent="0.25">
      <c r="N3750"/>
      <c r="O3750"/>
      <c r="P3750"/>
      <c r="Q3750"/>
      <c r="R3750"/>
    </row>
    <row r="3751" spans="14:18" x14ac:dyDescent="0.25">
      <c r="N3751"/>
      <c r="O3751"/>
      <c r="P3751"/>
      <c r="Q3751"/>
      <c r="R3751"/>
    </row>
    <row r="3752" spans="14:18" x14ac:dyDescent="0.25">
      <c r="N3752"/>
      <c r="O3752"/>
      <c r="P3752"/>
      <c r="Q3752"/>
      <c r="R3752"/>
    </row>
    <row r="3753" spans="14:18" x14ac:dyDescent="0.25">
      <c r="N3753"/>
      <c r="O3753"/>
      <c r="P3753"/>
      <c r="Q3753"/>
      <c r="R3753"/>
    </row>
    <row r="3754" spans="14:18" x14ac:dyDescent="0.25">
      <c r="N3754"/>
      <c r="O3754"/>
      <c r="P3754"/>
      <c r="Q3754"/>
      <c r="R3754"/>
    </row>
    <row r="3755" spans="14:18" x14ac:dyDescent="0.25">
      <c r="N3755"/>
      <c r="O3755"/>
      <c r="P3755"/>
      <c r="Q3755"/>
      <c r="R3755"/>
    </row>
    <row r="3756" spans="14:18" x14ac:dyDescent="0.25">
      <c r="N3756"/>
      <c r="O3756"/>
      <c r="P3756"/>
      <c r="Q3756"/>
      <c r="R3756"/>
    </row>
    <row r="3757" spans="14:18" x14ac:dyDescent="0.25">
      <c r="N3757"/>
      <c r="O3757"/>
      <c r="P3757"/>
      <c r="Q3757"/>
      <c r="R3757"/>
    </row>
    <row r="3758" spans="14:18" x14ac:dyDescent="0.25">
      <c r="N3758"/>
      <c r="O3758"/>
      <c r="P3758"/>
      <c r="Q3758"/>
      <c r="R3758"/>
    </row>
    <row r="3759" spans="14:18" x14ac:dyDescent="0.25">
      <c r="N3759"/>
      <c r="O3759"/>
      <c r="P3759"/>
      <c r="Q3759"/>
      <c r="R3759"/>
    </row>
    <row r="3760" spans="14:18" x14ac:dyDescent="0.25">
      <c r="N3760"/>
      <c r="O3760"/>
      <c r="P3760"/>
      <c r="Q3760"/>
      <c r="R3760"/>
    </row>
    <row r="3761" spans="14:18" x14ac:dyDescent="0.25">
      <c r="N3761"/>
      <c r="O3761"/>
      <c r="P3761"/>
      <c r="Q3761"/>
      <c r="R3761"/>
    </row>
    <row r="3762" spans="14:18" x14ac:dyDescent="0.25">
      <c r="N3762"/>
      <c r="O3762"/>
      <c r="P3762"/>
      <c r="Q3762"/>
      <c r="R3762"/>
    </row>
    <row r="3763" spans="14:18" x14ac:dyDescent="0.25">
      <c r="N3763"/>
      <c r="O3763"/>
      <c r="P3763"/>
      <c r="Q3763"/>
      <c r="R3763"/>
    </row>
    <row r="3764" spans="14:18" x14ac:dyDescent="0.25">
      <c r="N3764"/>
      <c r="O3764"/>
      <c r="P3764"/>
      <c r="Q3764"/>
      <c r="R3764"/>
    </row>
    <row r="3765" spans="14:18" x14ac:dyDescent="0.25">
      <c r="N3765"/>
      <c r="O3765"/>
      <c r="P3765"/>
      <c r="Q3765"/>
      <c r="R3765"/>
    </row>
    <row r="3766" spans="14:18" x14ac:dyDescent="0.25">
      <c r="N3766"/>
      <c r="O3766"/>
      <c r="P3766"/>
      <c r="Q3766"/>
      <c r="R3766"/>
    </row>
    <row r="3767" spans="14:18" x14ac:dyDescent="0.25">
      <c r="N3767"/>
      <c r="O3767"/>
      <c r="P3767"/>
      <c r="Q3767"/>
      <c r="R3767"/>
    </row>
    <row r="3768" spans="14:18" x14ac:dyDescent="0.25">
      <c r="N3768"/>
      <c r="O3768"/>
      <c r="P3768"/>
      <c r="Q3768"/>
      <c r="R3768"/>
    </row>
    <row r="3769" spans="14:18" x14ac:dyDescent="0.25">
      <c r="N3769"/>
      <c r="O3769"/>
      <c r="P3769"/>
      <c r="Q3769"/>
      <c r="R3769"/>
    </row>
    <row r="3770" spans="14:18" x14ac:dyDescent="0.25">
      <c r="N3770"/>
      <c r="O3770"/>
      <c r="P3770"/>
      <c r="Q3770"/>
      <c r="R3770"/>
    </row>
    <row r="3771" spans="14:18" x14ac:dyDescent="0.25">
      <c r="N3771"/>
      <c r="O3771"/>
      <c r="P3771"/>
      <c r="Q3771"/>
      <c r="R3771"/>
    </row>
    <row r="3772" spans="14:18" x14ac:dyDescent="0.25">
      <c r="N3772"/>
      <c r="O3772"/>
      <c r="P3772"/>
      <c r="Q3772"/>
      <c r="R3772"/>
    </row>
    <row r="3773" spans="14:18" x14ac:dyDescent="0.25">
      <c r="N3773"/>
      <c r="O3773"/>
      <c r="P3773"/>
      <c r="Q3773"/>
      <c r="R3773"/>
    </row>
    <row r="3774" spans="14:18" x14ac:dyDescent="0.25">
      <c r="N3774"/>
      <c r="O3774"/>
      <c r="P3774"/>
      <c r="Q3774"/>
      <c r="R3774"/>
    </row>
    <row r="3775" spans="14:18" x14ac:dyDescent="0.25">
      <c r="N3775"/>
      <c r="O3775"/>
      <c r="P3775"/>
      <c r="Q3775"/>
      <c r="R3775"/>
    </row>
    <row r="3776" spans="14:18" x14ac:dyDescent="0.25">
      <c r="N3776"/>
      <c r="O3776"/>
      <c r="P3776"/>
      <c r="Q3776"/>
      <c r="R3776"/>
    </row>
    <row r="3777" spans="14:18" x14ac:dyDescent="0.25">
      <c r="N3777"/>
      <c r="O3777"/>
      <c r="P3777"/>
      <c r="Q3777"/>
      <c r="R3777"/>
    </row>
    <row r="3778" spans="14:18" x14ac:dyDescent="0.25">
      <c r="N3778"/>
      <c r="O3778"/>
      <c r="P3778"/>
      <c r="Q3778"/>
      <c r="R3778"/>
    </row>
    <row r="3779" spans="14:18" x14ac:dyDescent="0.25">
      <c r="N3779"/>
      <c r="O3779"/>
      <c r="P3779"/>
      <c r="Q3779"/>
      <c r="R3779"/>
    </row>
    <row r="3780" spans="14:18" x14ac:dyDescent="0.25">
      <c r="N3780"/>
      <c r="O3780"/>
      <c r="P3780"/>
      <c r="Q3780"/>
      <c r="R3780"/>
    </row>
    <row r="3781" spans="14:18" x14ac:dyDescent="0.25">
      <c r="N3781"/>
      <c r="O3781"/>
      <c r="P3781"/>
      <c r="Q3781"/>
      <c r="R3781"/>
    </row>
    <row r="3782" spans="14:18" x14ac:dyDescent="0.25">
      <c r="N3782"/>
      <c r="O3782"/>
      <c r="P3782"/>
      <c r="Q3782"/>
      <c r="R3782"/>
    </row>
    <row r="3783" spans="14:18" x14ac:dyDescent="0.25">
      <c r="N3783"/>
      <c r="O3783"/>
      <c r="P3783"/>
      <c r="Q3783"/>
      <c r="R3783"/>
    </row>
    <row r="3784" spans="14:18" x14ac:dyDescent="0.25">
      <c r="N3784"/>
      <c r="O3784"/>
      <c r="P3784"/>
      <c r="Q3784"/>
      <c r="R3784"/>
    </row>
    <row r="3785" spans="14:18" x14ac:dyDescent="0.25">
      <c r="N3785"/>
      <c r="O3785"/>
      <c r="P3785"/>
      <c r="Q3785"/>
      <c r="R3785"/>
    </row>
    <row r="3786" spans="14:18" x14ac:dyDescent="0.25">
      <c r="N3786"/>
      <c r="O3786"/>
      <c r="P3786"/>
      <c r="Q3786"/>
      <c r="R3786"/>
    </row>
    <row r="3787" spans="14:18" x14ac:dyDescent="0.25">
      <c r="N3787"/>
      <c r="O3787"/>
      <c r="P3787"/>
      <c r="Q3787"/>
      <c r="R3787"/>
    </row>
    <row r="3788" spans="14:18" x14ac:dyDescent="0.25">
      <c r="N3788"/>
      <c r="O3788"/>
      <c r="P3788"/>
      <c r="Q3788"/>
      <c r="R3788"/>
    </row>
    <row r="3789" spans="14:18" x14ac:dyDescent="0.25">
      <c r="N3789"/>
      <c r="O3789"/>
      <c r="P3789"/>
      <c r="Q3789"/>
      <c r="R3789"/>
    </row>
    <row r="3790" spans="14:18" x14ac:dyDescent="0.25">
      <c r="N3790"/>
      <c r="O3790"/>
      <c r="P3790"/>
      <c r="Q3790"/>
      <c r="R3790"/>
    </row>
    <row r="3791" spans="14:18" x14ac:dyDescent="0.25">
      <c r="N3791"/>
      <c r="O3791"/>
      <c r="P3791"/>
      <c r="Q3791"/>
      <c r="R3791"/>
    </row>
    <row r="3792" spans="14:18" x14ac:dyDescent="0.25">
      <c r="N3792"/>
      <c r="O3792"/>
      <c r="P3792"/>
      <c r="Q3792"/>
      <c r="R3792"/>
    </row>
    <row r="3793" spans="14:18" x14ac:dyDescent="0.25">
      <c r="N3793"/>
      <c r="O3793"/>
      <c r="P3793"/>
      <c r="Q3793"/>
      <c r="R3793"/>
    </row>
    <row r="3794" spans="14:18" x14ac:dyDescent="0.25">
      <c r="N3794"/>
      <c r="O3794"/>
      <c r="P3794"/>
      <c r="Q3794"/>
      <c r="R3794"/>
    </row>
    <row r="3795" spans="14:18" x14ac:dyDescent="0.25">
      <c r="N3795"/>
      <c r="O3795"/>
      <c r="P3795"/>
      <c r="Q3795"/>
      <c r="R3795"/>
    </row>
    <row r="3796" spans="14:18" x14ac:dyDescent="0.25">
      <c r="N3796"/>
      <c r="O3796"/>
      <c r="P3796"/>
      <c r="Q3796"/>
      <c r="R3796"/>
    </row>
    <row r="3797" spans="14:18" x14ac:dyDescent="0.25">
      <c r="N3797"/>
      <c r="O3797"/>
      <c r="P3797"/>
      <c r="Q3797"/>
      <c r="R3797"/>
    </row>
    <row r="3798" spans="14:18" x14ac:dyDescent="0.25">
      <c r="N3798"/>
      <c r="O3798"/>
      <c r="P3798"/>
      <c r="Q3798"/>
      <c r="R3798"/>
    </row>
    <row r="3799" spans="14:18" x14ac:dyDescent="0.25">
      <c r="N3799"/>
      <c r="O3799"/>
      <c r="P3799"/>
      <c r="Q3799"/>
      <c r="R3799"/>
    </row>
    <row r="3800" spans="14:18" x14ac:dyDescent="0.25">
      <c r="N3800"/>
      <c r="O3800"/>
      <c r="P3800"/>
      <c r="Q3800"/>
      <c r="R3800"/>
    </row>
    <row r="3801" spans="14:18" x14ac:dyDescent="0.25">
      <c r="N3801"/>
      <c r="O3801"/>
      <c r="P3801"/>
      <c r="Q3801"/>
      <c r="R3801"/>
    </row>
    <row r="3802" spans="14:18" x14ac:dyDescent="0.25">
      <c r="N3802"/>
      <c r="O3802"/>
      <c r="P3802"/>
      <c r="Q3802"/>
      <c r="R3802"/>
    </row>
    <row r="3803" spans="14:18" x14ac:dyDescent="0.25">
      <c r="N3803"/>
      <c r="O3803"/>
      <c r="P3803"/>
      <c r="Q3803"/>
      <c r="R3803"/>
    </row>
    <row r="3804" spans="14:18" x14ac:dyDescent="0.25">
      <c r="N3804"/>
      <c r="O3804"/>
      <c r="P3804"/>
      <c r="Q3804"/>
      <c r="R3804"/>
    </row>
    <row r="3805" spans="14:18" x14ac:dyDescent="0.25">
      <c r="N3805"/>
      <c r="O3805"/>
      <c r="P3805"/>
      <c r="Q3805"/>
      <c r="R3805"/>
    </row>
    <row r="3806" spans="14:18" x14ac:dyDescent="0.25">
      <c r="N3806"/>
      <c r="O3806"/>
      <c r="P3806"/>
      <c r="Q3806"/>
      <c r="R3806"/>
    </row>
    <row r="3807" spans="14:18" x14ac:dyDescent="0.25">
      <c r="N3807"/>
      <c r="O3807"/>
      <c r="P3807"/>
      <c r="Q3807"/>
      <c r="R3807"/>
    </row>
    <row r="3808" spans="14:18" x14ac:dyDescent="0.25">
      <c r="N3808"/>
      <c r="O3808"/>
      <c r="P3808"/>
      <c r="Q3808"/>
      <c r="R3808"/>
    </row>
    <row r="3809" spans="14:18" x14ac:dyDescent="0.25">
      <c r="N3809"/>
      <c r="O3809"/>
      <c r="P3809"/>
      <c r="Q3809"/>
      <c r="R3809"/>
    </row>
    <row r="3810" spans="14:18" x14ac:dyDescent="0.25">
      <c r="N3810"/>
      <c r="O3810"/>
      <c r="P3810"/>
      <c r="Q3810"/>
      <c r="R3810"/>
    </row>
    <row r="3811" spans="14:18" x14ac:dyDescent="0.25">
      <c r="N3811"/>
      <c r="O3811"/>
      <c r="P3811"/>
      <c r="Q3811"/>
      <c r="R3811"/>
    </row>
    <row r="3812" spans="14:18" x14ac:dyDescent="0.25">
      <c r="N3812"/>
      <c r="O3812"/>
      <c r="P3812"/>
      <c r="Q3812"/>
      <c r="R3812"/>
    </row>
    <row r="3813" spans="14:18" x14ac:dyDescent="0.25">
      <c r="N3813"/>
      <c r="O3813"/>
      <c r="P3813"/>
      <c r="Q3813"/>
      <c r="R3813"/>
    </row>
    <row r="3814" spans="14:18" x14ac:dyDescent="0.25">
      <c r="N3814"/>
      <c r="O3814"/>
      <c r="P3814"/>
      <c r="Q3814"/>
      <c r="R3814"/>
    </row>
    <row r="3815" spans="14:18" x14ac:dyDescent="0.25">
      <c r="N3815"/>
      <c r="O3815"/>
      <c r="P3815"/>
      <c r="Q3815"/>
      <c r="R3815"/>
    </row>
    <row r="3816" spans="14:18" x14ac:dyDescent="0.25">
      <c r="N3816"/>
      <c r="O3816"/>
      <c r="P3816"/>
      <c r="Q3816"/>
      <c r="R3816"/>
    </row>
    <row r="3817" spans="14:18" x14ac:dyDescent="0.25">
      <c r="N3817"/>
      <c r="O3817"/>
      <c r="P3817"/>
      <c r="Q3817"/>
      <c r="R3817"/>
    </row>
    <row r="3818" spans="14:18" x14ac:dyDescent="0.25">
      <c r="N3818"/>
      <c r="O3818"/>
      <c r="P3818"/>
      <c r="Q3818"/>
      <c r="R3818"/>
    </row>
    <row r="3819" spans="14:18" x14ac:dyDescent="0.25">
      <c r="N3819"/>
      <c r="O3819"/>
      <c r="P3819"/>
      <c r="Q3819"/>
      <c r="R3819"/>
    </row>
    <row r="3820" spans="14:18" x14ac:dyDescent="0.25">
      <c r="N3820"/>
      <c r="O3820"/>
      <c r="P3820"/>
      <c r="Q3820"/>
      <c r="R3820"/>
    </row>
    <row r="3821" spans="14:18" x14ac:dyDescent="0.25">
      <c r="N3821"/>
      <c r="O3821"/>
      <c r="P3821"/>
      <c r="Q3821"/>
      <c r="R3821"/>
    </row>
    <row r="3822" spans="14:18" x14ac:dyDescent="0.25">
      <c r="N3822"/>
      <c r="O3822"/>
      <c r="P3822"/>
      <c r="Q3822"/>
      <c r="R3822"/>
    </row>
    <row r="3823" spans="14:18" x14ac:dyDescent="0.25">
      <c r="N3823"/>
      <c r="O3823"/>
      <c r="P3823"/>
      <c r="Q3823"/>
      <c r="R3823"/>
    </row>
    <row r="3824" spans="14:18" x14ac:dyDescent="0.25">
      <c r="N3824"/>
      <c r="O3824"/>
      <c r="P3824"/>
      <c r="Q3824"/>
      <c r="R3824"/>
    </row>
    <row r="3825" spans="14:18" x14ac:dyDescent="0.25">
      <c r="N3825"/>
      <c r="O3825"/>
      <c r="P3825"/>
      <c r="Q3825"/>
      <c r="R3825"/>
    </row>
    <row r="3826" spans="14:18" x14ac:dyDescent="0.25">
      <c r="N3826"/>
      <c r="O3826"/>
      <c r="P3826"/>
      <c r="Q3826"/>
      <c r="R3826"/>
    </row>
    <row r="3827" spans="14:18" x14ac:dyDescent="0.25">
      <c r="N3827"/>
      <c r="O3827"/>
      <c r="P3827"/>
      <c r="Q3827"/>
      <c r="R3827"/>
    </row>
    <row r="3828" spans="14:18" x14ac:dyDescent="0.25">
      <c r="N3828"/>
      <c r="O3828"/>
      <c r="P3828"/>
      <c r="Q3828"/>
      <c r="R3828"/>
    </row>
    <row r="3829" spans="14:18" x14ac:dyDescent="0.25">
      <c r="N3829"/>
      <c r="O3829"/>
      <c r="P3829"/>
      <c r="Q3829"/>
      <c r="R3829"/>
    </row>
    <row r="3830" spans="14:18" x14ac:dyDescent="0.25">
      <c r="N3830"/>
      <c r="O3830"/>
      <c r="P3830"/>
      <c r="Q3830"/>
      <c r="R3830"/>
    </row>
    <row r="3831" spans="14:18" x14ac:dyDescent="0.25">
      <c r="N3831"/>
      <c r="O3831"/>
      <c r="P3831"/>
      <c r="Q3831"/>
      <c r="R3831"/>
    </row>
    <row r="3832" spans="14:18" x14ac:dyDescent="0.25">
      <c r="N3832"/>
      <c r="O3832"/>
      <c r="P3832"/>
      <c r="Q3832"/>
      <c r="R3832"/>
    </row>
    <row r="3833" spans="14:18" x14ac:dyDescent="0.25">
      <c r="N3833"/>
      <c r="O3833"/>
      <c r="P3833"/>
      <c r="Q3833"/>
      <c r="R3833"/>
    </row>
    <row r="3834" spans="14:18" x14ac:dyDescent="0.25">
      <c r="N3834"/>
      <c r="O3834"/>
      <c r="P3834"/>
      <c r="Q3834"/>
      <c r="R3834"/>
    </row>
    <row r="3835" spans="14:18" x14ac:dyDescent="0.25">
      <c r="N3835"/>
      <c r="O3835"/>
      <c r="P3835"/>
      <c r="Q3835"/>
      <c r="R3835"/>
    </row>
    <row r="3836" spans="14:18" x14ac:dyDescent="0.25">
      <c r="N3836"/>
      <c r="O3836"/>
      <c r="P3836"/>
      <c r="Q3836"/>
      <c r="R3836"/>
    </row>
    <row r="3837" spans="14:18" x14ac:dyDescent="0.25">
      <c r="N3837"/>
      <c r="O3837"/>
      <c r="P3837"/>
      <c r="Q3837"/>
      <c r="R3837"/>
    </row>
    <row r="3838" spans="14:18" x14ac:dyDescent="0.25">
      <c r="N3838"/>
      <c r="O3838"/>
      <c r="P3838"/>
      <c r="Q3838"/>
      <c r="R3838"/>
    </row>
    <row r="3839" spans="14:18" x14ac:dyDescent="0.25">
      <c r="N3839"/>
      <c r="O3839"/>
      <c r="P3839"/>
      <c r="Q3839"/>
      <c r="R3839"/>
    </row>
    <row r="3840" spans="14:18" x14ac:dyDescent="0.25">
      <c r="N3840"/>
      <c r="O3840"/>
      <c r="P3840"/>
      <c r="Q3840"/>
      <c r="R3840"/>
    </row>
    <row r="3841" spans="14:18" x14ac:dyDescent="0.25">
      <c r="N3841"/>
      <c r="O3841"/>
      <c r="P3841"/>
      <c r="Q3841"/>
      <c r="R3841"/>
    </row>
    <row r="3842" spans="14:18" x14ac:dyDescent="0.25">
      <c r="N3842"/>
      <c r="O3842"/>
      <c r="P3842"/>
      <c r="Q3842"/>
      <c r="R3842"/>
    </row>
    <row r="3843" spans="14:18" x14ac:dyDescent="0.25">
      <c r="N3843"/>
      <c r="O3843"/>
      <c r="P3843"/>
      <c r="Q3843"/>
      <c r="R3843"/>
    </row>
    <row r="3844" spans="14:18" x14ac:dyDescent="0.25">
      <c r="N3844"/>
      <c r="O3844"/>
      <c r="P3844"/>
      <c r="Q3844"/>
      <c r="R3844"/>
    </row>
    <row r="3845" spans="14:18" x14ac:dyDescent="0.25">
      <c r="N3845"/>
      <c r="O3845"/>
      <c r="P3845"/>
      <c r="Q3845"/>
      <c r="R3845"/>
    </row>
    <row r="3846" spans="14:18" x14ac:dyDescent="0.25">
      <c r="N3846"/>
      <c r="O3846"/>
      <c r="P3846"/>
      <c r="Q3846"/>
      <c r="R3846"/>
    </row>
    <row r="3847" spans="14:18" x14ac:dyDescent="0.25">
      <c r="N3847"/>
      <c r="O3847"/>
      <c r="P3847"/>
      <c r="Q3847"/>
      <c r="R3847"/>
    </row>
    <row r="3848" spans="14:18" x14ac:dyDescent="0.25">
      <c r="N3848"/>
      <c r="O3848"/>
      <c r="P3848"/>
      <c r="Q3848"/>
      <c r="R3848"/>
    </row>
    <row r="3849" spans="14:18" x14ac:dyDescent="0.25">
      <c r="N3849"/>
      <c r="O3849"/>
      <c r="P3849"/>
      <c r="Q3849"/>
      <c r="R3849"/>
    </row>
    <row r="3850" spans="14:18" x14ac:dyDescent="0.25">
      <c r="N3850"/>
      <c r="O3850"/>
      <c r="P3850"/>
      <c r="Q3850"/>
      <c r="R3850"/>
    </row>
    <row r="3851" spans="14:18" x14ac:dyDescent="0.25">
      <c r="N3851"/>
      <c r="O3851"/>
      <c r="P3851"/>
      <c r="Q3851"/>
      <c r="R3851"/>
    </row>
    <row r="3852" spans="14:18" x14ac:dyDescent="0.25">
      <c r="N3852"/>
      <c r="O3852"/>
      <c r="P3852"/>
      <c r="Q3852"/>
      <c r="R3852"/>
    </row>
    <row r="3853" spans="14:18" x14ac:dyDescent="0.25">
      <c r="N3853"/>
      <c r="O3853"/>
      <c r="P3853"/>
      <c r="Q3853"/>
      <c r="R3853"/>
    </row>
    <row r="3854" spans="14:18" x14ac:dyDescent="0.25">
      <c r="N3854"/>
      <c r="O3854"/>
      <c r="P3854"/>
      <c r="Q3854"/>
      <c r="R3854"/>
    </row>
    <row r="3855" spans="14:18" x14ac:dyDescent="0.25">
      <c r="N3855"/>
      <c r="O3855"/>
      <c r="P3855"/>
      <c r="Q3855"/>
      <c r="R3855"/>
    </row>
    <row r="3856" spans="14:18" x14ac:dyDescent="0.25">
      <c r="N3856"/>
      <c r="O3856"/>
      <c r="P3856"/>
      <c r="Q3856"/>
      <c r="R3856"/>
    </row>
    <row r="3857" spans="14:18" x14ac:dyDescent="0.25">
      <c r="N3857"/>
      <c r="O3857"/>
      <c r="P3857"/>
      <c r="Q3857"/>
      <c r="R3857"/>
    </row>
    <row r="3858" spans="14:18" x14ac:dyDescent="0.25">
      <c r="N3858"/>
      <c r="O3858"/>
      <c r="P3858"/>
      <c r="Q3858"/>
      <c r="R3858"/>
    </row>
    <row r="3859" spans="14:18" x14ac:dyDescent="0.25">
      <c r="N3859"/>
      <c r="O3859"/>
      <c r="P3859"/>
      <c r="Q3859"/>
      <c r="R3859"/>
    </row>
    <row r="3860" spans="14:18" x14ac:dyDescent="0.25">
      <c r="N3860"/>
      <c r="O3860"/>
      <c r="P3860"/>
      <c r="Q3860"/>
      <c r="R3860"/>
    </row>
    <row r="3861" spans="14:18" x14ac:dyDescent="0.25">
      <c r="N3861"/>
      <c r="O3861"/>
      <c r="P3861"/>
      <c r="Q3861"/>
      <c r="R3861"/>
    </row>
    <row r="3862" spans="14:18" x14ac:dyDescent="0.25">
      <c r="N3862"/>
      <c r="O3862"/>
      <c r="P3862"/>
      <c r="Q3862"/>
      <c r="R3862"/>
    </row>
    <row r="3863" spans="14:18" x14ac:dyDescent="0.25">
      <c r="N3863"/>
      <c r="O3863"/>
      <c r="P3863"/>
      <c r="Q3863"/>
      <c r="R3863"/>
    </row>
    <row r="3864" spans="14:18" x14ac:dyDescent="0.25">
      <c r="N3864"/>
      <c r="O3864"/>
      <c r="P3864"/>
      <c r="Q3864"/>
      <c r="R3864"/>
    </row>
    <row r="3865" spans="14:18" x14ac:dyDescent="0.25">
      <c r="N3865"/>
      <c r="O3865"/>
      <c r="P3865"/>
      <c r="Q3865"/>
      <c r="R3865"/>
    </row>
    <row r="3866" spans="14:18" x14ac:dyDescent="0.25">
      <c r="N3866"/>
      <c r="O3866"/>
      <c r="P3866"/>
      <c r="Q3866"/>
      <c r="R3866"/>
    </row>
    <row r="3867" spans="14:18" x14ac:dyDescent="0.25">
      <c r="N3867"/>
      <c r="O3867"/>
      <c r="P3867"/>
      <c r="Q3867"/>
      <c r="R3867"/>
    </row>
    <row r="3868" spans="14:18" x14ac:dyDescent="0.25">
      <c r="N3868"/>
      <c r="O3868"/>
      <c r="P3868"/>
      <c r="Q3868"/>
      <c r="R3868"/>
    </row>
    <row r="3869" spans="14:18" x14ac:dyDescent="0.25">
      <c r="N3869"/>
      <c r="O3869"/>
      <c r="P3869"/>
      <c r="Q3869"/>
      <c r="R3869"/>
    </row>
    <row r="3870" spans="14:18" x14ac:dyDescent="0.25">
      <c r="N3870"/>
      <c r="O3870"/>
      <c r="P3870"/>
      <c r="Q3870"/>
      <c r="R3870"/>
    </row>
    <row r="3871" spans="14:18" x14ac:dyDescent="0.25">
      <c r="N3871"/>
      <c r="O3871"/>
      <c r="P3871"/>
      <c r="Q3871"/>
      <c r="R3871"/>
    </row>
    <row r="3872" spans="14:18" x14ac:dyDescent="0.25">
      <c r="N3872"/>
      <c r="O3872"/>
      <c r="P3872"/>
      <c r="Q3872"/>
      <c r="R3872"/>
    </row>
    <row r="3873" spans="14:18" x14ac:dyDescent="0.25">
      <c r="N3873"/>
      <c r="O3873"/>
      <c r="P3873"/>
      <c r="Q3873"/>
      <c r="R3873"/>
    </row>
    <row r="3874" spans="14:18" x14ac:dyDescent="0.25">
      <c r="N3874"/>
      <c r="O3874"/>
      <c r="P3874"/>
      <c r="Q3874"/>
      <c r="R3874"/>
    </row>
    <row r="3875" spans="14:18" x14ac:dyDescent="0.25">
      <c r="N3875"/>
      <c r="O3875"/>
      <c r="P3875"/>
      <c r="Q3875"/>
      <c r="R3875"/>
    </row>
    <row r="3876" spans="14:18" x14ac:dyDescent="0.25">
      <c r="N3876"/>
      <c r="O3876"/>
      <c r="P3876"/>
      <c r="Q3876"/>
      <c r="R3876"/>
    </row>
    <row r="3877" spans="14:18" x14ac:dyDescent="0.25">
      <c r="N3877"/>
      <c r="O3877"/>
      <c r="P3877"/>
      <c r="Q3877"/>
      <c r="R3877"/>
    </row>
    <row r="3878" spans="14:18" x14ac:dyDescent="0.25">
      <c r="N3878"/>
      <c r="O3878"/>
      <c r="P3878"/>
      <c r="Q3878"/>
      <c r="R3878"/>
    </row>
    <row r="3879" spans="14:18" x14ac:dyDescent="0.25">
      <c r="N3879"/>
      <c r="O3879"/>
      <c r="P3879"/>
      <c r="Q3879"/>
      <c r="R3879"/>
    </row>
    <row r="3880" spans="14:18" x14ac:dyDescent="0.25">
      <c r="N3880"/>
      <c r="O3880"/>
      <c r="P3880"/>
      <c r="Q3880"/>
      <c r="R3880"/>
    </row>
    <row r="3881" spans="14:18" x14ac:dyDescent="0.25">
      <c r="N3881"/>
      <c r="O3881"/>
      <c r="P3881"/>
      <c r="Q3881"/>
      <c r="R3881"/>
    </row>
    <row r="3882" spans="14:18" x14ac:dyDescent="0.25">
      <c r="N3882"/>
      <c r="O3882"/>
      <c r="P3882"/>
      <c r="Q3882"/>
      <c r="R3882"/>
    </row>
    <row r="3883" spans="14:18" x14ac:dyDescent="0.25">
      <c r="N3883"/>
      <c r="O3883"/>
      <c r="P3883"/>
      <c r="Q3883"/>
      <c r="R3883"/>
    </row>
    <row r="3884" spans="14:18" x14ac:dyDescent="0.25">
      <c r="N3884"/>
      <c r="O3884"/>
      <c r="P3884"/>
      <c r="Q3884"/>
      <c r="R3884"/>
    </row>
    <row r="3885" spans="14:18" x14ac:dyDescent="0.25">
      <c r="N3885"/>
      <c r="O3885"/>
      <c r="P3885"/>
      <c r="Q3885"/>
      <c r="R3885"/>
    </row>
    <row r="3886" spans="14:18" x14ac:dyDescent="0.25">
      <c r="N3886"/>
      <c r="O3886"/>
      <c r="P3886"/>
      <c r="Q3886"/>
      <c r="R3886"/>
    </row>
    <row r="3887" spans="14:18" x14ac:dyDescent="0.25">
      <c r="N3887"/>
      <c r="O3887"/>
      <c r="P3887"/>
      <c r="Q3887"/>
      <c r="R3887"/>
    </row>
    <row r="3888" spans="14:18" x14ac:dyDescent="0.25">
      <c r="N3888"/>
      <c r="O3888"/>
      <c r="P3888"/>
      <c r="Q3888"/>
      <c r="R3888"/>
    </row>
    <row r="3889" spans="14:18" x14ac:dyDescent="0.25">
      <c r="N3889"/>
      <c r="O3889"/>
      <c r="P3889"/>
      <c r="Q3889"/>
      <c r="R3889"/>
    </row>
    <row r="3890" spans="14:18" x14ac:dyDescent="0.25">
      <c r="N3890"/>
      <c r="O3890"/>
      <c r="P3890"/>
      <c r="Q3890"/>
      <c r="R3890"/>
    </row>
    <row r="3891" spans="14:18" x14ac:dyDescent="0.25">
      <c r="N3891"/>
      <c r="O3891"/>
      <c r="P3891"/>
      <c r="Q3891"/>
      <c r="R3891"/>
    </row>
    <row r="3892" spans="14:18" x14ac:dyDescent="0.25">
      <c r="N3892"/>
      <c r="O3892"/>
      <c r="P3892"/>
      <c r="Q3892"/>
      <c r="R3892"/>
    </row>
    <row r="3893" spans="14:18" x14ac:dyDescent="0.25">
      <c r="N3893"/>
      <c r="O3893"/>
      <c r="P3893"/>
      <c r="Q3893"/>
      <c r="R3893"/>
    </row>
    <row r="3894" spans="14:18" x14ac:dyDescent="0.25">
      <c r="N3894"/>
      <c r="O3894"/>
      <c r="P3894"/>
      <c r="Q3894"/>
      <c r="R3894"/>
    </row>
    <row r="3895" spans="14:18" x14ac:dyDescent="0.25">
      <c r="N3895"/>
      <c r="O3895"/>
      <c r="P3895"/>
      <c r="Q3895"/>
      <c r="R3895"/>
    </row>
    <row r="3896" spans="14:18" x14ac:dyDescent="0.25">
      <c r="N3896"/>
      <c r="O3896"/>
      <c r="P3896"/>
      <c r="Q3896"/>
      <c r="R3896"/>
    </row>
    <row r="3897" spans="14:18" x14ac:dyDescent="0.25">
      <c r="N3897"/>
      <c r="O3897"/>
      <c r="P3897"/>
      <c r="Q3897"/>
      <c r="R3897"/>
    </row>
    <row r="3898" spans="14:18" x14ac:dyDescent="0.25">
      <c r="N3898"/>
      <c r="O3898"/>
      <c r="P3898"/>
      <c r="Q3898"/>
      <c r="R3898"/>
    </row>
    <row r="3899" spans="14:18" x14ac:dyDescent="0.25">
      <c r="N3899"/>
      <c r="O3899"/>
      <c r="P3899"/>
      <c r="Q3899"/>
      <c r="R3899"/>
    </row>
    <row r="3900" spans="14:18" x14ac:dyDescent="0.25">
      <c r="N3900"/>
      <c r="O3900"/>
      <c r="P3900"/>
      <c r="Q3900"/>
      <c r="R3900"/>
    </row>
    <row r="3901" spans="14:18" x14ac:dyDescent="0.25">
      <c r="N3901"/>
      <c r="O3901"/>
      <c r="P3901"/>
      <c r="Q3901"/>
      <c r="R3901"/>
    </row>
    <row r="3902" spans="14:18" x14ac:dyDescent="0.25">
      <c r="N3902"/>
      <c r="O3902"/>
      <c r="P3902"/>
      <c r="Q3902"/>
      <c r="R3902"/>
    </row>
    <row r="3903" spans="14:18" x14ac:dyDescent="0.25">
      <c r="N3903"/>
      <c r="O3903"/>
      <c r="P3903"/>
      <c r="Q3903"/>
      <c r="R3903"/>
    </row>
    <row r="3904" spans="14:18" x14ac:dyDescent="0.25">
      <c r="N3904"/>
      <c r="O3904"/>
      <c r="P3904"/>
      <c r="Q3904"/>
      <c r="R3904"/>
    </row>
    <row r="3905" spans="14:18" x14ac:dyDescent="0.25">
      <c r="N3905"/>
      <c r="O3905"/>
      <c r="P3905"/>
      <c r="Q3905"/>
      <c r="R3905"/>
    </row>
    <row r="3906" spans="14:18" x14ac:dyDescent="0.25">
      <c r="N3906"/>
      <c r="O3906"/>
      <c r="P3906"/>
      <c r="Q3906"/>
      <c r="R3906"/>
    </row>
    <row r="3907" spans="14:18" x14ac:dyDescent="0.25">
      <c r="N3907"/>
      <c r="O3907"/>
      <c r="P3907"/>
      <c r="Q3907"/>
      <c r="R3907"/>
    </row>
    <row r="3908" spans="14:18" x14ac:dyDescent="0.25">
      <c r="N3908"/>
      <c r="O3908"/>
      <c r="P3908"/>
      <c r="Q3908"/>
      <c r="R3908"/>
    </row>
    <row r="3909" spans="14:18" x14ac:dyDescent="0.25">
      <c r="N3909"/>
      <c r="O3909"/>
      <c r="P3909"/>
      <c r="Q3909"/>
      <c r="R3909"/>
    </row>
    <row r="3910" spans="14:18" x14ac:dyDescent="0.25">
      <c r="N3910"/>
      <c r="O3910"/>
      <c r="P3910"/>
      <c r="Q3910"/>
      <c r="R3910"/>
    </row>
    <row r="3911" spans="14:18" x14ac:dyDescent="0.25">
      <c r="N3911"/>
      <c r="O3911"/>
      <c r="P3911"/>
      <c r="Q3911"/>
      <c r="R3911"/>
    </row>
    <row r="3912" spans="14:18" x14ac:dyDescent="0.25">
      <c r="N3912"/>
      <c r="O3912"/>
      <c r="P3912"/>
      <c r="Q3912"/>
      <c r="R3912"/>
    </row>
    <row r="3913" spans="14:18" x14ac:dyDescent="0.25">
      <c r="N3913"/>
      <c r="O3913"/>
      <c r="P3913"/>
      <c r="Q3913"/>
      <c r="R3913"/>
    </row>
    <row r="3914" spans="14:18" x14ac:dyDescent="0.25">
      <c r="N3914"/>
      <c r="O3914"/>
      <c r="P3914"/>
      <c r="Q3914"/>
      <c r="R3914"/>
    </row>
    <row r="3915" spans="14:18" x14ac:dyDescent="0.25">
      <c r="N3915"/>
      <c r="O3915"/>
      <c r="P3915"/>
      <c r="Q3915"/>
      <c r="R3915"/>
    </row>
    <row r="3916" spans="14:18" x14ac:dyDescent="0.25">
      <c r="N3916"/>
      <c r="O3916"/>
      <c r="P3916"/>
      <c r="Q3916"/>
      <c r="R3916"/>
    </row>
    <row r="3917" spans="14:18" x14ac:dyDescent="0.25">
      <c r="N3917"/>
      <c r="O3917"/>
      <c r="P3917"/>
      <c r="Q3917"/>
      <c r="R3917"/>
    </row>
    <row r="3918" spans="14:18" x14ac:dyDescent="0.25">
      <c r="N3918"/>
      <c r="O3918"/>
      <c r="P3918"/>
      <c r="Q3918"/>
      <c r="R3918"/>
    </row>
    <row r="3919" spans="14:18" x14ac:dyDescent="0.25">
      <c r="N3919"/>
      <c r="O3919"/>
      <c r="P3919"/>
      <c r="Q3919"/>
      <c r="R3919"/>
    </row>
    <row r="3920" spans="14:18" x14ac:dyDescent="0.25">
      <c r="N3920"/>
      <c r="O3920"/>
      <c r="P3920"/>
      <c r="Q3920"/>
      <c r="R3920"/>
    </row>
    <row r="3921" spans="14:18" x14ac:dyDescent="0.25">
      <c r="N3921"/>
      <c r="O3921"/>
      <c r="P3921"/>
      <c r="Q3921"/>
      <c r="R3921"/>
    </row>
    <row r="3922" spans="14:18" x14ac:dyDescent="0.25">
      <c r="N3922"/>
      <c r="O3922"/>
      <c r="P3922"/>
      <c r="Q3922"/>
      <c r="R3922"/>
    </row>
    <row r="3923" spans="14:18" x14ac:dyDescent="0.25">
      <c r="N3923"/>
      <c r="O3923"/>
      <c r="P3923"/>
      <c r="Q3923"/>
      <c r="R3923"/>
    </row>
    <row r="3924" spans="14:18" x14ac:dyDescent="0.25">
      <c r="N3924"/>
      <c r="O3924"/>
      <c r="P3924"/>
      <c r="Q3924"/>
      <c r="R3924"/>
    </row>
    <row r="3925" spans="14:18" x14ac:dyDescent="0.25">
      <c r="N3925"/>
      <c r="O3925"/>
      <c r="P3925"/>
      <c r="Q3925"/>
      <c r="R3925"/>
    </row>
    <row r="3926" spans="14:18" x14ac:dyDescent="0.25">
      <c r="N3926"/>
      <c r="O3926"/>
      <c r="P3926"/>
      <c r="Q3926"/>
      <c r="R3926"/>
    </row>
    <row r="3927" spans="14:18" x14ac:dyDescent="0.25">
      <c r="N3927"/>
      <c r="O3927"/>
      <c r="P3927"/>
      <c r="Q3927"/>
      <c r="R3927"/>
    </row>
    <row r="3928" spans="14:18" x14ac:dyDescent="0.25">
      <c r="N3928"/>
      <c r="O3928"/>
      <c r="P3928"/>
      <c r="Q3928"/>
      <c r="R3928"/>
    </row>
    <row r="3929" spans="14:18" x14ac:dyDescent="0.25">
      <c r="N3929"/>
      <c r="O3929"/>
      <c r="P3929"/>
      <c r="Q3929"/>
      <c r="R3929"/>
    </row>
    <row r="3930" spans="14:18" x14ac:dyDescent="0.25">
      <c r="N3930"/>
      <c r="O3930"/>
      <c r="P3930"/>
      <c r="Q3930"/>
      <c r="R3930"/>
    </row>
    <row r="3931" spans="14:18" x14ac:dyDescent="0.25">
      <c r="N3931"/>
      <c r="O3931"/>
      <c r="P3931"/>
      <c r="Q3931"/>
      <c r="R3931"/>
    </row>
    <row r="3932" spans="14:18" x14ac:dyDescent="0.25">
      <c r="N3932"/>
      <c r="O3932"/>
      <c r="P3932"/>
      <c r="Q3932"/>
      <c r="R3932"/>
    </row>
    <row r="3933" spans="14:18" x14ac:dyDescent="0.25">
      <c r="N3933"/>
      <c r="O3933"/>
      <c r="P3933"/>
      <c r="Q3933"/>
      <c r="R3933"/>
    </row>
    <row r="3934" spans="14:18" x14ac:dyDescent="0.25">
      <c r="N3934"/>
      <c r="O3934"/>
      <c r="P3934"/>
      <c r="Q3934"/>
      <c r="R3934"/>
    </row>
    <row r="3935" spans="14:18" x14ac:dyDescent="0.25">
      <c r="N3935"/>
      <c r="O3935"/>
      <c r="P3935"/>
      <c r="Q3935"/>
      <c r="R3935"/>
    </row>
    <row r="3936" spans="14:18" x14ac:dyDescent="0.25">
      <c r="N3936"/>
      <c r="O3936"/>
      <c r="P3936"/>
      <c r="Q3936"/>
      <c r="R3936"/>
    </row>
    <row r="3937" spans="14:18" x14ac:dyDescent="0.25">
      <c r="N3937"/>
      <c r="O3937"/>
      <c r="P3937"/>
      <c r="Q3937"/>
      <c r="R3937"/>
    </row>
    <row r="3938" spans="14:18" x14ac:dyDescent="0.25">
      <c r="N3938"/>
      <c r="O3938"/>
      <c r="P3938"/>
      <c r="Q3938"/>
      <c r="R3938"/>
    </row>
    <row r="3939" spans="14:18" x14ac:dyDescent="0.25">
      <c r="N3939"/>
      <c r="O3939"/>
      <c r="P3939"/>
      <c r="Q3939"/>
      <c r="R3939"/>
    </row>
    <row r="3940" spans="14:18" x14ac:dyDescent="0.25">
      <c r="N3940"/>
      <c r="O3940"/>
      <c r="P3940"/>
      <c r="Q3940"/>
      <c r="R3940"/>
    </row>
    <row r="3941" spans="14:18" x14ac:dyDescent="0.25">
      <c r="N3941"/>
      <c r="O3941"/>
      <c r="P3941"/>
      <c r="Q3941"/>
      <c r="R3941"/>
    </row>
    <row r="3942" spans="14:18" x14ac:dyDescent="0.25">
      <c r="N3942"/>
      <c r="O3942"/>
      <c r="P3942"/>
      <c r="Q3942"/>
      <c r="R3942"/>
    </row>
    <row r="3943" spans="14:18" x14ac:dyDescent="0.25">
      <c r="N3943"/>
      <c r="O3943"/>
      <c r="P3943"/>
      <c r="Q3943"/>
      <c r="R3943"/>
    </row>
    <row r="3944" spans="14:18" x14ac:dyDescent="0.25">
      <c r="N3944"/>
      <c r="O3944"/>
      <c r="P3944"/>
      <c r="Q3944"/>
      <c r="R3944"/>
    </row>
    <row r="3945" spans="14:18" x14ac:dyDescent="0.25">
      <c r="N3945"/>
      <c r="O3945"/>
      <c r="P3945"/>
      <c r="Q3945"/>
      <c r="R3945"/>
    </row>
    <row r="3946" spans="14:18" x14ac:dyDescent="0.25">
      <c r="N3946"/>
      <c r="O3946"/>
      <c r="P3946"/>
      <c r="Q3946"/>
      <c r="R3946"/>
    </row>
    <row r="3947" spans="14:18" x14ac:dyDescent="0.25">
      <c r="N3947"/>
      <c r="O3947"/>
      <c r="P3947"/>
      <c r="Q3947"/>
      <c r="R3947"/>
    </row>
    <row r="3948" spans="14:18" x14ac:dyDescent="0.25">
      <c r="N3948"/>
      <c r="O3948"/>
      <c r="P3948"/>
      <c r="Q3948"/>
      <c r="R3948"/>
    </row>
    <row r="3949" spans="14:18" x14ac:dyDescent="0.25">
      <c r="N3949"/>
      <c r="O3949"/>
      <c r="P3949"/>
      <c r="Q3949"/>
      <c r="R3949"/>
    </row>
    <row r="3950" spans="14:18" x14ac:dyDescent="0.25">
      <c r="N3950"/>
      <c r="O3950"/>
      <c r="P3950"/>
      <c r="Q3950"/>
      <c r="R3950"/>
    </row>
    <row r="3951" spans="14:18" x14ac:dyDescent="0.25">
      <c r="N3951"/>
      <c r="O3951"/>
      <c r="P3951"/>
      <c r="Q3951"/>
      <c r="R3951"/>
    </row>
    <row r="3952" spans="14:18" x14ac:dyDescent="0.25">
      <c r="N3952"/>
      <c r="O3952"/>
      <c r="P3952"/>
      <c r="Q3952"/>
      <c r="R3952"/>
    </row>
    <row r="3953" spans="14:18" x14ac:dyDescent="0.25">
      <c r="N3953"/>
      <c r="O3953"/>
      <c r="P3953"/>
      <c r="Q3953"/>
      <c r="R3953"/>
    </row>
    <row r="3954" spans="14:18" x14ac:dyDescent="0.25">
      <c r="N3954"/>
      <c r="O3954"/>
      <c r="P3954"/>
      <c r="Q3954"/>
      <c r="R3954"/>
    </row>
    <row r="3955" spans="14:18" x14ac:dyDescent="0.25">
      <c r="N3955"/>
      <c r="O3955"/>
      <c r="P3955"/>
      <c r="Q3955"/>
      <c r="R3955"/>
    </row>
    <row r="3956" spans="14:18" x14ac:dyDescent="0.25">
      <c r="N3956"/>
      <c r="O3956"/>
      <c r="P3956"/>
      <c r="Q3956"/>
      <c r="R3956"/>
    </row>
    <row r="3957" spans="14:18" x14ac:dyDescent="0.25">
      <c r="N3957"/>
      <c r="O3957"/>
      <c r="P3957"/>
      <c r="Q3957"/>
      <c r="R3957"/>
    </row>
    <row r="3958" spans="14:18" x14ac:dyDescent="0.25">
      <c r="N3958"/>
      <c r="O3958"/>
      <c r="P3958"/>
      <c r="Q3958"/>
      <c r="R3958"/>
    </row>
    <row r="3959" spans="14:18" x14ac:dyDescent="0.25">
      <c r="N3959"/>
      <c r="O3959"/>
      <c r="P3959"/>
      <c r="Q3959"/>
      <c r="R3959"/>
    </row>
    <row r="3960" spans="14:18" x14ac:dyDescent="0.25">
      <c r="N3960"/>
      <c r="O3960"/>
      <c r="P3960"/>
      <c r="Q3960"/>
      <c r="R3960"/>
    </row>
    <row r="3961" spans="14:18" x14ac:dyDescent="0.25">
      <c r="N3961"/>
      <c r="O3961"/>
      <c r="P3961"/>
      <c r="Q3961"/>
      <c r="R3961"/>
    </row>
    <row r="3962" spans="14:18" x14ac:dyDescent="0.25">
      <c r="N3962"/>
      <c r="O3962"/>
      <c r="P3962"/>
      <c r="Q3962"/>
      <c r="R3962"/>
    </row>
    <row r="3963" spans="14:18" x14ac:dyDescent="0.25">
      <c r="N3963"/>
      <c r="O3963"/>
      <c r="P3963"/>
      <c r="Q3963"/>
      <c r="R3963"/>
    </row>
    <row r="3964" spans="14:18" x14ac:dyDescent="0.25">
      <c r="N3964"/>
      <c r="O3964"/>
      <c r="P3964"/>
      <c r="Q3964"/>
      <c r="R3964"/>
    </row>
    <row r="3965" spans="14:18" x14ac:dyDescent="0.25">
      <c r="N3965"/>
      <c r="O3965"/>
      <c r="P3965"/>
      <c r="Q3965"/>
      <c r="R3965"/>
    </row>
    <row r="3966" spans="14:18" x14ac:dyDescent="0.25">
      <c r="N3966"/>
      <c r="O3966"/>
      <c r="P3966"/>
      <c r="Q3966"/>
      <c r="R3966"/>
    </row>
    <row r="3967" spans="14:18" x14ac:dyDescent="0.25">
      <c r="N3967"/>
      <c r="O3967"/>
      <c r="P3967"/>
      <c r="Q3967"/>
      <c r="R3967"/>
    </row>
    <row r="3968" spans="14:18" x14ac:dyDescent="0.25">
      <c r="N3968"/>
      <c r="O3968"/>
      <c r="P3968"/>
      <c r="Q3968"/>
      <c r="R3968"/>
    </row>
    <row r="3969" spans="14:18" x14ac:dyDescent="0.25">
      <c r="N3969"/>
      <c r="O3969"/>
      <c r="P3969"/>
      <c r="Q3969"/>
      <c r="R3969"/>
    </row>
    <row r="3970" spans="14:18" x14ac:dyDescent="0.25">
      <c r="N3970"/>
      <c r="O3970"/>
      <c r="P3970"/>
      <c r="Q3970"/>
      <c r="R3970"/>
    </row>
    <row r="3971" spans="14:18" x14ac:dyDescent="0.25">
      <c r="N3971"/>
      <c r="O3971"/>
      <c r="P3971"/>
      <c r="Q3971"/>
      <c r="R3971"/>
    </row>
    <row r="3972" spans="14:18" x14ac:dyDescent="0.25">
      <c r="N3972"/>
      <c r="O3972"/>
      <c r="P3972"/>
      <c r="Q3972"/>
      <c r="R3972"/>
    </row>
    <row r="3973" spans="14:18" x14ac:dyDescent="0.25">
      <c r="N3973"/>
      <c r="O3973"/>
      <c r="P3973"/>
      <c r="Q3973"/>
      <c r="R3973"/>
    </row>
    <row r="3974" spans="14:18" x14ac:dyDescent="0.25">
      <c r="N3974"/>
      <c r="O3974"/>
      <c r="P3974"/>
      <c r="Q3974"/>
      <c r="R3974"/>
    </row>
    <row r="3975" spans="14:18" x14ac:dyDescent="0.25">
      <c r="N3975"/>
      <c r="O3975"/>
      <c r="P3975"/>
      <c r="Q3975"/>
      <c r="R3975"/>
    </row>
    <row r="3976" spans="14:18" x14ac:dyDescent="0.25">
      <c r="N3976"/>
      <c r="O3976"/>
      <c r="P3976"/>
      <c r="Q3976"/>
      <c r="R3976"/>
    </row>
    <row r="3977" spans="14:18" x14ac:dyDescent="0.25">
      <c r="N3977"/>
      <c r="O3977"/>
      <c r="P3977"/>
      <c r="Q3977"/>
      <c r="R3977"/>
    </row>
    <row r="3978" spans="14:18" x14ac:dyDescent="0.25">
      <c r="N3978"/>
      <c r="O3978"/>
      <c r="P3978"/>
      <c r="Q3978"/>
      <c r="R3978"/>
    </row>
    <row r="3979" spans="14:18" x14ac:dyDescent="0.25">
      <c r="N3979"/>
      <c r="O3979"/>
      <c r="P3979"/>
      <c r="Q3979"/>
      <c r="R3979"/>
    </row>
    <row r="3980" spans="14:18" x14ac:dyDescent="0.25">
      <c r="N3980"/>
      <c r="O3980"/>
      <c r="P3980"/>
      <c r="Q3980"/>
      <c r="R3980"/>
    </row>
    <row r="3981" spans="14:18" x14ac:dyDescent="0.25">
      <c r="N3981"/>
      <c r="O3981"/>
      <c r="P3981"/>
      <c r="Q3981"/>
      <c r="R3981"/>
    </row>
    <row r="3982" spans="14:18" x14ac:dyDescent="0.25">
      <c r="N3982"/>
      <c r="O3982"/>
      <c r="P3982"/>
      <c r="Q3982"/>
      <c r="R3982"/>
    </row>
    <row r="3983" spans="14:18" x14ac:dyDescent="0.25">
      <c r="N3983"/>
      <c r="O3983"/>
      <c r="P3983"/>
      <c r="Q3983"/>
      <c r="R3983"/>
    </row>
    <row r="3984" spans="14:18" x14ac:dyDescent="0.25">
      <c r="N3984"/>
      <c r="O3984"/>
      <c r="P3984"/>
      <c r="Q3984"/>
      <c r="R3984"/>
    </row>
    <row r="3985" spans="14:18" x14ac:dyDescent="0.25">
      <c r="N3985"/>
      <c r="O3985"/>
      <c r="P3985"/>
      <c r="Q3985"/>
      <c r="R3985"/>
    </row>
    <row r="3986" spans="14:18" x14ac:dyDescent="0.25">
      <c r="N3986"/>
      <c r="O3986"/>
      <c r="P3986"/>
      <c r="Q3986"/>
      <c r="R3986"/>
    </row>
    <row r="3987" spans="14:18" x14ac:dyDescent="0.25">
      <c r="N3987"/>
      <c r="O3987"/>
      <c r="P3987"/>
      <c r="Q3987"/>
      <c r="R3987"/>
    </row>
    <row r="3988" spans="14:18" x14ac:dyDescent="0.25">
      <c r="N3988"/>
      <c r="O3988"/>
      <c r="P3988"/>
      <c r="Q3988"/>
      <c r="R3988"/>
    </row>
    <row r="3989" spans="14:18" x14ac:dyDescent="0.25">
      <c r="N3989"/>
      <c r="O3989"/>
      <c r="P3989"/>
      <c r="Q3989"/>
      <c r="R3989"/>
    </row>
    <row r="3990" spans="14:18" x14ac:dyDescent="0.25">
      <c r="N3990"/>
      <c r="O3990"/>
      <c r="P3990"/>
      <c r="Q3990"/>
      <c r="R3990"/>
    </row>
    <row r="3991" spans="14:18" x14ac:dyDescent="0.25">
      <c r="N3991"/>
      <c r="O3991"/>
      <c r="P3991"/>
      <c r="Q3991"/>
      <c r="R3991"/>
    </row>
    <row r="3992" spans="14:18" x14ac:dyDescent="0.25">
      <c r="N3992"/>
      <c r="O3992"/>
      <c r="P3992"/>
      <c r="Q3992"/>
      <c r="R3992"/>
    </row>
    <row r="3993" spans="14:18" x14ac:dyDescent="0.25">
      <c r="N3993"/>
      <c r="O3993"/>
      <c r="P3993"/>
      <c r="Q3993"/>
      <c r="R3993"/>
    </row>
    <row r="3994" spans="14:18" x14ac:dyDescent="0.25">
      <c r="N3994"/>
      <c r="O3994"/>
      <c r="P3994"/>
      <c r="Q3994"/>
      <c r="R3994"/>
    </row>
    <row r="3995" spans="14:18" x14ac:dyDescent="0.25">
      <c r="N3995"/>
      <c r="O3995"/>
      <c r="P3995"/>
      <c r="Q3995"/>
      <c r="R3995"/>
    </row>
    <row r="3996" spans="14:18" x14ac:dyDescent="0.25">
      <c r="N3996"/>
      <c r="O3996"/>
      <c r="P3996"/>
      <c r="Q3996"/>
      <c r="R3996"/>
    </row>
    <row r="3997" spans="14:18" x14ac:dyDescent="0.25">
      <c r="N3997"/>
      <c r="O3997"/>
      <c r="P3997"/>
      <c r="Q3997"/>
      <c r="R3997"/>
    </row>
    <row r="3998" spans="14:18" x14ac:dyDescent="0.25">
      <c r="N3998"/>
      <c r="O3998"/>
      <c r="P3998"/>
      <c r="Q3998"/>
      <c r="R3998"/>
    </row>
    <row r="3999" spans="14:18" x14ac:dyDescent="0.25">
      <c r="N3999"/>
      <c r="O3999"/>
      <c r="P3999"/>
      <c r="Q3999"/>
      <c r="R3999"/>
    </row>
    <row r="4000" spans="14:18" x14ac:dyDescent="0.25">
      <c r="N4000"/>
      <c r="O4000"/>
      <c r="P4000"/>
      <c r="Q4000"/>
      <c r="R4000"/>
    </row>
    <row r="4001" spans="14:18" x14ac:dyDescent="0.25">
      <c r="N4001"/>
      <c r="O4001"/>
      <c r="P4001"/>
      <c r="Q4001"/>
      <c r="R4001"/>
    </row>
    <row r="4002" spans="14:18" x14ac:dyDescent="0.25">
      <c r="N4002"/>
      <c r="O4002"/>
      <c r="P4002"/>
      <c r="Q4002"/>
      <c r="R4002"/>
    </row>
    <row r="4003" spans="14:18" x14ac:dyDescent="0.25">
      <c r="N4003"/>
      <c r="O4003"/>
      <c r="P4003"/>
      <c r="Q4003"/>
      <c r="R4003"/>
    </row>
    <row r="4004" spans="14:18" x14ac:dyDescent="0.25">
      <c r="N4004"/>
      <c r="O4004"/>
      <c r="P4004"/>
      <c r="Q4004"/>
      <c r="R4004"/>
    </row>
    <row r="4005" spans="14:18" x14ac:dyDescent="0.25">
      <c r="N4005"/>
      <c r="O4005"/>
      <c r="P4005"/>
      <c r="Q4005"/>
      <c r="R4005"/>
    </row>
    <row r="4006" spans="14:18" x14ac:dyDescent="0.25">
      <c r="N4006"/>
      <c r="O4006"/>
      <c r="P4006"/>
      <c r="Q4006"/>
      <c r="R4006"/>
    </row>
    <row r="4007" spans="14:18" x14ac:dyDescent="0.25">
      <c r="N4007"/>
      <c r="O4007"/>
      <c r="P4007"/>
      <c r="Q4007"/>
      <c r="R4007"/>
    </row>
    <row r="4008" spans="14:18" x14ac:dyDescent="0.25">
      <c r="N4008"/>
      <c r="O4008"/>
      <c r="P4008"/>
      <c r="Q4008"/>
      <c r="R4008"/>
    </row>
    <row r="4009" spans="14:18" x14ac:dyDescent="0.25">
      <c r="N4009"/>
      <c r="O4009"/>
      <c r="P4009"/>
      <c r="Q4009"/>
      <c r="R4009"/>
    </row>
    <row r="4010" spans="14:18" x14ac:dyDescent="0.25">
      <c r="N4010"/>
      <c r="O4010"/>
      <c r="P4010"/>
      <c r="Q4010"/>
      <c r="R4010"/>
    </row>
    <row r="4011" spans="14:18" x14ac:dyDescent="0.25">
      <c r="N4011"/>
      <c r="O4011"/>
      <c r="P4011"/>
      <c r="Q4011"/>
      <c r="R4011"/>
    </row>
    <row r="4012" spans="14:18" x14ac:dyDescent="0.25">
      <c r="N4012"/>
      <c r="O4012"/>
      <c r="P4012"/>
      <c r="Q4012"/>
      <c r="R4012"/>
    </row>
    <row r="4013" spans="14:18" x14ac:dyDescent="0.25">
      <c r="N4013"/>
      <c r="O4013"/>
      <c r="P4013"/>
      <c r="Q4013"/>
      <c r="R4013"/>
    </row>
    <row r="4014" spans="14:18" x14ac:dyDescent="0.25">
      <c r="N4014"/>
      <c r="O4014"/>
      <c r="P4014"/>
      <c r="Q4014"/>
      <c r="R4014"/>
    </row>
    <row r="4015" spans="14:18" x14ac:dyDescent="0.25">
      <c r="N4015"/>
      <c r="O4015"/>
      <c r="P4015"/>
      <c r="Q4015"/>
      <c r="R4015"/>
    </row>
    <row r="4016" spans="14:18" x14ac:dyDescent="0.25">
      <c r="N4016"/>
      <c r="O4016"/>
      <c r="P4016"/>
      <c r="Q4016"/>
      <c r="R4016"/>
    </row>
    <row r="4017" spans="14:18" x14ac:dyDescent="0.25">
      <c r="N4017"/>
      <c r="O4017"/>
      <c r="P4017"/>
      <c r="Q4017"/>
      <c r="R4017"/>
    </row>
    <row r="4018" spans="14:18" x14ac:dyDescent="0.25">
      <c r="N4018"/>
      <c r="O4018"/>
      <c r="P4018"/>
      <c r="Q4018"/>
      <c r="R4018"/>
    </row>
    <row r="4019" spans="14:18" x14ac:dyDescent="0.25">
      <c r="N4019"/>
      <c r="O4019"/>
      <c r="P4019"/>
      <c r="Q4019"/>
      <c r="R4019"/>
    </row>
    <row r="4020" spans="14:18" x14ac:dyDescent="0.25">
      <c r="N4020"/>
      <c r="O4020"/>
      <c r="P4020"/>
      <c r="Q4020"/>
      <c r="R4020"/>
    </row>
    <row r="4021" spans="14:18" x14ac:dyDescent="0.25">
      <c r="N4021"/>
      <c r="O4021"/>
      <c r="P4021"/>
      <c r="Q4021"/>
      <c r="R4021"/>
    </row>
    <row r="4022" spans="14:18" x14ac:dyDescent="0.25">
      <c r="N4022"/>
      <c r="O4022"/>
      <c r="P4022"/>
      <c r="Q4022"/>
      <c r="R4022"/>
    </row>
    <row r="4023" spans="14:18" x14ac:dyDescent="0.25">
      <c r="N4023"/>
      <c r="O4023"/>
      <c r="P4023"/>
      <c r="Q4023"/>
      <c r="R4023"/>
    </row>
    <row r="4024" spans="14:18" x14ac:dyDescent="0.25">
      <c r="N4024"/>
      <c r="O4024"/>
      <c r="P4024"/>
      <c r="Q4024"/>
      <c r="R4024"/>
    </row>
    <row r="4025" spans="14:18" x14ac:dyDescent="0.25">
      <c r="N4025"/>
      <c r="O4025"/>
      <c r="P4025"/>
      <c r="Q4025"/>
      <c r="R4025"/>
    </row>
    <row r="4026" spans="14:18" x14ac:dyDescent="0.25">
      <c r="N4026"/>
      <c r="O4026"/>
      <c r="P4026"/>
      <c r="Q4026"/>
      <c r="R4026"/>
    </row>
    <row r="4027" spans="14:18" x14ac:dyDescent="0.25">
      <c r="N4027"/>
      <c r="O4027"/>
      <c r="P4027"/>
      <c r="Q4027"/>
      <c r="R4027"/>
    </row>
    <row r="4028" spans="14:18" x14ac:dyDescent="0.25">
      <c r="N4028"/>
      <c r="O4028"/>
      <c r="P4028"/>
      <c r="Q4028"/>
      <c r="R4028"/>
    </row>
    <row r="4029" spans="14:18" x14ac:dyDescent="0.25">
      <c r="N4029"/>
      <c r="O4029"/>
      <c r="P4029"/>
      <c r="Q4029"/>
      <c r="R4029"/>
    </row>
    <row r="4030" spans="14:18" x14ac:dyDescent="0.25">
      <c r="N4030"/>
      <c r="O4030"/>
      <c r="P4030"/>
      <c r="Q4030"/>
      <c r="R4030"/>
    </row>
    <row r="4031" spans="14:18" x14ac:dyDescent="0.25">
      <c r="N4031"/>
      <c r="O4031"/>
      <c r="P4031"/>
      <c r="Q4031"/>
      <c r="R4031"/>
    </row>
    <row r="4032" spans="14:18" x14ac:dyDescent="0.25">
      <c r="N4032"/>
      <c r="O4032"/>
      <c r="P4032"/>
      <c r="Q4032"/>
      <c r="R4032"/>
    </row>
    <row r="4033" spans="14:18" x14ac:dyDescent="0.25">
      <c r="N4033"/>
      <c r="O4033"/>
      <c r="P4033"/>
      <c r="Q4033"/>
      <c r="R4033"/>
    </row>
    <row r="4034" spans="14:18" x14ac:dyDescent="0.25">
      <c r="N4034"/>
      <c r="O4034"/>
      <c r="P4034"/>
      <c r="Q4034"/>
      <c r="R4034"/>
    </row>
    <row r="4035" spans="14:18" x14ac:dyDescent="0.25">
      <c r="N4035"/>
      <c r="O4035"/>
      <c r="P4035"/>
      <c r="Q4035"/>
      <c r="R4035"/>
    </row>
    <row r="4036" spans="14:18" x14ac:dyDescent="0.25">
      <c r="N4036"/>
      <c r="O4036"/>
      <c r="P4036"/>
      <c r="Q4036"/>
      <c r="R4036"/>
    </row>
    <row r="4037" spans="14:18" x14ac:dyDescent="0.25">
      <c r="N4037"/>
      <c r="O4037"/>
      <c r="P4037"/>
      <c r="Q4037"/>
      <c r="R4037"/>
    </row>
    <row r="4038" spans="14:18" x14ac:dyDescent="0.25">
      <c r="N4038"/>
      <c r="O4038"/>
      <c r="P4038"/>
      <c r="Q4038"/>
      <c r="R4038"/>
    </row>
    <row r="4039" spans="14:18" x14ac:dyDescent="0.25">
      <c r="N4039"/>
      <c r="O4039"/>
      <c r="P4039"/>
      <c r="Q4039"/>
      <c r="R4039"/>
    </row>
    <row r="4040" spans="14:18" x14ac:dyDescent="0.25">
      <c r="N4040"/>
      <c r="O4040"/>
      <c r="P4040"/>
      <c r="Q4040"/>
      <c r="R4040"/>
    </row>
    <row r="4041" spans="14:18" x14ac:dyDescent="0.25">
      <c r="N4041"/>
      <c r="O4041"/>
      <c r="P4041"/>
      <c r="Q4041"/>
      <c r="R4041"/>
    </row>
    <row r="4042" spans="14:18" x14ac:dyDescent="0.25">
      <c r="N4042"/>
      <c r="O4042"/>
      <c r="P4042"/>
      <c r="Q4042"/>
      <c r="R4042"/>
    </row>
    <row r="4043" spans="14:18" x14ac:dyDescent="0.25">
      <c r="N4043"/>
      <c r="O4043"/>
      <c r="P4043"/>
      <c r="Q4043"/>
      <c r="R4043"/>
    </row>
    <row r="4044" spans="14:18" x14ac:dyDescent="0.25">
      <c r="N4044"/>
      <c r="O4044"/>
      <c r="P4044"/>
      <c r="Q4044"/>
      <c r="R4044"/>
    </row>
    <row r="4045" spans="14:18" x14ac:dyDescent="0.25">
      <c r="N4045"/>
      <c r="O4045"/>
      <c r="P4045"/>
      <c r="Q4045"/>
      <c r="R4045"/>
    </row>
    <row r="4046" spans="14:18" x14ac:dyDescent="0.25">
      <c r="N4046"/>
      <c r="O4046"/>
      <c r="P4046"/>
      <c r="Q4046"/>
      <c r="R4046"/>
    </row>
    <row r="4047" spans="14:18" x14ac:dyDescent="0.25">
      <c r="N4047"/>
      <c r="O4047"/>
      <c r="P4047"/>
      <c r="Q4047"/>
      <c r="R4047"/>
    </row>
    <row r="4048" spans="14:18" x14ac:dyDescent="0.25">
      <c r="N4048"/>
      <c r="O4048"/>
      <c r="P4048"/>
      <c r="Q4048"/>
      <c r="R4048"/>
    </row>
    <row r="4049" spans="14:18" x14ac:dyDescent="0.25">
      <c r="N4049"/>
      <c r="O4049"/>
      <c r="P4049"/>
      <c r="Q4049"/>
      <c r="R4049"/>
    </row>
    <row r="4050" spans="14:18" x14ac:dyDescent="0.25">
      <c r="N4050"/>
      <c r="O4050"/>
      <c r="P4050"/>
      <c r="Q4050"/>
      <c r="R4050"/>
    </row>
    <row r="4051" spans="14:18" x14ac:dyDescent="0.25">
      <c r="N4051"/>
      <c r="O4051"/>
      <c r="P4051"/>
      <c r="Q4051"/>
      <c r="R4051"/>
    </row>
    <row r="4052" spans="14:18" x14ac:dyDescent="0.25">
      <c r="N4052"/>
      <c r="O4052"/>
      <c r="P4052"/>
      <c r="Q4052"/>
      <c r="R4052"/>
    </row>
    <row r="4053" spans="14:18" x14ac:dyDescent="0.25">
      <c r="N4053"/>
      <c r="O4053"/>
      <c r="P4053"/>
      <c r="Q4053"/>
      <c r="R4053"/>
    </row>
    <row r="4054" spans="14:18" x14ac:dyDescent="0.25">
      <c r="N4054"/>
      <c r="O4054"/>
      <c r="P4054"/>
      <c r="Q4054"/>
      <c r="R4054"/>
    </row>
    <row r="4055" spans="14:18" x14ac:dyDescent="0.25">
      <c r="N4055"/>
      <c r="O4055"/>
      <c r="P4055"/>
      <c r="Q4055"/>
      <c r="R4055"/>
    </row>
    <row r="4056" spans="14:18" x14ac:dyDescent="0.25">
      <c r="N4056"/>
      <c r="O4056"/>
      <c r="P4056"/>
      <c r="Q4056"/>
      <c r="R4056"/>
    </row>
    <row r="4057" spans="14:18" x14ac:dyDescent="0.25">
      <c r="N4057"/>
      <c r="O4057"/>
      <c r="P4057"/>
      <c r="Q4057"/>
      <c r="R4057"/>
    </row>
    <row r="4058" spans="14:18" x14ac:dyDescent="0.25">
      <c r="N4058"/>
      <c r="O4058"/>
      <c r="P4058"/>
      <c r="Q4058"/>
      <c r="R4058"/>
    </row>
    <row r="4059" spans="14:18" x14ac:dyDescent="0.25">
      <c r="N4059"/>
      <c r="O4059"/>
      <c r="P4059"/>
      <c r="Q4059"/>
      <c r="R4059"/>
    </row>
    <row r="4060" spans="14:18" x14ac:dyDescent="0.25">
      <c r="N4060"/>
      <c r="O4060"/>
      <c r="P4060"/>
      <c r="Q4060"/>
      <c r="R4060"/>
    </row>
    <row r="4061" spans="14:18" x14ac:dyDescent="0.25">
      <c r="N4061"/>
      <c r="O4061"/>
      <c r="P4061"/>
      <c r="Q4061"/>
      <c r="R4061"/>
    </row>
    <row r="4062" spans="14:18" x14ac:dyDescent="0.25">
      <c r="N4062"/>
      <c r="O4062"/>
      <c r="P4062"/>
      <c r="Q4062"/>
      <c r="R4062"/>
    </row>
    <row r="4063" spans="14:18" x14ac:dyDescent="0.25">
      <c r="N4063"/>
      <c r="O4063"/>
      <c r="P4063"/>
      <c r="Q4063"/>
      <c r="R4063"/>
    </row>
    <row r="4064" spans="14:18" x14ac:dyDescent="0.25">
      <c r="N4064"/>
      <c r="O4064"/>
      <c r="P4064"/>
      <c r="Q4064"/>
      <c r="R4064"/>
    </row>
    <row r="4065" spans="14:18" x14ac:dyDescent="0.25">
      <c r="N4065"/>
      <c r="O4065"/>
      <c r="P4065"/>
      <c r="Q4065"/>
      <c r="R4065"/>
    </row>
    <row r="4066" spans="14:18" x14ac:dyDescent="0.25">
      <c r="N4066"/>
      <c r="O4066"/>
      <c r="P4066"/>
      <c r="Q4066"/>
      <c r="R4066"/>
    </row>
    <row r="4067" spans="14:18" x14ac:dyDescent="0.25">
      <c r="N4067"/>
      <c r="O4067"/>
      <c r="P4067"/>
      <c r="Q4067"/>
      <c r="R4067"/>
    </row>
    <row r="4068" spans="14:18" x14ac:dyDescent="0.25">
      <c r="N4068"/>
      <c r="O4068"/>
      <c r="P4068"/>
      <c r="Q4068"/>
      <c r="R4068"/>
    </row>
    <row r="4069" spans="14:18" x14ac:dyDescent="0.25">
      <c r="N4069"/>
      <c r="O4069"/>
      <c r="P4069"/>
      <c r="Q4069"/>
      <c r="R4069"/>
    </row>
    <row r="4070" spans="14:18" x14ac:dyDescent="0.25">
      <c r="N4070"/>
      <c r="O4070"/>
      <c r="P4070"/>
      <c r="Q4070"/>
      <c r="R4070"/>
    </row>
    <row r="4071" spans="14:18" x14ac:dyDescent="0.25">
      <c r="N4071"/>
      <c r="O4071"/>
      <c r="P4071"/>
      <c r="Q4071"/>
      <c r="R4071"/>
    </row>
    <row r="4072" spans="14:18" x14ac:dyDescent="0.25">
      <c r="N4072"/>
      <c r="O4072"/>
      <c r="P4072"/>
      <c r="Q4072"/>
      <c r="R4072"/>
    </row>
    <row r="4073" spans="14:18" x14ac:dyDescent="0.25">
      <c r="N4073"/>
      <c r="O4073"/>
      <c r="P4073"/>
      <c r="Q4073"/>
      <c r="R4073"/>
    </row>
    <row r="4074" spans="14:18" x14ac:dyDescent="0.25">
      <c r="N4074"/>
      <c r="O4074"/>
      <c r="P4074"/>
      <c r="Q4074"/>
      <c r="R4074"/>
    </row>
    <row r="4075" spans="14:18" x14ac:dyDescent="0.25">
      <c r="N4075"/>
      <c r="O4075"/>
      <c r="P4075"/>
      <c r="Q4075"/>
      <c r="R4075"/>
    </row>
    <row r="4076" spans="14:18" x14ac:dyDescent="0.25">
      <c r="N4076"/>
      <c r="O4076"/>
      <c r="P4076"/>
      <c r="Q4076"/>
      <c r="R4076"/>
    </row>
    <row r="4077" spans="14:18" x14ac:dyDescent="0.25">
      <c r="N4077"/>
      <c r="O4077"/>
      <c r="P4077"/>
      <c r="Q4077"/>
      <c r="R4077"/>
    </row>
    <row r="4078" spans="14:18" x14ac:dyDescent="0.25">
      <c r="N4078"/>
      <c r="O4078"/>
      <c r="P4078"/>
      <c r="Q4078"/>
      <c r="R4078"/>
    </row>
    <row r="4079" spans="14:18" x14ac:dyDescent="0.25">
      <c r="N4079"/>
      <c r="O4079"/>
      <c r="P4079"/>
      <c r="Q4079"/>
      <c r="R4079"/>
    </row>
    <row r="4080" spans="14:18" x14ac:dyDescent="0.25">
      <c r="N4080"/>
      <c r="O4080"/>
      <c r="P4080"/>
      <c r="Q4080"/>
      <c r="R4080"/>
    </row>
    <row r="4081" spans="14:18" x14ac:dyDescent="0.25">
      <c r="N4081"/>
      <c r="O4081"/>
      <c r="P4081"/>
      <c r="Q4081"/>
      <c r="R4081"/>
    </row>
    <row r="4082" spans="14:18" x14ac:dyDescent="0.25">
      <c r="N4082"/>
      <c r="O4082"/>
      <c r="P4082"/>
      <c r="Q4082"/>
      <c r="R4082"/>
    </row>
    <row r="4083" spans="14:18" x14ac:dyDescent="0.25">
      <c r="N4083"/>
      <c r="O4083"/>
      <c r="P4083"/>
      <c r="Q4083"/>
      <c r="R4083"/>
    </row>
    <row r="4084" spans="14:18" x14ac:dyDescent="0.25">
      <c r="N4084"/>
      <c r="O4084"/>
      <c r="P4084"/>
      <c r="Q4084"/>
      <c r="R4084"/>
    </row>
    <row r="4085" spans="14:18" x14ac:dyDescent="0.25">
      <c r="N4085"/>
      <c r="O4085"/>
      <c r="P4085"/>
      <c r="Q4085"/>
      <c r="R4085"/>
    </row>
    <row r="4086" spans="14:18" x14ac:dyDescent="0.25">
      <c r="N4086"/>
      <c r="O4086"/>
      <c r="P4086"/>
      <c r="Q4086"/>
      <c r="R4086"/>
    </row>
    <row r="4087" spans="14:18" x14ac:dyDescent="0.25">
      <c r="N4087"/>
      <c r="O4087"/>
      <c r="P4087"/>
      <c r="Q4087"/>
      <c r="R4087"/>
    </row>
    <row r="4088" spans="14:18" x14ac:dyDescent="0.25">
      <c r="N4088"/>
      <c r="O4088"/>
      <c r="P4088"/>
      <c r="Q4088"/>
      <c r="R4088"/>
    </row>
    <row r="4089" spans="14:18" x14ac:dyDescent="0.25">
      <c r="N4089"/>
      <c r="O4089"/>
      <c r="P4089"/>
      <c r="Q4089"/>
      <c r="R4089"/>
    </row>
    <row r="4090" spans="14:18" x14ac:dyDescent="0.25">
      <c r="N4090"/>
      <c r="O4090"/>
      <c r="P4090"/>
      <c r="Q4090"/>
      <c r="R4090"/>
    </row>
    <row r="4091" spans="14:18" x14ac:dyDescent="0.25">
      <c r="N4091"/>
      <c r="O4091"/>
      <c r="P4091"/>
      <c r="Q4091"/>
      <c r="R4091"/>
    </row>
    <row r="4092" spans="14:18" x14ac:dyDescent="0.25">
      <c r="N4092"/>
      <c r="O4092"/>
      <c r="P4092"/>
      <c r="Q4092"/>
      <c r="R4092"/>
    </row>
    <row r="4093" spans="14:18" x14ac:dyDescent="0.25">
      <c r="N4093"/>
      <c r="O4093"/>
      <c r="P4093"/>
      <c r="Q4093"/>
      <c r="R4093"/>
    </row>
    <row r="4094" spans="14:18" x14ac:dyDescent="0.25">
      <c r="N4094"/>
      <c r="O4094"/>
      <c r="P4094"/>
      <c r="Q4094"/>
      <c r="R4094"/>
    </row>
    <row r="4095" spans="14:18" x14ac:dyDescent="0.25">
      <c r="N4095"/>
      <c r="O4095"/>
      <c r="P4095"/>
      <c r="Q4095"/>
      <c r="R4095"/>
    </row>
    <row r="4096" spans="14:18" x14ac:dyDescent="0.25">
      <c r="N4096"/>
      <c r="O4096"/>
      <c r="P4096"/>
      <c r="Q4096"/>
      <c r="R4096"/>
    </row>
    <row r="4097" spans="14:18" x14ac:dyDescent="0.25">
      <c r="N4097"/>
      <c r="O4097"/>
      <c r="P4097"/>
      <c r="Q4097"/>
      <c r="R4097"/>
    </row>
    <row r="4098" spans="14:18" x14ac:dyDescent="0.25">
      <c r="N4098"/>
      <c r="O4098"/>
      <c r="P4098"/>
      <c r="Q4098"/>
      <c r="R4098"/>
    </row>
    <row r="4099" spans="14:18" x14ac:dyDescent="0.25">
      <c r="N4099"/>
      <c r="O4099"/>
      <c r="P4099"/>
      <c r="Q4099"/>
      <c r="R4099"/>
    </row>
    <row r="4100" spans="14:18" x14ac:dyDescent="0.25">
      <c r="N4100"/>
      <c r="O4100"/>
      <c r="P4100"/>
      <c r="Q4100"/>
      <c r="R4100"/>
    </row>
    <row r="4101" spans="14:18" x14ac:dyDescent="0.25">
      <c r="N4101"/>
      <c r="O4101"/>
      <c r="P4101"/>
      <c r="Q4101"/>
      <c r="R4101"/>
    </row>
    <row r="4102" spans="14:18" x14ac:dyDescent="0.25">
      <c r="N4102"/>
      <c r="O4102"/>
      <c r="P4102"/>
      <c r="Q4102"/>
      <c r="R4102"/>
    </row>
    <row r="4103" spans="14:18" x14ac:dyDescent="0.25">
      <c r="N4103"/>
      <c r="O4103"/>
      <c r="P4103"/>
      <c r="Q4103"/>
      <c r="R4103"/>
    </row>
    <row r="4104" spans="14:18" x14ac:dyDescent="0.25">
      <c r="N4104"/>
      <c r="O4104"/>
      <c r="P4104"/>
      <c r="Q4104"/>
      <c r="R4104"/>
    </row>
    <row r="4105" spans="14:18" x14ac:dyDescent="0.25">
      <c r="N4105"/>
      <c r="O4105"/>
      <c r="P4105"/>
      <c r="Q4105"/>
      <c r="R4105"/>
    </row>
    <row r="4106" spans="14:18" x14ac:dyDescent="0.25">
      <c r="N4106"/>
      <c r="O4106"/>
      <c r="P4106"/>
      <c r="Q4106"/>
      <c r="R4106"/>
    </row>
    <row r="4107" spans="14:18" x14ac:dyDescent="0.25">
      <c r="N4107"/>
      <c r="O4107"/>
      <c r="P4107"/>
      <c r="Q4107"/>
      <c r="R4107"/>
    </row>
    <row r="4108" spans="14:18" x14ac:dyDescent="0.25">
      <c r="N4108"/>
      <c r="O4108"/>
      <c r="P4108"/>
      <c r="Q4108"/>
      <c r="R4108"/>
    </row>
    <row r="4109" spans="14:18" x14ac:dyDescent="0.25">
      <c r="N4109"/>
      <c r="O4109"/>
      <c r="P4109"/>
      <c r="Q4109"/>
      <c r="R4109"/>
    </row>
    <row r="4110" spans="14:18" x14ac:dyDescent="0.25">
      <c r="N4110"/>
      <c r="O4110"/>
      <c r="P4110"/>
      <c r="Q4110"/>
      <c r="R4110"/>
    </row>
    <row r="4111" spans="14:18" x14ac:dyDescent="0.25">
      <c r="N4111"/>
      <c r="O4111"/>
      <c r="P4111"/>
      <c r="Q4111"/>
      <c r="R4111"/>
    </row>
    <row r="4112" spans="14:18" x14ac:dyDescent="0.25">
      <c r="N4112"/>
      <c r="O4112"/>
      <c r="P4112"/>
      <c r="Q4112"/>
      <c r="R4112"/>
    </row>
    <row r="4113" spans="14:18" x14ac:dyDescent="0.25">
      <c r="N4113"/>
      <c r="O4113"/>
      <c r="P4113"/>
      <c r="Q4113"/>
      <c r="R4113"/>
    </row>
    <row r="4114" spans="14:18" x14ac:dyDescent="0.25">
      <c r="N4114"/>
      <c r="O4114"/>
      <c r="P4114"/>
      <c r="Q4114"/>
      <c r="R4114"/>
    </row>
    <row r="4115" spans="14:18" x14ac:dyDescent="0.25">
      <c r="N4115"/>
      <c r="O4115"/>
      <c r="P4115"/>
      <c r="Q4115"/>
      <c r="R4115"/>
    </row>
    <row r="4116" spans="14:18" x14ac:dyDescent="0.25">
      <c r="N4116"/>
      <c r="O4116"/>
      <c r="P4116"/>
      <c r="Q4116"/>
      <c r="R4116"/>
    </row>
    <row r="4117" spans="14:18" x14ac:dyDescent="0.25">
      <c r="N4117"/>
      <c r="O4117"/>
      <c r="P4117"/>
      <c r="Q4117"/>
      <c r="R4117"/>
    </row>
    <row r="4118" spans="14:18" x14ac:dyDescent="0.25">
      <c r="N4118"/>
      <c r="O4118"/>
      <c r="P4118"/>
      <c r="Q4118"/>
      <c r="R4118"/>
    </row>
    <row r="4119" spans="14:18" x14ac:dyDescent="0.25">
      <c r="N4119"/>
      <c r="O4119"/>
      <c r="P4119"/>
      <c r="Q4119"/>
      <c r="R4119"/>
    </row>
    <row r="4120" spans="14:18" x14ac:dyDescent="0.25">
      <c r="N4120"/>
      <c r="O4120"/>
      <c r="P4120"/>
      <c r="Q4120"/>
      <c r="R4120"/>
    </row>
    <row r="4121" spans="14:18" x14ac:dyDescent="0.25">
      <c r="N4121"/>
      <c r="O4121"/>
      <c r="P4121"/>
      <c r="Q4121"/>
      <c r="R4121"/>
    </row>
    <row r="4122" spans="14:18" x14ac:dyDescent="0.25">
      <c r="N4122"/>
      <c r="O4122"/>
      <c r="P4122"/>
      <c r="Q4122"/>
      <c r="R4122"/>
    </row>
    <row r="4123" spans="14:18" x14ac:dyDescent="0.25">
      <c r="N4123"/>
      <c r="O4123"/>
      <c r="P4123"/>
      <c r="Q4123"/>
      <c r="R4123"/>
    </row>
    <row r="4124" spans="14:18" x14ac:dyDescent="0.25">
      <c r="N4124"/>
      <c r="O4124"/>
      <c r="P4124"/>
      <c r="Q4124"/>
      <c r="R4124"/>
    </row>
    <row r="4125" spans="14:18" x14ac:dyDescent="0.25">
      <c r="N4125"/>
      <c r="O4125"/>
      <c r="P4125"/>
      <c r="Q4125"/>
      <c r="R4125"/>
    </row>
    <row r="4126" spans="14:18" x14ac:dyDescent="0.25">
      <c r="N4126"/>
      <c r="O4126"/>
      <c r="P4126"/>
      <c r="Q4126"/>
      <c r="R4126"/>
    </row>
    <row r="4127" spans="14:18" x14ac:dyDescent="0.25">
      <c r="N4127"/>
      <c r="O4127"/>
      <c r="P4127"/>
      <c r="Q4127"/>
      <c r="R4127"/>
    </row>
    <row r="4128" spans="14:18" x14ac:dyDescent="0.25">
      <c r="N4128"/>
      <c r="O4128"/>
      <c r="P4128"/>
      <c r="Q4128"/>
      <c r="R4128"/>
    </row>
    <row r="4129" spans="14:18" x14ac:dyDescent="0.25">
      <c r="N4129"/>
      <c r="O4129"/>
      <c r="P4129"/>
      <c r="Q4129"/>
      <c r="R4129"/>
    </row>
    <row r="4130" spans="14:18" x14ac:dyDescent="0.25">
      <c r="N4130"/>
      <c r="O4130"/>
      <c r="P4130"/>
      <c r="Q4130"/>
      <c r="R4130"/>
    </row>
    <row r="4131" spans="14:18" x14ac:dyDescent="0.25">
      <c r="N4131"/>
      <c r="O4131"/>
      <c r="P4131"/>
      <c r="Q4131"/>
      <c r="R4131"/>
    </row>
    <row r="4132" spans="14:18" x14ac:dyDescent="0.25">
      <c r="N4132"/>
      <c r="O4132"/>
      <c r="P4132"/>
      <c r="Q4132"/>
      <c r="R4132"/>
    </row>
    <row r="4133" spans="14:18" x14ac:dyDescent="0.25">
      <c r="N4133"/>
      <c r="O4133"/>
      <c r="P4133"/>
      <c r="Q4133"/>
      <c r="R4133"/>
    </row>
    <row r="4134" spans="14:18" x14ac:dyDescent="0.25">
      <c r="N4134"/>
      <c r="O4134"/>
      <c r="P4134"/>
      <c r="Q4134"/>
      <c r="R4134"/>
    </row>
    <row r="4135" spans="14:18" x14ac:dyDescent="0.25">
      <c r="N4135"/>
      <c r="O4135"/>
      <c r="P4135"/>
      <c r="Q4135"/>
      <c r="R4135"/>
    </row>
    <row r="4136" spans="14:18" x14ac:dyDescent="0.25">
      <c r="N4136"/>
      <c r="O4136"/>
      <c r="P4136"/>
      <c r="Q4136"/>
      <c r="R4136"/>
    </row>
    <row r="4137" spans="14:18" x14ac:dyDescent="0.25">
      <c r="N4137"/>
      <c r="O4137"/>
      <c r="P4137"/>
      <c r="Q4137"/>
      <c r="R4137"/>
    </row>
    <row r="4138" spans="14:18" x14ac:dyDescent="0.25">
      <c r="N4138"/>
      <c r="O4138"/>
      <c r="P4138"/>
      <c r="Q4138"/>
      <c r="R4138"/>
    </row>
    <row r="4139" spans="14:18" x14ac:dyDescent="0.25">
      <c r="N4139"/>
      <c r="O4139"/>
      <c r="P4139"/>
      <c r="Q4139"/>
      <c r="R4139"/>
    </row>
    <row r="4140" spans="14:18" x14ac:dyDescent="0.25">
      <c r="N4140"/>
      <c r="O4140"/>
      <c r="P4140"/>
      <c r="Q4140"/>
      <c r="R4140"/>
    </row>
    <row r="4141" spans="14:18" x14ac:dyDescent="0.25">
      <c r="N4141"/>
      <c r="O4141"/>
      <c r="P4141"/>
      <c r="Q4141"/>
      <c r="R4141"/>
    </row>
    <row r="4142" spans="14:18" x14ac:dyDescent="0.25">
      <c r="N4142"/>
      <c r="O4142"/>
      <c r="P4142"/>
      <c r="Q4142"/>
      <c r="R4142"/>
    </row>
    <row r="4143" spans="14:18" x14ac:dyDescent="0.25">
      <c r="N4143"/>
      <c r="O4143"/>
      <c r="P4143"/>
      <c r="Q4143"/>
      <c r="R4143"/>
    </row>
    <row r="4144" spans="14:18" x14ac:dyDescent="0.25">
      <c r="N4144"/>
      <c r="O4144"/>
      <c r="P4144"/>
      <c r="Q4144"/>
      <c r="R4144"/>
    </row>
    <row r="4145" spans="14:18" x14ac:dyDescent="0.25">
      <c r="N4145"/>
      <c r="O4145"/>
      <c r="P4145"/>
      <c r="Q4145"/>
      <c r="R4145"/>
    </row>
    <row r="4146" spans="14:18" x14ac:dyDescent="0.25">
      <c r="N4146"/>
      <c r="O4146"/>
      <c r="P4146"/>
      <c r="Q4146"/>
      <c r="R4146"/>
    </row>
    <row r="4147" spans="14:18" x14ac:dyDescent="0.25">
      <c r="N4147"/>
      <c r="O4147"/>
      <c r="P4147"/>
      <c r="Q4147"/>
      <c r="R4147"/>
    </row>
    <row r="4148" spans="14:18" x14ac:dyDescent="0.25">
      <c r="N4148"/>
      <c r="O4148"/>
      <c r="P4148"/>
      <c r="Q4148"/>
      <c r="R4148"/>
    </row>
    <row r="4149" spans="14:18" x14ac:dyDescent="0.25">
      <c r="N4149"/>
      <c r="O4149"/>
      <c r="P4149"/>
      <c r="Q4149"/>
      <c r="R4149"/>
    </row>
    <row r="4150" spans="14:18" x14ac:dyDescent="0.25">
      <c r="N4150"/>
      <c r="O4150"/>
      <c r="P4150"/>
      <c r="Q4150"/>
      <c r="R4150"/>
    </row>
    <row r="4151" spans="14:18" x14ac:dyDescent="0.25">
      <c r="N4151"/>
      <c r="O4151"/>
      <c r="P4151"/>
      <c r="Q4151"/>
      <c r="R4151"/>
    </row>
    <row r="4152" spans="14:18" x14ac:dyDescent="0.25">
      <c r="N4152"/>
      <c r="O4152"/>
      <c r="P4152"/>
      <c r="Q4152"/>
      <c r="R4152"/>
    </row>
    <row r="4153" spans="14:18" x14ac:dyDescent="0.25">
      <c r="N4153"/>
      <c r="O4153"/>
      <c r="P4153"/>
      <c r="Q4153"/>
      <c r="R4153"/>
    </row>
    <row r="4154" spans="14:18" x14ac:dyDescent="0.25">
      <c r="N4154"/>
      <c r="O4154"/>
      <c r="P4154"/>
      <c r="Q4154"/>
      <c r="R4154"/>
    </row>
    <row r="4155" spans="14:18" x14ac:dyDescent="0.25">
      <c r="N4155"/>
      <c r="O4155"/>
      <c r="P4155"/>
      <c r="Q4155"/>
      <c r="R4155"/>
    </row>
    <row r="4156" spans="14:18" x14ac:dyDescent="0.25">
      <c r="N4156"/>
      <c r="O4156"/>
      <c r="P4156"/>
      <c r="Q4156"/>
      <c r="R4156"/>
    </row>
    <row r="4157" spans="14:18" x14ac:dyDescent="0.25">
      <c r="N4157"/>
      <c r="O4157"/>
      <c r="P4157"/>
      <c r="Q4157"/>
      <c r="R4157"/>
    </row>
    <row r="4158" spans="14:18" x14ac:dyDescent="0.25">
      <c r="N4158"/>
      <c r="O4158"/>
      <c r="P4158"/>
      <c r="Q4158"/>
      <c r="R4158"/>
    </row>
    <row r="4159" spans="14:18" x14ac:dyDescent="0.25">
      <c r="N4159"/>
      <c r="O4159"/>
      <c r="P4159"/>
      <c r="Q4159"/>
      <c r="R4159"/>
    </row>
    <row r="4160" spans="14:18" x14ac:dyDescent="0.25">
      <c r="N4160"/>
      <c r="O4160"/>
      <c r="P4160"/>
      <c r="Q4160"/>
      <c r="R4160"/>
    </row>
    <row r="4161" spans="14:18" x14ac:dyDescent="0.25">
      <c r="N4161"/>
      <c r="O4161"/>
      <c r="P4161"/>
      <c r="Q4161"/>
      <c r="R4161"/>
    </row>
    <row r="4162" spans="14:18" x14ac:dyDescent="0.25">
      <c r="N4162"/>
      <c r="O4162"/>
      <c r="P4162"/>
      <c r="Q4162"/>
      <c r="R4162"/>
    </row>
    <row r="4163" spans="14:18" x14ac:dyDescent="0.25">
      <c r="N4163"/>
      <c r="O4163"/>
      <c r="P4163"/>
      <c r="Q4163"/>
      <c r="R4163"/>
    </row>
    <row r="4164" spans="14:18" x14ac:dyDescent="0.25">
      <c r="N4164"/>
      <c r="O4164"/>
      <c r="P4164"/>
      <c r="Q4164"/>
      <c r="R4164"/>
    </row>
    <row r="4165" spans="14:18" x14ac:dyDescent="0.25">
      <c r="N4165"/>
      <c r="O4165"/>
      <c r="P4165"/>
      <c r="Q4165"/>
      <c r="R4165"/>
    </row>
    <row r="4166" spans="14:18" x14ac:dyDescent="0.25">
      <c r="N4166"/>
      <c r="O4166"/>
      <c r="P4166"/>
      <c r="Q4166"/>
      <c r="R4166"/>
    </row>
    <row r="4167" spans="14:18" x14ac:dyDescent="0.25">
      <c r="N4167"/>
      <c r="O4167"/>
      <c r="P4167"/>
      <c r="Q4167"/>
      <c r="R4167"/>
    </row>
    <row r="4168" spans="14:18" x14ac:dyDescent="0.25">
      <c r="N4168"/>
      <c r="O4168"/>
      <c r="P4168"/>
      <c r="Q4168"/>
      <c r="R4168"/>
    </row>
    <row r="4169" spans="14:18" x14ac:dyDescent="0.25">
      <c r="N4169"/>
      <c r="O4169"/>
      <c r="P4169"/>
      <c r="Q4169"/>
      <c r="R4169"/>
    </row>
    <row r="4170" spans="14:18" x14ac:dyDescent="0.25">
      <c r="N4170"/>
      <c r="O4170"/>
      <c r="P4170"/>
      <c r="Q4170"/>
      <c r="R4170"/>
    </row>
    <row r="4171" spans="14:18" x14ac:dyDescent="0.25">
      <c r="N4171"/>
      <c r="O4171"/>
      <c r="P4171"/>
      <c r="Q4171"/>
      <c r="R4171"/>
    </row>
    <row r="4172" spans="14:18" x14ac:dyDescent="0.25">
      <c r="N4172"/>
      <c r="O4172"/>
      <c r="P4172"/>
      <c r="Q4172"/>
      <c r="R4172"/>
    </row>
    <row r="4173" spans="14:18" x14ac:dyDescent="0.25">
      <c r="N4173"/>
      <c r="O4173"/>
      <c r="P4173"/>
      <c r="Q4173"/>
      <c r="R4173"/>
    </row>
    <row r="4174" spans="14:18" x14ac:dyDescent="0.25">
      <c r="N4174"/>
      <c r="O4174"/>
      <c r="P4174"/>
      <c r="Q4174"/>
      <c r="R4174"/>
    </row>
    <row r="4175" spans="14:18" x14ac:dyDescent="0.25">
      <c r="N4175"/>
      <c r="O4175"/>
      <c r="P4175"/>
      <c r="Q4175"/>
      <c r="R4175"/>
    </row>
    <row r="4176" spans="14:18" x14ac:dyDescent="0.25">
      <c r="N4176"/>
      <c r="O4176"/>
      <c r="P4176"/>
      <c r="Q4176"/>
      <c r="R4176"/>
    </row>
    <row r="4177" spans="14:18" x14ac:dyDescent="0.25">
      <c r="N4177"/>
      <c r="O4177"/>
      <c r="P4177"/>
      <c r="Q4177"/>
      <c r="R4177"/>
    </row>
    <row r="4178" spans="14:18" x14ac:dyDescent="0.25">
      <c r="N4178"/>
      <c r="O4178"/>
      <c r="P4178"/>
      <c r="Q4178"/>
      <c r="R4178"/>
    </row>
    <row r="4179" spans="14:18" x14ac:dyDescent="0.25">
      <c r="N4179"/>
      <c r="O4179"/>
      <c r="P4179"/>
      <c r="Q4179"/>
      <c r="R4179"/>
    </row>
    <row r="4180" spans="14:18" x14ac:dyDescent="0.25">
      <c r="N4180"/>
      <c r="O4180"/>
      <c r="P4180"/>
      <c r="Q4180"/>
      <c r="R4180"/>
    </row>
    <row r="4181" spans="14:18" x14ac:dyDescent="0.25">
      <c r="N4181"/>
      <c r="O4181"/>
      <c r="P4181"/>
      <c r="Q4181"/>
      <c r="R4181"/>
    </row>
    <row r="4182" spans="14:18" x14ac:dyDescent="0.25">
      <c r="N4182"/>
      <c r="O4182"/>
      <c r="P4182"/>
      <c r="Q4182"/>
      <c r="R4182"/>
    </row>
    <row r="4183" spans="14:18" x14ac:dyDescent="0.25">
      <c r="N4183"/>
      <c r="O4183"/>
      <c r="P4183"/>
      <c r="Q4183"/>
      <c r="R4183"/>
    </row>
    <row r="4184" spans="14:18" x14ac:dyDescent="0.25">
      <c r="N4184"/>
      <c r="O4184"/>
      <c r="P4184"/>
      <c r="Q4184"/>
      <c r="R4184"/>
    </row>
    <row r="4185" spans="14:18" x14ac:dyDescent="0.25">
      <c r="N4185"/>
      <c r="O4185"/>
      <c r="P4185"/>
      <c r="Q4185"/>
      <c r="R4185"/>
    </row>
    <row r="4186" spans="14:18" x14ac:dyDescent="0.25">
      <c r="N4186"/>
      <c r="O4186"/>
      <c r="P4186"/>
      <c r="Q4186"/>
      <c r="R4186"/>
    </row>
    <row r="4187" spans="14:18" x14ac:dyDescent="0.25">
      <c r="N4187"/>
      <c r="O4187"/>
      <c r="P4187"/>
      <c r="Q4187"/>
      <c r="R4187"/>
    </row>
    <row r="4188" spans="14:18" x14ac:dyDescent="0.25">
      <c r="N4188"/>
      <c r="O4188"/>
      <c r="P4188"/>
      <c r="Q4188"/>
      <c r="R4188"/>
    </row>
    <row r="4189" spans="14:18" x14ac:dyDescent="0.25">
      <c r="N4189"/>
      <c r="O4189"/>
      <c r="P4189"/>
      <c r="Q4189"/>
      <c r="R4189"/>
    </row>
    <row r="4190" spans="14:18" x14ac:dyDescent="0.25">
      <c r="N4190"/>
      <c r="O4190"/>
      <c r="P4190"/>
      <c r="Q4190"/>
      <c r="R4190"/>
    </row>
    <row r="4191" spans="14:18" x14ac:dyDescent="0.25">
      <c r="N4191"/>
      <c r="O4191"/>
      <c r="P4191"/>
      <c r="Q4191"/>
      <c r="R4191"/>
    </row>
    <row r="4192" spans="14:18" x14ac:dyDescent="0.25">
      <c r="N4192"/>
      <c r="O4192"/>
      <c r="P4192"/>
      <c r="Q4192"/>
      <c r="R4192"/>
    </row>
    <row r="4193" spans="14:18" x14ac:dyDescent="0.25">
      <c r="N4193"/>
      <c r="O4193"/>
      <c r="P4193"/>
      <c r="Q4193"/>
      <c r="R4193"/>
    </row>
    <row r="4194" spans="14:18" x14ac:dyDescent="0.25">
      <c r="N4194"/>
      <c r="O4194"/>
      <c r="P4194"/>
      <c r="Q4194"/>
      <c r="R4194"/>
    </row>
    <row r="4195" spans="14:18" x14ac:dyDescent="0.25">
      <c r="N4195"/>
      <c r="O4195"/>
      <c r="P4195"/>
      <c r="Q4195"/>
      <c r="R4195"/>
    </row>
    <row r="4196" spans="14:18" x14ac:dyDescent="0.25">
      <c r="N4196"/>
      <c r="O4196"/>
      <c r="P4196"/>
      <c r="Q4196"/>
      <c r="R4196"/>
    </row>
    <row r="4197" spans="14:18" x14ac:dyDescent="0.25">
      <c r="N4197"/>
      <c r="O4197"/>
      <c r="P4197"/>
      <c r="Q4197"/>
      <c r="R4197"/>
    </row>
    <row r="4198" spans="14:18" x14ac:dyDescent="0.25">
      <c r="N4198"/>
      <c r="O4198"/>
      <c r="P4198"/>
      <c r="Q4198"/>
      <c r="R4198"/>
    </row>
    <row r="4199" spans="14:18" x14ac:dyDescent="0.25">
      <c r="N4199"/>
      <c r="O4199"/>
      <c r="P4199"/>
      <c r="Q4199"/>
      <c r="R4199"/>
    </row>
    <row r="4200" spans="14:18" x14ac:dyDescent="0.25">
      <c r="N4200"/>
      <c r="O4200"/>
      <c r="P4200"/>
      <c r="Q4200"/>
      <c r="R4200"/>
    </row>
    <row r="4201" spans="14:18" x14ac:dyDescent="0.25">
      <c r="N4201"/>
      <c r="O4201"/>
      <c r="P4201"/>
      <c r="Q4201"/>
      <c r="R4201"/>
    </row>
    <row r="4202" spans="14:18" x14ac:dyDescent="0.25">
      <c r="N4202"/>
      <c r="O4202"/>
      <c r="P4202"/>
      <c r="Q4202"/>
      <c r="R4202"/>
    </row>
    <row r="4203" spans="14:18" x14ac:dyDescent="0.25">
      <c r="N4203"/>
      <c r="O4203"/>
      <c r="P4203"/>
      <c r="Q4203"/>
      <c r="R4203"/>
    </row>
    <row r="4204" spans="14:18" x14ac:dyDescent="0.25">
      <c r="N4204"/>
      <c r="O4204"/>
      <c r="P4204"/>
      <c r="Q4204"/>
      <c r="R4204"/>
    </row>
    <row r="4205" spans="14:18" x14ac:dyDescent="0.25">
      <c r="N4205"/>
      <c r="O4205"/>
      <c r="P4205"/>
      <c r="Q4205"/>
      <c r="R4205"/>
    </row>
    <row r="4206" spans="14:18" x14ac:dyDescent="0.25">
      <c r="N4206"/>
      <c r="O4206"/>
      <c r="P4206"/>
      <c r="Q4206"/>
      <c r="R4206"/>
    </row>
    <row r="4207" spans="14:18" x14ac:dyDescent="0.25">
      <c r="N4207"/>
      <c r="O4207"/>
      <c r="P4207"/>
      <c r="Q4207"/>
      <c r="R4207"/>
    </row>
    <row r="4208" spans="14:18" x14ac:dyDescent="0.25">
      <c r="N4208"/>
      <c r="O4208"/>
      <c r="P4208"/>
      <c r="Q4208"/>
      <c r="R4208"/>
    </row>
    <row r="4209" spans="14:18" x14ac:dyDescent="0.25">
      <c r="N4209"/>
      <c r="O4209"/>
      <c r="P4209"/>
      <c r="Q4209"/>
      <c r="R4209"/>
    </row>
    <row r="4210" spans="14:18" x14ac:dyDescent="0.25">
      <c r="N4210"/>
      <c r="O4210"/>
      <c r="P4210"/>
      <c r="Q4210"/>
      <c r="R4210"/>
    </row>
    <row r="4211" spans="14:18" x14ac:dyDescent="0.25">
      <c r="N4211"/>
      <c r="O4211"/>
      <c r="P4211"/>
      <c r="Q4211"/>
      <c r="R4211"/>
    </row>
    <row r="4212" spans="14:18" x14ac:dyDescent="0.25">
      <c r="N4212"/>
      <c r="O4212"/>
      <c r="P4212"/>
      <c r="Q4212"/>
      <c r="R4212"/>
    </row>
    <row r="4213" spans="14:18" x14ac:dyDescent="0.25">
      <c r="N4213"/>
      <c r="O4213"/>
      <c r="P4213"/>
      <c r="Q4213"/>
      <c r="R4213"/>
    </row>
    <row r="4214" spans="14:18" x14ac:dyDescent="0.25">
      <c r="N4214"/>
      <c r="O4214"/>
      <c r="P4214"/>
      <c r="Q4214"/>
      <c r="R4214"/>
    </row>
    <row r="4215" spans="14:18" x14ac:dyDescent="0.25">
      <c r="N4215"/>
      <c r="O4215"/>
      <c r="P4215"/>
      <c r="Q4215"/>
      <c r="R4215"/>
    </row>
    <row r="4216" spans="14:18" x14ac:dyDescent="0.25">
      <c r="N4216"/>
      <c r="O4216"/>
      <c r="P4216"/>
      <c r="Q4216"/>
      <c r="R4216"/>
    </row>
    <row r="4217" spans="14:18" x14ac:dyDescent="0.25">
      <c r="N4217"/>
      <c r="O4217"/>
      <c r="P4217"/>
      <c r="Q4217"/>
      <c r="R4217"/>
    </row>
    <row r="4218" spans="14:18" x14ac:dyDescent="0.25">
      <c r="N4218"/>
      <c r="O4218"/>
      <c r="P4218"/>
      <c r="Q4218"/>
      <c r="R4218"/>
    </row>
    <row r="4219" spans="14:18" x14ac:dyDescent="0.25">
      <c r="N4219"/>
      <c r="O4219"/>
      <c r="P4219"/>
      <c r="Q4219"/>
      <c r="R4219"/>
    </row>
    <row r="4220" spans="14:18" x14ac:dyDescent="0.25">
      <c r="N4220"/>
      <c r="O4220"/>
      <c r="P4220"/>
      <c r="Q4220"/>
      <c r="R4220"/>
    </row>
    <row r="4221" spans="14:18" x14ac:dyDescent="0.25">
      <c r="N4221"/>
      <c r="O4221"/>
      <c r="P4221"/>
      <c r="Q4221"/>
      <c r="R4221"/>
    </row>
    <row r="4222" spans="14:18" x14ac:dyDescent="0.25">
      <c r="N4222"/>
      <c r="O4222"/>
      <c r="P4222"/>
      <c r="Q4222"/>
      <c r="R4222"/>
    </row>
    <row r="4223" spans="14:18" x14ac:dyDescent="0.25">
      <c r="N4223"/>
      <c r="O4223"/>
      <c r="P4223"/>
      <c r="Q4223"/>
      <c r="R4223"/>
    </row>
    <row r="4224" spans="14:18" x14ac:dyDescent="0.25">
      <c r="N4224"/>
      <c r="O4224"/>
      <c r="P4224"/>
      <c r="Q4224"/>
      <c r="R4224"/>
    </row>
    <row r="4225" spans="14:18" x14ac:dyDescent="0.25">
      <c r="N4225"/>
      <c r="O4225"/>
      <c r="P4225"/>
      <c r="Q4225"/>
      <c r="R4225"/>
    </row>
    <row r="4226" spans="14:18" x14ac:dyDescent="0.25">
      <c r="N4226"/>
      <c r="O4226"/>
      <c r="P4226"/>
      <c r="Q4226"/>
      <c r="R4226"/>
    </row>
    <row r="4227" spans="14:18" x14ac:dyDescent="0.25">
      <c r="N4227"/>
      <c r="O4227"/>
      <c r="P4227"/>
      <c r="Q4227"/>
      <c r="R4227"/>
    </row>
    <row r="4228" spans="14:18" x14ac:dyDescent="0.25">
      <c r="N4228"/>
      <c r="O4228"/>
      <c r="P4228"/>
      <c r="Q4228"/>
      <c r="R4228"/>
    </row>
    <row r="4229" spans="14:18" x14ac:dyDescent="0.25">
      <c r="N4229"/>
      <c r="O4229"/>
      <c r="P4229"/>
      <c r="Q4229"/>
      <c r="R4229"/>
    </row>
    <row r="4230" spans="14:18" x14ac:dyDescent="0.25">
      <c r="N4230"/>
      <c r="O4230"/>
      <c r="P4230"/>
      <c r="Q4230"/>
      <c r="R4230"/>
    </row>
    <row r="4231" spans="14:18" x14ac:dyDescent="0.25">
      <c r="N4231"/>
      <c r="O4231"/>
      <c r="P4231"/>
      <c r="Q4231"/>
      <c r="R4231"/>
    </row>
    <row r="4232" spans="14:18" x14ac:dyDescent="0.25">
      <c r="N4232"/>
      <c r="O4232"/>
      <c r="P4232"/>
      <c r="Q4232"/>
      <c r="R4232"/>
    </row>
    <row r="4233" spans="14:18" x14ac:dyDescent="0.25">
      <c r="N4233"/>
      <c r="O4233"/>
      <c r="P4233"/>
      <c r="Q4233"/>
      <c r="R4233"/>
    </row>
    <row r="4234" spans="14:18" x14ac:dyDescent="0.25">
      <c r="N4234"/>
      <c r="O4234"/>
      <c r="P4234"/>
      <c r="Q4234"/>
      <c r="R4234"/>
    </row>
    <row r="4235" spans="14:18" x14ac:dyDescent="0.25">
      <c r="N4235"/>
      <c r="O4235"/>
      <c r="P4235"/>
      <c r="Q4235"/>
      <c r="R4235"/>
    </row>
    <row r="4236" spans="14:18" x14ac:dyDescent="0.25">
      <c r="N4236"/>
      <c r="O4236"/>
      <c r="P4236"/>
      <c r="Q4236"/>
      <c r="R4236"/>
    </row>
    <row r="4237" spans="14:18" x14ac:dyDescent="0.25">
      <c r="N4237"/>
      <c r="O4237"/>
      <c r="P4237"/>
      <c r="Q4237"/>
      <c r="R4237"/>
    </row>
    <row r="4238" spans="14:18" x14ac:dyDescent="0.25">
      <c r="N4238"/>
      <c r="O4238"/>
      <c r="P4238"/>
      <c r="Q4238"/>
      <c r="R4238"/>
    </row>
    <row r="4239" spans="14:18" x14ac:dyDescent="0.25">
      <c r="N4239"/>
      <c r="O4239"/>
      <c r="P4239"/>
      <c r="Q4239"/>
      <c r="R4239"/>
    </row>
    <row r="4240" spans="14:18" x14ac:dyDescent="0.25">
      <c r="N4240"/>
      <c r="O4240"/>
      <c r="P4240"/>
      <c r="Q4240"/>
      <c r="R4240"/>
    </row>
    <row r="4241" spans="14:18" x14ac:dyDescent="0.25">
      <c r="N4241"/>
      <c r="O4241"/>
      <c r="P4241"/>
      <c r="Q4241"/>
      <c r="R4241"/>
    </row>
    <row r="4242" spans="14:18" x14ac:dyDescent="0.25">
      <c r="N4242"/>
      <c r="O4242"/>
      <c r="P4242"/>
      <c r="Q4242"/>
      <c r="R4242"/>
    </row>
    <row r="4243" spans="14:18" x14ac:dyDescent="0.25">
      <c r="N4243"/>
      <c r="O4243"/>
      <c r="P4243"/>
      <c r="Q4243"/>
      <c r="R4243"/>
    </row>
    <row r="4244" spans="14:18" x14ac:dyDescent="0.25">
      <c r="N4244"/>
      <c r="O4244"/>
      <c r="P4244"/>
      <c r="Q4244"/>
      <c r="R4244"/>
    </row>
    <row r="4245" spans="14:18" x14ac:dyDescent="0.25">
      <c r="N4245"/>
      <c r="O4245"/>
      <c r="P4245"/>
      <c r="Q4245"/>
      <c r="R4245"/>
    </row>
    <row r="4246" spans="14:18" x14ac:dyDescent="0.25">
      <c r="N4246"/>
      <c r="O4246"/>
      <c r="P4246"/>
      <c r="Q4246"/>
      <c r="R4246"/>
    </row>
    <row r="4247" spans="14:18" x14ac:dyDescent="0.25">
      <c r="N4247"/>
      <c r="O4247"/>
      <c r="P4247"/>
      <c r="Q4247"/>
      <c r="R4247"/>
    </row>
    <row r="4248" spans="14:18" x14ac:dyDescent="0.25">
      <c r="N4248"/>
      <c r="O4248"/>
      <c r="P4248"/>
      <c r="Q4248"/>
      <c r="R4248"/>
    </row>
    <row r="4249" spans="14:18" x14ac:dyDescent="0.25">
      <c r="N4249"/>
      <c r="O4249"/>
      <c r="P4249"/>
      <c r="Q4249"/>
      <c r="R4249"/>
    </row>
    <row r="4250" spans="14:18" x14ac:dyDescent="0.25">
      <c r="N4250"/>
      <c r="O4250"/>
      <c r="P4250"/>
      <c r="Q4250"/>
      <c r="R4250"/>
    </row>
    <row r="4251" spans="14:18" x14ac:dyDescent="0.25">
      <c r="N4251"/>
      <c r="O4251"/>
      <c r="P4251"/>
      <c r="Q4251"/>
      <c r="R4251"/>
    </row>
    <row r="4252" spans="14:18" x14ac:dyDescent="0.25">
      <c r="N4252"/>
      <c r="O4252"/>
      <c r="P4252"/>
      <c r="Q4252"/>
      <c r="R4252"/>
    </row>
    <row r="4253" spans="14:18" x14ac:dyDescent="0.25">
      <c r="N4253"/>
      <c r="O4253"/>
      <c r="P4253"/>
      <c r="Q4253"/>
      <c r="R4253"/>
    </row>
    <row r="4254" spans="14:18" x14ac:dyDescent="0.25">
      <c r="N4254"/>
      <c r="O4254"/>
      <c r="P4254"/>
      <c r="Q4254"/>
      <c r="R4254"/>
    </row>
    <row r="4255" spans="14:18" x14ac:dyDescent="0.25">
      <c r="N4255"/>
      <c r="O4255"/>
      <c r="P4255"/>
      <c r="Q4255"/>
      <c r="R4255"/>
    </row>
    <row r="4256" spans="14:18" x14ac:dyDescent="0.25">
      <c r="N4256"/>
      <c r="O4256"/>
      <c r="P4256"/>
      <c r="Q4256"/>
      <c r="R4256"/>
    </row>
    <row r="4257" spans="14:18" x14ac:dyDescent="0.25">
      <c r="N4257"/>
      <c r="O4257"/>
      <c r="P4257"/>
      <c r="Q4257"/>
      <c r="R4257"/>
    </row>
    <row r="4258" spans="14:18" x14ac:dyDescent="0.25">
      <c r="N4258"/>
      <c r="O4258"/>
      <c r="P4258"/>
      <c r="Q4258"/>
      <c r="R4258"/>
    </row>
    <row r="4259" spans="14:18" x14ac:dyDescent="0.25">
      <c r="N4259"/>
      <c r="O4259"/>
      <c r="P4259"/>
      <c r="Q4259"/>
      <c r="R4259"/>
    </row>
    <row r="4260" spans="14:18" x14ac:dyDescent="0.25">
      <c r="N4260"/>
      <c r="O4260"/>
      <c r="P4260"/>
      <c r="Q4260"/>
      <c r="R4260"/>
    </row>
    <row r="4261" spans="14:18" x14ac:dyDescent="0.25">
      <c r="N4261"/>
      <c r="O4261"/>
      <c r="P4261"/>
      <c r="Q4261"/>
      <c r="R4261"/>
    </row>
    <row r="4262" spans="14:18" x14ac:dyDescent="0.25">
      <c r="N4262"/>
      <c r="O4262"/>
      <c r="P4262"/>
      <c r="Q4262"/>
      <c r="R4262"/>
    </row>
    <row r="4263" spans="14:18" x14ac:dyDescent="0.25">
      <c r="N4263"/>
      <c r="O4263"/>
      <c r="P4263"/>
      <c r="Q4263"/>
      <c r="R4263"/>
    </row>
    <row r="4264" spans="14:18" x14ac:dyDescent="0.25">
      <c r="N4264"/>
      <c r="O4264"/>
      <c r="P4264"/>
      <c r="Q4264"/>
      <c r="R4264"/>
    </row>
    <row r="4265" spans="14:18" x14ac:dyDescent="0.25">
      <c r="N4265"/>
      <c r="O4265"/>
      <c r="P4265"/>
      <c r="Q4265"/>
      <c r="R4265"/>
    </row>
    <row r="4266" spans="14:18" x14ac:dyDescent="0.25">
      <c r="N4266"/>
      <c r="O4266"/>
      <c r="P4266"/>
      <c r="Q4266"/>
      <c r="R4266"/>
    </row>
    <row r="4267" spans="14:18" x14ac:dyDescent="0.25">
      <c r="N4267"/>
      <c r="O4267"/>
      <c r="P4267"/>
      <c r="Q4267"/>
      <c r="R4267"/>
    </row>
    <row r="4268" spans="14:18" x14ac:dyDescent="0.25">
      <c r="N4268"/>
      <c r="O4268"/>
      <c r="P4268"/>
      <c r="Q4268"/>
      <c r="R4268"/>
    </row>
    <row r="4269" spans="14:18" x14ac:dyDescent="0.25">
      <c r="N4269"/>
      <c r="O4269"/>
      <c r="P4269"/>
      <c r="Q4269"/>
      <c r="R4269"/>
    </row>
    <row r="4270" spans="14:18" x14ac:dyDescent="0.25">
      <c r="N4270"/>
      <c r="O4270"/>
      <c r="P4270"/>
      <c r="Q4270"/>
      <c r="R4270"/>
    </row>
    <row r="4271" spans="14:18" x14ac:dyDescent="0.25">
      <c r="N4271"/>
      <c r="O4271"/>
      <c r="P4271"/>
      <c r="Q4271"/>
      <c r="R4271"/>
    </row>
    <row r="4272" spans="14:18" x14ac:dyDescent="0.25">
      <c r="N4272"/>
      <c r="O4272"/>
      <c r="P4272"/>
      <c r="Q4272"/>
      <c r="R4272"/>
    </row>
    <row r="4273" spans="14:18" x14ac:dyDescent="0.25">
      <c r="N4273"/>
      <c r="O4273"/>
      <c r="P4273"/>
      <c r="Q4273"/>
      <c r="R4273"/>
    </row>
    <row r="4274" spans="14:18" x14ac:dyDescent="0.25">
      <c r="N4274"/>
      <c r="O4274"/>
      <c r="P4274"/>
      <c r="Q4274"/>
      <c r="R4274"/>
    </row>
    <row r="4275" spans="14:18" x14ac:dyDescent="0.25">
      <c r="N4275"/>
      <c r="O4275"/>
      <c r="P4275"/>
      <c r="Q4275"/>
      <c r="R4275"/>
    </row>
    <row r="4276" spans="14:18" x14ac:dyDescent="0.25">
      <c r="N4276"/>
      <c r="O4276"/>
      <c r="P4276"/>
      <c r="Q4276"/>
      <c r="R4276"/>
    </row>
    <row r="4277" spans="14:18" x14ac:dyDescent="0.25">
      <c r="N4277"/>
      <c r="O4277"/>
      <c r="P4277"/>
      <c r="Q4277"/>
      <c r="R4277"/>
    </row>
    <row r="4278" spans="14:18" x14ac:dyDescent="0.25">
      <c r="N4278"/>
      <c r="O4278"/>
      <c r="P4278"/>
      <c r="Q4278"/>
      <c r="R4278"/>
    </row>
    <row r="4279" spans="14:18" x14ac:dyDescent="0.25">
      <c r="N4279"/>
      <c r="O4279"/>
      <c r="P4279"/>
      <c r="Q4279"/>
      <c r="R4279"/>
    </row>
    <row r="4280" spans="14:18" x14ac:dyDescent="0.25">
      <c r="N4280"/>
      <c r="O4280"/>
      <c r="P4280"/>
      <c r="Q4280"/>
      <c r="R4280"/>
    </row>
    <row r="4281" spans="14:18" x14ac:dyDescent="0.25">
      <c r="N4281"/>
      <c r="O4281"/>
      <c r="P4281"/>
      <c r="Q4281"/>
      <c r="R4281"/>
    </row>
    <row r="4282" spans="14:18" x14ac:dyDescent="0.25">
      <c r="N4282"/>
      <c r="O4282"/>
      <c r="P4282"/>
      <c r="Q4282"/>
      <c r="R4282"/>
    </row>
    <row r="4283" spans="14:18" x14ac:dyDescent="0.25">
      <c r="N4283"/>
      <c r="O4283"/>
      <c r="P4283"/>
      <c r="Q4283"/>
      <c r="R4283"/>
    </row>
    <row r="4284" spans="14:18" x14ac:dyDescent="0.25">
      <c r="N4284"/>
      <c r="O4284"/>
      <c r="P4284"/>
      <c r="Q4284"/>
      <c r="R4284"/>
    </row>
    <row r="4285" spans="14:18" x14ac:dyDescent="0.25">
      <c r="N4285"/>
      <c r="O4285"/>
      <c r="P4285"/>
      <c r="Q4285"/>
      <c r="R4285"/>
    </row>
    <row r="4286" spans="14:18" x14ac:dyDescent="0.25">
      <c r="N4286"/>
      <c r="O4286"/>
      <c r="P4286"/>
      <c r="Q4286"/>
      <c r="R4286"/>
    </row>
    <row r="4287" spans="14:18" x14ac:dyDescent="0.25">
      <c r="N4287"/>
      <c r="O4287"/>
      <c r="P4287"/>
      <c r="Q4287"/>
      <c r="R4287"/>
    </row>
    <row r="4288" spans="14:18" x14ac:dyDescent="0.25">
      <c r="N4288"/>
      <c r="O4288"/>
      <c r="P4288"/>
      <c r="Q4288"/>
      <c r="R4288"/>
    </row>
    <row r="4289" spans="14:18" x14ac:dyDescent="0.25">
      <c r="N4289"/>
      <c r="O4289"/>
      <c r="P4289"/>
      <c r="Q4289"/>
      <c r="R4289"/>
    </row>
    <row r="4290" spans="14:18" x14ac:dyDescent="0.25">
      <c r="N4290"/>
      <c r="O4290"/>
      <c r="P4290"/>
      <c r="Q4290"/>
      <c r="R4290"/>
    </row>
    <row r="4291" spans="14:18" x14ac:dyDescent="0.25">
      <c r="N4291"/>
      <c r="O4291"/>
      <c r="P4291"/>
      <c r="Q4291"/>
      <c r="R4291"/>
    </row>
    <row r="4292" spans="14:18" x14ac:dyDescent="0.25">
      <c r="N4292"/>
      <c r="O4292"/>
      <c r="P4292"/>
      <c r="Q4292"/>
      <c r="R4292"/>
    </row>
    <row r="4293" spans="14:18" x14ac:dyDescent="0.25">
      <c r="N4293"/>
      <c r="O4293"/>
      <c r="P4293"/>
      <c r="Q4293"/>
      <c r="R4293"/>
    </row>
    <row r="4294" spans="14:18" x14ac:dyDescent="0.25">
      <c r="N4294"/>
      <c r="O4294"/>
      <c r="P4294"/>
      <c r="Q4294"/>
      <c r="R4294"/>
    </row>
    <row r="4295" spans="14:18" x14ac:dyDescent="0.25">
      <c r="N4295"/>
      <c r="O4295"/>
      <c r="P4295"/>
      <c r="Q4295"/>
      <c r="R4295"/>
    </row>
    <row r="4296" spans="14:18" x14ac:dyDescent="0.25">
      <c r="N4296"/>
      <c r="O4296"/>
      <c r="P4296"/>
      <c r="Q4296"/>
      <c r="R4296"/>
    </row>
    <row r="4297" spans="14:18" x14ac:dyDescent="0.25">
      <c r="N4297"/>
      <c r="O4297"/>
      <c r="P4297"/>
      <c r="Q4297"/>
      <c r="R4297"/>
    </row>
    <row r="4298" spans="14:18" x14ac:dyDescent="0.25">
      <c r="N4298"/>
      <c r="O4298"/>
      <c r="P4298"/>
      <c r="Q4298"/>
      <c r="R4298"/>
    </row>
    <row r="4299" spans="14:18" x14ac:dyDescent="0.25">
      <c r="N4299"/>
      <c r="O4299"/>
      <c r="P4299"/>
      <c r="Q4299"/>
      <c r="R4299"/>
    </row>
    <row r="4300" spans="14:18" x14ac:dyDescent="0.25">
      <c r="N4300"/>
      <c r="O4300"/>
      <c r="P4300"/>
      <c r="Q4300"/>
      <c r="R4300"/>
    </row>
    <row r="4301" spans="14:18" x14ac:dyDescent="0.25">
      <c r="N4301"/>
      <c r="O4301"/>
      <c r="P4301"/>
      <c r="Q4301"/>
      <c r="R4301"/>
    </row>
    <row r="4302" spans="14:18" x14ac:dyDescent="0.25">
      <c r="N4302"/>
      <c r="O4302"/>
      <c r="P4302"/>
      <c r="Q4302"/>
      <c r="R4302"/>
    </row>
    <row r="4303" spans="14:18" x14ac:dyDescent="0.25">
      <c r="N4303"/>
      <c r="O4303"/>
      <c r="P4303"/>
      <c r="Q4303"/>
      <c r="R4303"/>
    </row>
    <row r="4304" spans="14:18" x14ac:dyDescent="0.25">
      <c r="N4304"/>
      <c r="O4304"/>
      <c r="P4304"/>
      <c r="Q4304"/>
      <c r="R4304"/>
    </row>
    <row r="4305" spans="14:18" x14ac:dyDescent="0.25">
      <c r="N4305"/>
      <c r="O4305"/>
      <c r="P4305"/>
      <c r="Q4305"/>
      <c r="R4305"/>
    </row>
    <row r="4306" spans="14:18" x14ac:dyDescent="0.25">
      <c r="N4306"/>
      <c r="O4306"/>
      <c r="P4306"/>
      <c r="Q4306"/>
      <c r="R4306"/>
    </row>
    <row r="4307" spans="14:18" x14ac:dyDescent="0.25">
      <c r="N4307"/>
      <c r="O4307"/>
      <c r="P4307"/>
      <c r="Q4307"/>
      <c r="R4307"/>
    </row>
    <row r="4308" spans="14:18" x14ac:dyDescent="0.25">
      <c r="N4308"/>
      <c r="O4308"/>
      <c r="P4308"/>
      <c r="Q4308"/>
      <c r="R4308"/>
    </row>
    <row r="4309" spans="14:18" x14ac:dyDescent="0.25">
      <c r="N4309"/>
      <c r="O4309"/>
      <c r="P4309"/>
      <c r="Q4309"/>
      <c r="R4309"/>
    </row>
    <row r="4310" spans="14:18" x14ac:dyDescent="0.25">
      <c r="N4310"/>
      <c r="O4310"/>
      <c r="P4310"/>
      <c r="Q4310"/>
      <c r="R4310"/>
    </row>
    <row r="4311" spans="14:18" x14ac:dyDescent="0.25">
      <c r="N4311"/>
      <c r="O4311"/>
      <c r="P4311"/>
      <c r="Q4311"/>
      <c r="R4311"/>
    </row>
    <row r="4312" spans="14:18" x14ac:dyDescent="0.25">
      <c r="N4312"/>
      <c r="O4312"/>
      <c r="P4312"/>
      <c r="Q4312"/>
      <c r="R4312"/>
    </row>
    <row r="4313" spans="14:18" x14ac:dyDescent="0.25">
      <c r="N4313"/>
      <c r="O4313"/>
      <c r="P4313"/>
      <c r="Q4313"/>
      <c r="R4313"/>
    </row>
    <row r="4314" spans="14:18" x14ac:dyDescent="0.25">
      <c r="N4314"/>
      <c r="O4314"/>
      <c r="P4314"/>
      <c r="Q4314"/>
      <c r="R4314"/>
    </row>
    <row r="4315" spans="14:18" x14ac:dyDescent="0.25">
      <c r="N4315"/>
      <c r="O4315"/>
      <c r="P4315"/>
      <c r="Q4315"/>
      <c r="R4315"/>
    </row>
    <row r="4316" spans="14:18" x14ac:dyDescent="0.25">
      <c r="N4316"/>
      <c r="O4316"/>
      <c r="P4316"/>
      <c r="Q4316"/>
      <c r="R4316"/>
    </row>
    <row r="4317" spans="14:18" x14ac:dyDescent="0.25">
      <c r="N4317"/>
      <c r="O4317"/>
      <c r="P4317"/>
      <c r="Q4317"/>
      <c r="R4317"/>
    </row>
    <row r="4318" spans="14:18" x14ac:dyDescent="0.25">
      <c r="N4318"/>
      <c r="O4318"/>
      <c r="P4318"/>
      <c r="Q4318"/>
      <c r="R4318"/>
    </row>
    <row r="4319" spans="14:18" x14ac:dyDescent="0.25">
      <c r="N4319"/>
      <c r="O4319"/>
      <c r="P4319"/>
      <c r="Q4319"/>
      <c r="R4319"/>
    </row>
    <row r="4320" spans="14:18" x14ac:dyDescent="0.25">
      <c r="N4320"/>
      <c r="O4320"/>
      <c r="P4320"/>
      <c r="Q4320"/>
      <c r="R4320"/>
    </row>
    <row r="4321" spans="14:18" x14ac:dyDescent="0.25">
      <c r="N4321"/>
      <c r="O4321"/>
      <c r="P4321"/>
      <c r="Q4321"/>
      <c r="R4321"/>
    </row>
    <row r="4322" spans="14:18" x14ac:dyDescent="0.25">
      <c r="N4322"/>
      <c r="O4322"/>
      <c r="P4322"/>
      <c r="Q4322"/>
      <c r="R4322"/>
    </row>
    <row r="4323" spans="14:18" x14ac:dyDescent="0.25">
      <c r="N4323"/>
      <c r="O4323"/>
      <c r="P4323"/>
      <c r="Q4323"/>
      <c r="R4323"/>
    </row>
    <row r="4324" spans="14:18" x14ac:dyDescent="0.25">
      <c r="N4324"/>
      <c r="O4324"/>
      <c r="P4324"/>
      <c r="Q4324"/>
      <c r="R4324"/>
    </row>
    <row r="4325" spans="14:18" x14ac:dyDescent="0.25">
      <c r="N4325"/>
      <c r="O4325"/>
      <c r="P4325"/>
      <c r="Q4325"/>
      <c r="R4325"/>
    </row>
    <row r="4326" spans="14:18" x14ac:dyDescent="0.25">
      <c r="N4326"/>
      <c r="O4326"/>
      <c r="P4326"/>
      <c r="Q4326"/>
      <c r="R4326"/>
    </row>
    <row r="4327" spans="14:18" x14ac:dyDescent="0.25">
      <c r="N4327"/>
      <c r="O4327"/>
      <c r="P4327"/>
      <c r="Q4327"/>
      <c r="R4327"/>
    </row>
    <row r="4328" spans="14:18" x14ac:dyDescent="0.25">
      <c r="N4328"/>
      <c r="O4328"/>
      <c r="P4328"/>
      <c r="Q4328"/>
      <c r="R4328"/>
    </row>
    <row r="4329" spans="14:18" x14ac:dyDescent="0.25">
      <c r="N4329"/>
      <c r="O4329"/>
      <c r="P4329"/>
      <c r="Q4329"/>
      <c r="R4329"/>
    </row>
    <row r="4330" spans="14:18" x14ac:dyDescent="0.25">
      <c r="N4330"/>
      <c r="O4330"/>
      <c r="P4330"/>
      <c r="Q4330"/>
      <c r="R4330"/>
    </row>
    <row r="4331" spans="14:18" x14ac:dyDescent="0.25">
      <c r="N4331"/>
      <c r="O4331"/>
      <c r="P4331"/>
      <c r="Q4331"/>
      <c r="R4331"/>
    </row>
    <row r="4332" spans="14:18" x14ac:dyDescent="0.25">
      <c r="N4332"/>
      <c r="O4332"/>
      <c r="P4332"/>
      <c r="Q4332"/>
      <c r="R4332"/>
    </row>
    <row r="4333" spans="14:18" x14ac:dyDescent="0.25">
      <c r="N4333"/>
      <c r="O4333"/>
      <c r="P4333"/>
      <c r="Q4333"/>
      <c r="R4333"/>
    </row>
    <row r="4334" spans="14:18" x14ac:dyDescent="0.25">
      <c r="N4334"/>
      <c r="O4334"/>
      <c r="P4334"/>
      <c r="Q4334"/>
      <c r="R4334"/>
    </row>
    <row r="4335" spans="14:18" x14ac:dyDescent="0.25">
      <c r="N4335"/>
      <c r="O4335"/>
      <c r="P4335"/>
      <c r="Q4335"/>
      <c r="R4335"/>
    </row>
    <row r="4336" spans="14:18" x14ac:dyDescent="0.25">
      <c r="N4336"/>
      <c r="O4336"/>
      <c r="P4336"/>
      <c r="Q4336"/>
      <c r="R4336"/>
    </row>
    <row r="4337" spans="14:18" x14ac:dyDescent="0.25">
      <c r="N4337"/>
      <c r="O4337"/>
      <c r="P4337"/>
      <c r="Q4337"/>
      <c r="R4337"/>
    </row>
    <row r="4338" spans="14:18" x14ac:dyDescent="0.25">
      <c r="N4338"/>
      <c r="O4338"/>
      <c r="P4338"/>
      <c r="Q4338"/>
      <c r="R4338"/>
    </row>
    <row r="4339" spans="14:18" x14ac:dyDescent="0.25">
      <c r="N4339"/>
      <c r="O4339"/>
      <c r="P4339"/>
      <c r="Q4339"/>
      <c r="R4339"/>
    </row>
    <row r="4340" spans="14:18" x14ac:dyDescent="0.25">
      <c r="N4340"/>
      <c r="O4340"/>
      <c r="P4340"/>
      <c r="Q4340"/>
      <c r="R4340"/>
    </row>
    <row r="4341" spans="14:18" x14ac:dyDescent="0.25">
      <c r="N4341"/>
      <c r="O4341"/>
      <c r="P4341"/>
      <c r="Q4341"/>
      <c r="R4341"/>
    </row>
    <row r="4342" spans="14:18" x14ac:dyDescent="0.25">
      <c r="N4342"/>
      <c r="O4342"/>
      <c r="P4342"/>
      <c r="Q4342"/>
      <c r="R4342"/>
    </row>
    <row r="4343" spans="14:18" x14ac:dyDescent="0.25">
      <c r="N4343"/>
      <c r="O4343"/>
      <c r="P4343"/>
      <c r="Q4343"/>
      <c r="R4343"/>
    </row>
    <row r="4344" spans="14:18" x14ac:dyDescent="0.25">
      <c r="N4344"/>
      <c r="O4344"/>
      <c r="P4344"/>
      <c r="Q4344"/>
      <c r="R4344"/>
    </row>
    <row r="4345" spans="14:18" x14ac:dyDescent="0.25">
      <c r="N4345"/>
      <c r="O4345"/>
      <c r="P4345"/>
      <c r="Q4345"/>
      <c r="R4345"/>
    </row>
    <row r="4346" spans="14:18" x14ac:dyDescent="0.25">
      <c r="N4346"/>
      <c r="O4346"/>
      <c r="P4346"/>
      <c r="Q4346"/>
      <c r="R4346"/>
    </row>
    <row r="4347" spans="14:18" x14ac:dyDescent="0.25">
      <c r="N4347"/>
      <c r="O4347"/>
      <c r="P4347"/>
      <c r="Q4347"/>
      <c r="R4347"/>
    </row>
    <row r="4348" spans="14:18" x14ac:dyDescent="0.25">
      <c r="N4348"/>
      <c r="O4348"/>
      <c r="P4348"/>
      <c r="Q4348"/>
      <c r="R4348"/>
    </row>
    <row r="4349" spans="14:18" x14ac:dyDescent="0.25">
      <c r="N4349"/>
      <c r="O4349"/>
      <c r="P4349"/>
      <c r="Q4349"/>
      <c r="R4349"/>
    </row>
    <row r="4350" spans="14:18" x14ac:dyDescent="0.25">
      <c r="N4350"/>
      <c r="O4350"/>
      <c r="P4350"/>
      <c r="Q4350"/>
      <c r="R4350"/>
    </row>
    <row r="4351" spans="14:18" x14ac:dyDescent="0.25">
      <c r="N4351"/>
      <c r="O4351"/>
      <c r="P4351"/>
      <c r="Q4351"/>
      <c r="R4351"/>
    </row>
    <row r="4352" spans="14:18" x14ac:dyDescent="0.25">
      <c r="N4352"/>
      <c r="O4352"/>
      <c r="P4352"/>
      <c r="Q4352"/>
      <c r="R4352"/>
    </row>
    <row r="4353" spans="14:18" x14ac:dyDescent="0.25">
      <c r="N4353"/>
      <c r="O4353"/>
      <c r="P4353"/>
      <c r="Q4353"/>
      <c r="R4353"/>
    </row>
    <row r="4354" spans="14:18" x14ac:dyDescent="0.25">
      <c r="N4354"/>
      <c r="O4354"/>
      <c r="P4354"/>
      <c r="Q4354"/>
      <c r="R4354"/>
    </row>
    <row r="4355" spans="14:18" x14ac:dyDescent="0.25">
      <c r="N4355"/>
      <c r="O4355"/>
      <c r="P4355"/>
      <c r="Q4355"/>
      <c r="R4355"/>
    </row>
    <row r="4356" spans="14:18" x14ac:dyDescent="0.25">
      <c r="N4356"/>
      <c r="O4356"/>
      <c r="P4356"/>
      <c r="Q4356"/>
      <c r="R4356"/>
    </row>
    <row r="4357" spans="14:18" x14ac:dyDescent="0.25">
      <c r="N4357"/>
      <c r="O4357"/>
      <c r="P4357"/>
      <c r="Q4357"/>
      <c r="R4357"/>
    </row>
    <row r="4358" spans="14:18" x14ac:dyDescent="0.25">
      <c r="N4358"/>
      <c r="O4358"/>
      <c r="P4358"/>
      <c r="Q4358"/>
      <c r="R4358"/>
    </row>
    <row r="4359" spans="14:18" x14ac:dyDescent="0.25">
      <c r="N4359"/>
      <c r="O4359"/>
      <c r="P4359"/>
      <c r="Q4359"/>
      <c r="R4359"/>
    </row>
    <row r="4360" spans="14:18" x14ac:dyDescent="0.25">
      <c r="N4360"/>
      <c r="O4360"/>
      <c r="P4360"/>
      <c r="Q4360"/>
      <c r="R4360"/>
    </row>
    <row r="4361" spans="14:18" x14ac:dyDescent="0.25">
      <c r="N4361"/>
      <c r="O4361"/>
      <c r="P4361"/>
      <c r="Q4361"/>
      <c r="R4361"/>
    </row>
    <row r="4362" spans="14:18" x14ac:dyDescent="0.25">
      <c r="N4362"/>
      <c r="O4362"/>
      <c r="P4362"/>
      <c r="Q4362"/>
      <c r="R4362"/>
    </row>
    <row r="4363" spans="14:18" x14ac:dyDescent="0.25">
      <c r="N4363"/>
      <c r="O4363"/>
      <c r="P4363"/>
      <c r="Q4363"/>
      <c r="R4363"/>
    </row>
    <row r="4364" spans="14:18" x14ac:dyDescent="0.25">
      <c r="N4364"/>
      <c r="O4364"/>
      <c r="P4364"/>
      <c r="Q4364"/>
      <c r="R4364"/>
    </row>
    <row r="4365" spans="14:18" x14ac:dyDescent="0.25">
      <c r="N4365"/>
      <c r="O4365"/>
      <c r="P4365"/>
      <c r="Q4365"/>
      <c r="R4365"/>
    </row>
    <row r="4366" spans="14:18" x14ac:dyDescent="0.25">
      <c r="N4366"/>
      <c r="O4366"/>
      <c r="P4366"/>
      <c r="Q4366"/>
      <c r="R4366"/>
    </row>
    <row r="4367" spans="14:18" x14ac:dyDescent="0.25">
      <c r="N4367"/>
      <c r="O4367"/>
      <c r="P4367"/>
      <c r="Q4367"/>
      <c r="R4367"/>
    </row>
    <row r="4368" spans="14:18" x14ac:dyDescent="0.25">
      <c r="N4368"/>
      <c r="O4368"/>
      <c r="P4368"/>
      <c r="Q4368"/>
      <c r="R4368"/>
    </row>
    <row r="4369" spans="14:18" x14ac:dyDescent="0.25">
      <c r="N4369"/>
      <c r="O4369"/>
      <c r="P4369"/>
      <c r="Q4369"/>
      <c r="R4369"/>
    </row>
    <row r="4370" spans="14:18" x14ac:dyDescent="0.25">
      <c r="N4370"/>
      <c r="O4370"/>
      <c r="P4370"/>
      <c r="Q4370"/>
      <c r="R4370"/>
    </row>
    <row r="4371" spans="14:18" x14ac:dyDescent="0.25">
      <c r="N4371"/>
      <c r="O4371"/>
      <c r="P4371"/>
      <c r="Q4371"/>
      <c r="R4371"/>
    </row>
    <row r="4372" spans="14:18" x14ac:dyDescent="0.25">
      <c r="N4372"/>
      <c r="O4372"/>
      <c r="P4372"/>
      <c r="Q4372"/>
      <c r="R4372"/>
    </row>
    <row r="4373" spans="14:18" x14ac:dyDescent="0.25">
      <c r="N4373"/>
      <c r="O4373"/>
      <c r="P4373"/>
      <c r="Q4373"/>
      <c r="R4373"/>
    </row>
    <row r="4374" spans="14:18" x14ac:dyDescent="0.25">
      <c r="N4374"/>
      <c r="O4374"/>
      <c r="P4374"/>
      <c r="Q4374"/>
      <c r="R4374"/>
    </row>
    <row r="4375" spans="14:18" x14ac:dyDescent="0.25">
      <c r="N4375"/>
      <c r="O4375"/>
      <c r="P4375"/>
      <c r="Q4375"/>
      <c r="R4375"/>
    </row>
    <row r="4376" spans="14:18" x14ac:dyDescent="0.25">
      <c r="N4376"/>
      <c r="O4376"/>
      <c r="P4376"/>
      <c r="Q4376"/>
      <c r="R4376"/>
    </row>
    <row r="4377" spans="14:18" x14ac:dyDescent="0.25">
      <c r="N4377"/>
      <c r="O4377"/>
      <c r="P4377"/>
      <c r="Q4377"/>
      <c r="R4377"/>
    </row>
    <row r="4378" spans="14:18" x14ac:dyDescent="0.25">
      <c r="N4378"/>
      <c r="O4378"/>
      <c r="P4378"/>
      <c r="Q4378"/>
      <c r="R4378"/>
    </row>
    <row r="4379" spans="14:18" x14ac:dyDescent="0.25">
      <c r="N4379"/>
      <c r="O4379"/>
      <c r="P4379"/>
      <c r="Q4379"/>
      <c r="R4379"/>
    </row>
    <row r="4380" spans="14:18" x14ac:dyDescent="0.25">
      <c r="N4380"/>
      <c r="O4380"/>
      <c r="P4380"/>
      <c r="Q4380"/>
      <c r="R4380"/>
    </row>
    <row r="4381" spans="14:18" x14ac:dyDescent="0.25">
      <c r="N4381"/>
      <c r="O4381"/>
      <c r="P4381"/>
      <c r="Q4381"/>
      <c r="R4381"/>
    </row>
    <row r="4382" spans="14:18" x14ac:dyDescent="0.25">
      <c r="N4382"/>
      <c r="O4382"/>
      <c r="P4382"/>
      <c r="Q4382"/>
      <c r="R4382"/>
    </row>
    <row r="4383" spans="14:18" x14ac:dyDescent="0.25">
      <c r="N4383"/>
      <c r="O4383"/>
      <c r="P4383"/>
      <c r="Q4383"/>
      <c r="R4383"/>
    </row>
    <row r="4384" spans="14:18" x14ac:dyDescent="0.25">
      <c r="N4384"/>
      <c r="O4384"/>
      <c r="P4384"/>
      <c r="Q4384"/>
      <c r="R4384"/>
    </row>
    <row r="4385" spans="14:18" x14ac:dyDescent="0.25">
      <c r="N4385"/>
      <c r="O4385"/>
      <c r="P4385"/>
      <c r="Q4385"/>
      <c r="R4385"/>
    </row>
    <row r="4386" spans="14:18" x14ac:dyDescent="0.25">
      <c r="N4386"/>
      <c r="O4386"/>
      <c r="P4386"/>
      <c r="Q4386"/>
      <c r="R4386"/>
    </row>
    <row r="4387" spans="14:18" x14ac:dyDescent="0.25">
      <c r="N4387"/>
      <c r="O4387"/>
      <c r="P4387"/>
      <c r="Q4387"/>
      <c r="R4387"/>
    </row>
    <row r="4388" spans="14:18" x14ac:dyDescent="0.25">
      <c r="N4388"/>
      <c r="O4388"/>
      <c r="P4388"/>
      <c r="Q4388"/>
      <c r="R4388"/>
    </row>
    <row r="4389" spans="14:18" x14ac:dyDescent="0.25">
      <c r="N4389"/>
      <c r="O4389"/>
      <c r="P4389"/>
      <c r="Q4389"/>
      <c r="R4389"/>
    </row>
    <row r="4390" spans="14:18" x14ac:dyDescent="0.25">
      <c r="N4390"/>
      <c r="O4390"/>
      <c r="P4390"/>
      <c r="Q4390"/>
      <c r="R4390"/>
    </row>
    <row r="4391" spans="14:18" x14ac:dyDescent="0.25">
      <c r="N4391"/>
      <c r="O4391"/>
      <c r="P4391"/>
      <c r="Q4391"/>
      <c r="R4391"/>
    </row>
    <row r="4392" spans="14:18" x14ac:dyDescent="0.25">
      <c r="N4392"/>
      <c r="O4392"/>
      <c r="P4392"/>
      <c r="Q4392"/>
      <c r="R4392"/>
    </row>
    <row r="4393" spans="14:18" x14ac:dyDescent="0.25">
      <c r="N4393"/>
      <c r="O4393"/>
      <c r="P4393"/>
      <c r="Q4393"/>
      <c r="R4393"/>
    </row>
    <row r="4394" spans="14:18" x14ac:dyDescent="0.25">
      <c r="N4394"/>
      <c r="O4394"/>
      <c r="P4394"/>
      <c r="Q4394"/>
      <c r="R4394"/>
    </row>
    <row r="4395" spans="14:18" x14ac:dyDescent="0.25">
      <c r="N4395"/>
      <c r="O4395"/>
      <c r="P4395"/>
      <c r="Q4395"/>
      <c r="R4395"/>
    </row>
    <row r="4396" spans="14:18" x14ac:dyDescent="0.25">
      <c r="N4396"/>
      <c r="O4396"/>
      <c r="P4396"/>
      <c r="Q4396"/>
      <c r="R4396"/>
    </row>
    <row r="4397" spans="14:18" x14ac:dyDescent="0.25">
      <c r="N4397"/>
      <c r="O4397"/>
      <c r="P4397"/>
      <c r="Q4397"/>
      <c r="R4397"/>
    </row>
    <row r="4398" spans="14:18" x14ac:dyDescent="0.25">
      <c r="N4398"/>
      <c r="O4398"/>
      <c r="P4398"/>
      <c r="Q4398"/>
      <c r="R4398"/>
    </row>
    <row r="4399" spans="14:18" x14ac:dyDescent="0.25">
      <c r="N4399"/>
      <c r="O4399"/>
      <c r="P4399"/>
      <c r="Q4399"/>
      <c r="R4399"/>
    </row>
    <row r="4400" spans="14:18" x14ac:dyDescent="0.25">
      <c r="N4400"/>
      <c r="O4400"/>
      <c r="P4400"/>
      <c r="Q4400"/>
      <c r="R4400"/>
    </row>
    <row r="4401" spans="14:18" x14ac:dyDescent="0.25">
      <c r="N4401"/>
      <c r="O4401"/>
      <c r="P4401"/>
      <c r="Q4401"/>
      <c r="R4401"/>
    </row>
    <row r="4402" spans="14:18" x14ac:dyDescent="0.25">
      <c r="N4402"/>
      <c r="O4402"/>
      <c r="P4402"/>
      <c r="Q4402"/>
      <c r="R4402"/>
    </row>
    <row r="4403" spans="14:18" x14ac:dyDescent="0.25">
      <c r="N4403"/>
      <c r="O4403"/>
      <c r="P4403"/>
      <c r="Q4403"/>
      <c r="R4403"/>
    </row>
    <row r="4404" spans="14:18" x14ac:dyDescent="0.25">
      <c r="N4404"/>
      <c r="O4404"/>
      <c r="P4404"/>
      <c r="Q4404"/>
      <c r="R4404"/>
    </row>
    <row r="4405" spans="14:18" x14ac:dyDescent="0.25">
      <c r="N4405"/>
      <c r="O4405"/>
      <c r="P4405"/>
      <c r="Q4405"/>
      <c r="R4405"/>
    </row>
    <row r="4406" spans="14:18" x14ac:dyDescent="0.25">
      <c r="N4406"/>
      <c r="O4406"/>
      <c r="P4406"/>
      <c r="Q4406"/>
      <c r="R4406"/>
    </row>
    <row r="4407" spans="14:18" x14ac:dyDescent="0.25">
      <c r="N4407"/>
      <c r="O4407"/>
      <c r="P4407"/>
      <c r="Q4407"/>
      <c r="R4407"/>
    </row>
    <row r="4408" spans="14:18" x14ac:dyDescent="0.25">
      <c r="N4408"/>
      <c r="O4408"/>
      <c r="P4408"/>
      <c r="Q4408"/>
      <c r="R4408"/>
    </row>
    <row r="4409" spans="14:18" x14ac:dyDescent="0.25">
      <c r="N4409"/>
      <c r="O4409"/>
      <c r="P4409"/>
      <c r="Q4409"/>
      <c r="R4409"/>
    </row>
    <row r="4410" spans="14:18" x14ac:dyDescent="0.25">
      <c r="N4410"/>
      <c r="O4410"/>
      <c r="P4410"/>
      <c r="Q4410"/>
      <c r="R4410"/>
    </row>
    <row r="4411" spans="14:18" x14ac:dyDescent="0.25">
      <c r="N4411"/>
      <c r="O4411"/>
      <c r="P4411"/>
      <c r="Q4411"/>
      <c r="R4411"/>
    </row>
    <row r="4412" spans="14:18" x14ac:dyDescent="0.25">
      <c r="N4412"/>
      <c r="O4412"/>
      <c r="P4412"/>
      <c r="Q4412"/>
      <c r="R4412"/>
    </row>
    <row r="4413" spans="14:18" x14ac:dyDescent="0.25">
      <c r="N4413"/>
      <c r="O4413"/>
      <c r="P4413"/>
      <c r="Q4413"/>
      <c r="R4413"/>
    </row>
    <row r="4414" spans="14:18" x14ac:dyDescent="0.25">
      <c r="N4414"/>
      <c r="O4414"/>
      <c r="P4414"/>
      <c r="Q4414"/>
      <c r="R4414"/>
    </row>
    <row r="4415" spans="14:18" x14ac:dyDescent="0.25">
      <c r="N4415"/>
      <c r="O4415"/>
      <c r="P4415"/>
      <c r="Q4415"/>
      <c r="R4415"/>
    </row>
    <row r="4416" spans="14:18" x14ac:dyDescent="0.25">
      <c r="N4416"/>
      <c r="O4416"/>
      <c r="P4416"/>
      <c r="Q4416"/>
      <c r="R4416"/>
    </row>
    <row r="4417" spans="14:18" x14ac:dyDescent="0.25">
      <c r="N4417"/>
      <c r="O4417"/>
      <c r="P4417"/>
      <c r="Q4417"/>
      <c r="R4417"/>
    </row>
    <row r="4418" spans="14:18" x14ac:dyDescent="0.25">
      <c r="N4418"/>
      <c r="O4418"/>
      <c r="P4418"/>
      <c r="Q4418"/>
      <c r="R4418"/>
    </row>
    <row r="4419" spans="14:18" x14ac:dyDescent="0.25">
      <c r="N4419"/>
      <c r="O4419"/>
      <c r="P4419"/>
      <c r="Q4419"/>
      <c r="R4419"/>
    </row>
    <row r="4420" spans="14:18" x14ac:dyDescent="0.25">
      <c r="N4420"/>
      <c r="O4420"/>
      <c r="P4420"/>
      <c r="Q4420"/>
      <c r="R4420"/>
    </row>
    <row r="4421" spans="14:18" x14ac:dyDescent="0.25">
      <c r="N4421"/>
      <c r="O4421"/>
      <c r="P4421"/>
      <c r="Q4421"/>
      <c r="R4421"/>
    </row>
    <row r="4422" spans="14:18" x14ac:dyDescent="0.25">
      <c r="N4422"/>
      <c r="O4422"/>
      <c r="P4422"/>
      <c r="Q4422"/>
      <c r="R4422"/>
    </row>
    <row r="4423" spans="14:18" x14ac:dyDescent="0.25">
      <c r="N4423"/>
      <c r="O4423"/>
      <c r="P4423"/>
      <c r="Q4423"/>
      <c r="R4423"/>
    </row>
    <row r="4424" spans="14:18" x14ac:dyDescent="0.25">
      <c r="N4424"/>
      <c r="O4424"/>
      <c r="P4424"/>
      <c r="Q4424"/>
      <c r="R4424"/>
    </row>
    <row r="4425" spans="14:18" x14ac:dyDescent="0.25">
      <c r="N4425"/>
      <c r="O4425"/>
      <c r="P4425"/>
      <c r="Q4425"/>
      <c r="R4425"/>
    </row>
    <row r="4426" spans="14:18" x14ac:dyDescent="0.25">
      <c r="N4426"/>
      <c r="O4426"/>
      <c r="P4426"/>
      <c r="Q4426"/>
      <c r="R4426"/>
    </row>
    <row r="4427" spans="14:18" x14ac:dyDescent="0.25">
      <c r="N4427"/>
      <c r="O4427"/>
      <c r="P4427"/>
      <c r="Q4427"/>
      <c r="R4427"/>
    </row>
    <row r="4428" spans="14:18" x14ac:dyDescent="0.25">
      <c r="N4428"/>
      <c r="O4428"/>
      <c r="P4428"/>
      <c r="Q4428"/>
      <c r="R4428"/>
    </row>
    <row r="4429" spans="14:18" x14ac:dyDescent="0.25">
      <c r="N4429"/>
      <c r="O4429"/>
      <c r="P4429"/>
      <c r="Q4429"/>
      <c r="R4429"/>
    </row>
    <row r="4430" spans="14:18" x14ac:dyDescent="0.25">
      <c r="N4430"/>
      <c r="O4430"/>
      <c r="P4430"/>
      <c r="Q4430"/>
      <c r="R4430"/>
    </row>
    <row r="4431" spans="14:18" x14ac:dyDescent="0.25">
      <c r="N4431"/>
      <c r="O4431"/>
      <c r="P4431"/>
      <c r="Q4431"/>
      <c r="R4431"/>
    </row>
    <row r="4432" spans="14:18" x14ac:dyDescent="0.25">
      <c r="N4432"/>
      <c r="O4432"/>
      <c r="P4432"/>
      <c r="Q4432"/>
      <c r="R4432"/>
    </row>
    <row r="4433" spans="14:18" x14ac:dyDescent="0.25">
      <c r="N4433"/>
      <c r="O4433"/>
      <c r="P4433"/>
      <c r="Q4433"/>
      <c r="R4433"/>
    </row>
    <row r="4434" spans="14:18" x14ac:dyDescent="0.25">
      <c r="N4434"/>
      <c r="O4434"/>
      <c r="P4434"/>
      <c r="Q4434"/>
      <c r="R4434"/>
    </row>
    <row r="4435" spans="14:18" x14ac:dyDescent="0.25">
      <c r="N4435"/>
      <c r="O4435"/>
      <c r="P4435"/>
      <c r="Q4435"/>
      <c r="R4435"/>
    </row>
    <row r="4436" spans="14:18" x14ac:dyDescent="0.25">
      <c r="N4436"/>
      <c r="O4436"/>
      <c r="P4436"/>
      <c r="Q4436"/>
      <c r="R4436"/>
    </row>
    <row r="4437" spans="14:18" x14ac:dyDescent="0.25">
      <c r="N4437"/>
      <c r="O4437"/>
      <c r="P4437"/>
      <c r="Q4437"/>
      <c r="R4437"/>
    </row>
    <row r="4438" spans="14:18" x14ac:dyDescent="0.25">
      <c r="N4438"/>
      <c r="O4438"/>
      <c r="P4438"/>
      <c r="Q4438"/>
      <c r="R4438"/>
    </row>
    <row r="4439" spans="14:18" x14ac:dyDescent="0.25">
      <c r="N4439"/>
      <c r="O4439"/>
      <c r="P4439"/>
      <c r="Q4439"/>
      <c r="R4439"/>
    </row>
    <row r="4440" spans="14:18" x14ac:dyDescent="0.25">
      <c r="N4440"/>
      <c r="O4440"/>
      <c r="P4440"/>
      <c r="Q4440"/>
      <c r="R4440"/>
    </row>
    <row r="4441" spans="14:18" x14ac:dyDescent="0.25">
      <c r="N4441"/>
      <c r="O4441"/>
      <c r="P4441"/>
      <c r="Q4441"/>
      <c r="R4441"/>
    </row>
    <row r="4442" spans="14:18" x14ac:dyDescent="0.25">
      <c r="N4442"/>
      <c r="O4442"/>
      <c r="P4442"/>
      <c r="Q4442"/>
      <c r="R4442"/>
    </row>
    <row r="4443" spans="14:18" x14ac:dyDescent="0.25">
      <c r="N4443"/>
      <c r="O4443"/>
      <c r="P4443"/>
      <c r="Q4443"/>
      <c r="R4443"/>
    </row>
    <row r="4444" spans="14:18" x14ac:dyDescent="0.25">
      <c r="N4444"/>
      <c r="O4444"/>
      <c r="P4444"/>
      <c r="Q4444"/>
      <c r="R4444"/>
    </row>
    <row r="4445" spans="14:18" x14ac:dyDescent="0.25">
      <c r="N4445"/>
      <c r="O4445"/>
      <c r="P4445"/>
      <c r="Q4445"/>
      <c r="R4445"/>
    </row>
    <row r="4446" spans="14:18" x14ac:dyDescent="0.25">
      <c r="N4446"/>
      <c r="O4446"/>
      <c r="P4446"/>
      <c r="Q4446"/>
      <c r="R4446"/>
    </row>
    <row r="4447" spans="14:18" x14ac:dyDescent="0.25">
      <c r="N4447"/>
      <c r="O4447"/>
      <c r="P4447"/>
      <c r="Q4447"/>
      <c r="R4447"/>
    </row>
    <row r="4448" spans="14:18" x14ac:dyDescent="0.25">
      <c r="N4448"/>
      <c r="O4448"/>
      <c r="P4448"/>
      <c r="Q4448"/>
      <c r="R4448"/>
    </row>
    <row r="4449" spans="14:18" x14ac:dyDescent="0.25">
      <c r="N4449"/>
      <c r="O4449"/>
      <c r="P4449"/>
      <c r="Q4449"/>
      <c r="R4449"/>
    </row>
    <row r="4450" spans="14:18" x14ac:dyDescent="0.25">
      <c r="N4450"/>
      <c r="O4450"/>
      <c r="P4450"/>
      <c r="Q4450"/>
      <c r="R4450"/>
    </row>
    <row r="4451" spans="14:18" x14ac:dyDescent="0.25">
      <c r="N4451"/>
      <c r="O4451"/>
      <c r="P4451"/>
      <c r="Q4451"/>
      <c r="R4451"/>
    </row>
    <row r="4452" spans="14:18" x14ac:dyDescent="0.25">
      <c r="N4452"/>
      <c r="O4452"/>
      <c r="P4452"/>
      <c r="Q4452"/>
      <c r="R4452"/>
    </row>
    <row r="4453" spans="14:18" x14ac:dyDescent="0.25">
      <c r="N4453"/>
      <c r="O4453"/>
      <c r="P4453"/>
      <c r="Q4453"/>
      <c r="R4453"/>
    </row>
    <row r="4454" spans="14:18" x14ac:dyDescent="0.25">
      <c r="N4454"/>
      <c r="O4454"/>
      <c r="P4454"/>
      <c r="Q4454"/>
      <c r="R4454"/>
    </row>
    <row r="4455" spans="14:18" x14ac:dyDescent="0.25">
      <c r="N4455"/>
      <c r="O4455"/>
      <c r="P4455"/>
      <c r="Q4455"/>
      <c r="R4455"/>
    </row>
    <row r="4456" spans="14:18" x14ac:dyDescent="0.25">
      <c r="N4456"/>
      <c r="O4456"/>
      <c r="P4456"/>
      <c r="Q4456"/>
      <c r="R4456"/>
    </row>
    <row r="4457" spans="14:18" x14ac:dyDescent="0.25">
      <c r="N4457"/>
      <c r="O4457"/>
      <c r="P4457"/>
      <c r="Q4457"/>
      <c r="R4457"/>
    </row>
    <row r="4458" spans="14:18" x14ac:dyDescent="0.25">
      <c r="N4458"/>
      <c r="O4458"/>
      <c r="P4458"/>
      <c r="Q4458"/>
      <c r="R4458"/>
    </row>
    <row r="4459" spans="14:18" x14ac:dyDescent="0.25">
      <c r="N4459"/>
      <c r="O4459"/>
      <c r="P4459"/>
      <c r="Q4459"/>
      <c r="R4459"/>
    </row>
    <row r="4460" spans="14:18" x14ac:dyDescent="0.25">
      <c r="N4460"/>
      <c r="O4460"/>
      <c r="P4460"/>
      <c r="Q4460"/>
      <c r="R4460"/>
    </row>
    <row r="4461" spans="14:18" x14ac:dyDescent="0.25">
      <c r="N4461"/>
      <c r="O4461"/>
      <c r="P4461"/>
      <c r="Q4461"/>
      <c r="R4461"/>
    </row>
    <row r="4462" spans="14:18" x14ac:dyDescent="0.25">
      <c r="N4462"/>
      <c r="O4462"/>
      <c r="P4462"/>
      <c r="Q4462"/>
      <c r="R4462"/>
    </row>
    <row r="4463" spans="14:18" x14ac:dyDescent="0.25">
      <c r="N4463"/>
      <c r="O4463"/>
      <c r="P4463"/>
      <c r="Q4463"/>
      <c r="R4463"/>
    </row>
    <row r="4464" spans="14:18" x14ac:dyDescent="0.25">
      <c r="N4464"/>
      <c r="O4464"/>
      <c r="P4464"/>
      <c r="Q4464"/>
      <c r="R4464"/>
    </row>
    <row r="4465" spans="14:18" x14ac:dyDescent="0.25">
      <c r="N4465"/>
      <c r="O4465"/>
      <c r="P4465"/>
      <c r="Q4465"/>
      <c r="R4465"/>
    </row>
    <row r="4466" spans="14:18" x14ac:dyDescent="0.25">
      <c r="N4466"/>
      <c r="O4466"/>
      <c r="P4466"/>
      <c r="Q4466"/>
      <c r="R4466"/>
    </row>
    <row r="4467" spans="14:18" x14ac:dyDescent="0.25">
      <c r="N4467"/>
      <c r="O4467"/>
      <c r="P4467"/>
      <c r="Q4467"/>
      <c r="R4467"/>
    </row>
    <row r="4468" spans="14:18" x14ac:dyDescent="0.25">
      <c r="N4468"/>
      <c r="O4468"/>
      <c r="P4468"/>
      <c r="Q4468"/>
      <c r="R4468"/>
    </row>
    <row r="4469" spans="14:18" x14ac:dyDescent="0.25">
      <c r="N4469"/>
      <c r="O4469"/>
      <c r="P4469"/>
      <c r="Q4469"/>
      <c r="R4469"/>
    </row>
    <row r="4470" spans="14:18" x14ac:dyDescent="0.25">
      <c r="N4470"/>
      <c r="O4470"/>
      <c r="P4470"/>
      <c r="Q4470"/>
      <c r="R4470"/>
    </row>
    <row r="4471" spans="14:18" x14ac:dyDescent="0.25">
      <c r="N4471"/>
      <c r="O4471"/>
      <c r="P4471"/>
      <c r="Q4471"/>
      <c r="R4471"/>
    </row>
    <row r="4472" spans="14:18" x14ac:dyDescent="0.25">
      <c r="N4472"/>
      <c r="O4472"/>
      <c r="P4472"/>
      <c r="Q4472"/>
      <c r="R4472"/>
    </row>
    <row r="4473" spans="14:18" x14ac:dyDescent="0.25">
      <c r="N4473"/>
      <c r="O4473"/>
      <c r="P4473"/>
      <c r="Q4473"/>
      <c r="R4473"/>
    </row>
    <row r="4474" spans="14:18" x14ac:dyDescent="0.25">
      <c r="N4474"/>
      <c r="O4474"/>
      <c r="P4474"/>
      <c r="Q4474"/>
      <c r="R4474"/>
    </row>
    <row r="4475" spans="14:18" x14ac:dyDescent="0.25">
      <c r="N4475"/>
      <c r="O4475"/>
      <c r="P4475"/>
      <c r="Q4475"/>
      <c r="R4475"/>
    </row>
    <row r="4476" spans="14:18" x14ac:dyDescent="0.25">
      <c r="N4476"/>
      <c r="O4476"/>
      <c r="P4476"/>
      <c r="Q4476"/>
      <c r="R4476"/>
    </row>
    <row r="4477" spans="14:18" x14ac:dyDescent="0.25">
      <c r="N4477"/>
      <c r="O4477"/>
      <c r="P4477"/>
      <c r="Q4477"/>
      <c r="R4477"/>
    </row>
    <row r="4478" spans="14:18" x14ac:dyDescent="0.25">
      <c r="N4478"/>
      <c r="O4478"/>
      <c r="P4478"/>
      <c r="Q4478"/>
      <c r="R4478"/>
    </row>
    <row r="4479" spans="14:18" x14ac:dyDescent="0.25">
      <c r="N4479"/>
      <c r="O4479"/>
      <c r="P4479"/>
      <c r="Q4479"/>
      <c r="R4479"/>
    </row>
    <row r="4480" spans="14:18" x14ac:dyDescent="0.25">
      <c r="N4480"/>
      <c r="O4480"/>
      <c r="P4480"/>
      <c r="Q4480"/>
      <c r="R4480"/>
    </row>
    <row r="4481" spans="14:18" x14ac:dyDescent="0.25">
      <c r="N4481"/>
      <c r="O4481"/>
      <c r="P4481"/>
      <c r="Q4481"/>
      <c r="R4481"/>
    </row>
    <row r="4482" spans="14:18" x14ac:dyDescent="0.25">
      <c r="N4482"/>
      <c r="O4482"/>
      <c r="P4482"/>
      <c r="Q4482"/>
      <c r="R4482"/>
    </row>
    <row r="4483" spans="14:18" x14ac:dyDescent="0.25">
      <c r="N4483"/>
      <c r="O4483"/>
      <c r="P4483"/>
      <c r="Q4483"/>
      <c r="R4483"/>
    </row>
    <row r="4484" spans="14:18" x14ac:dyDescent="0.25">
      <c r="N4484"/>
      <c r="O4484"/>
      <c r="P4484"/>
      <c r="Q4484"/>
      <c r="R4484"/>
    </row>
    <row r="4485" spans="14:18" x14ac:dyDescent="0.25">
      <c r="N4485"/>
      <c r="O4485"/>
      <c r="P4485"/>
      <c r="Q4485"/>
      <c r="R4485"/>
    </row>
    <row r="4486" spans="14:18" x14ac:dyDescent="0.25">
      <c r="N4486"/>
      <c r="O4486"/>
      <c r="P4486"/>
      <c r="Q4486"/>
      <c r="R4486"/>
    </row>
    <row r="4487" spans="14:18" x14ac:dyDescent="0.25">
      <c r="N4487"/>
      <c r="O4487"/>
      <c r="P4487"/>
      <c r="Q4487"/>
      <c r="R4487"/>
    </row>
    <row r="4488" spans="14:18" x14ac:dyDescent="0.25">
      <c r="N4488"/>
      <c r="O4488"/>
      <c r="P4488"/>
      <c r="Q4488"/>
      <c r="R4488"/>
    </row>
    <row r="4489" spans="14:18" x14ac:dyDescent="0.25">
      <c r="N4489"/>
      <c r="O4489"/>
      <c r="P4489"/>
      <c r="Q4489"/>
      <c r="R4489"/>
    </row>
    <row r="4490" spans="14:18" x14ac:dyDescent="0.25">
      <c r="N4490"/>
      <c r="O4490"/>
      <c r="P4490"/>
      <c r="Q4490"/>
      <c r="R4490"/>
    </row>
    <row r="4491" spans="14:18" x14ac:dyDescent="0.25">
      <c r="N4491"/>
      <c r="O4491"/>
      <c r="P4491"/>
      <c r="Q4491"/>
      <c r="R4491"/>
    </row>
    <row r="4492" spans="14:18" x14ac:dyDescent="0.25">
      <c r="N4492"/>
      <c r="O4492"/>
      <c r="P4492"/>
      <c r="Q4492"/>
      <c r="R4492"/>
    </row>
    <row r="4493" spans="14:18" x14ac:dyDescent="0.25">
      <c r="N4493"/>
      <c r="O4493"/>
      <c r="P4493"/>
      <c r="Q4493"/>
      <c r="R4493"/>
    </row>
    <row r="4494" spans="14:18" x14ac:dyDescent="0.25">
      <c r="N4494"/>
      <c r="O4494"/>
      <c r="P4494"/>
      <c r="Q4494"/>
      <c r="R4494"/>
    </row>
    <row r="4495" spans="14:18" x14ac:dyDescent="0.25">
      <c r="N4495"/>
      <c r="O4495"/>
      <c r="P4495"/>
      <c r="Q4495"/>
      <c r="R4495"/>
    </row>
    <row r="4496" spans="14:18" x14ac:dyDescent="0.25">
      <c r="N4496"/>
      <c r="O4496"/>
      <c r="P4496"/>
      <c r="Q4496"/>
      <c r="R4496"/>
    </row>
    <row r="4497" spans="14:18" x14ac:dyDescent="0.25">
      <c r="N4497"/>
      <c r="O4497"/>
      <c r="P4497"/>
      <c r="Q4497"/>
      <c r="R4497"/>
    </row>
    <row r="4498" spans="14:18" x14ac:dyDescent="0.25">
      <c r="N4498"/>
      <c r="O4498"/>
      <c r="P4498"/>
      <c r="Q4498"/>
      <c r="R4498"/>
    </row>
    <row r="4499" spans="14:18" x14ac:dyDescent="0.25">
      <c r="N4499"/>
      <c r="O4499"/>
      <c r="P4499"/>
      <c r="Q4499"/>
      <c r="R4499"/>
    </row>
    <row r="4500" spans="14:18" x14ac:dyDescent="0.25">
      <c r="N4500"/>
      <c r="O4500"/>
      <c r="P4500"/>
      <c r="Q4500"/>
      <c r="R4500"/>
    </row>
    <row r="4501" spans="14:18" x14ac:dyDescent="0.25">
      <c r="N4501"/>
      <c r="O4501"/>
      <c r="P4501"/>
      <c r="Q4501"/>
      <c r="R4501"/>
    </row>
    <row r="4502" spans="14:18" x14ac:dyDescent="0.25">
      <c r="N4502"/>
      <c r="O4502"/>
      <c r="P4502"/>
      <c r="Q4502"/>
      <c r="R4502"/>
    </row>
    <row r="4503" spans="14:18" x14ac:dyDescent="0.25">
      <c r="N4503"/>
      <c r="O4503"/>
      <c r="P4503"/>
      <c r="Q4503"/>
      <c r="R4503"/>
    </row>
    <row r="4504" spans="14:18" x14ac:dyDescent="0.25">
      <c r="N4504"/>
      <c r="O4504"/>
      <c r="P4504"/>
      <c r="Q4504"/>
      <c r="R4504"/>
    </row>
    <row r="4505" spans="14:18" x14ac:dyDescent="0.25">
      <c r="N4505"/>
      <c r="O4505"/>
      <c r="P4505"/>
      <c r="Q4505"/>
      <c r="R4505"/>
    </row>
    <row r="4506" spans="14:18" x14ac:dyDescent="0.25">
      <c r="N4506"/>
      <c r="O4506"/>
      <c r="P4506"/>
      <c r="Q4506"/>
      <c r="R4506"/>
    </row>
    <row r="4507" spans="14:18" x14ac:dyDescent="0.25">
      <c r="N4507"/>
      <c r="O4507"/>
      <c r="P4507"/>
      <c r="Q4507"/>
      <c r="R4507"/>
    </row>
    <row r="4508" spans="14:18" x14ac:dyDescent="0.25">
      <c r="N4508"/>
      <c r="O4508"/>
      <c r="P4508"/>
      <c r="Q4508"/>
      <c r="R4508"/>
    </row>
    <row r="4509" spans="14:18" x14ac:dyDescent="0.25">
      <c r="N4509"/>
      <c r="O4509"/>
      <c r="P4509"/>
      <c r="Q4509"/>
      <c r="R4509"/>
    </row>
    <row r="4510" spans="14:18" x14ac:dyDescent="0.25">
      <c r="N4510"/>
      <c r="O4510"/>
      <c r="P4510"/>
      <c r="Q4510"/>
      <c r="R4510"/>
    </row>
    <row r="4511" spans="14:18" x14ac:dyDescent="0.25">
      <c r="N4511"/>
      <c r="O4511"/>
      <c r="P4511"/>
      <c r="Q4511"/>
      <c r="R4511"/>
    </row>
    <row r="4512" spans="14:18" x14ac:dyDescent="0.25">
      <c r="N4512"/>
      <c r="O4512"/>
      <c r="P4512"/>
      <c r="Q4512"/>
      <c r="R4512"/>
    </row>
    <row r="4513" spans="14:18" x14ac:dyDescent="0.25">
      <c r="N4513"/>
      <c r="O4513"/>
      <c r="P4513"/>
      <c r="Q4513"/>
      <c r="R4513"/>
    </row>
    <row r="4514" spans="14:18" x14ac:dyDescent="0.25">
      <c r="N4514"/>
      <c r="O4514"/>
      <c r="P4514"/>
      <c r="Q4514"/>
      <c r="R4514"/>
    </row>
    <row r="4515" spans="14:18" x14ac:dyDescent="0.25">
      <c r="N4515"/>
      <c r="O4515"/>
      <c r="P4515"/>
      <c r="Q4515"/>
      <c r="R4515"/>
    </row>
    <row r="4516" spans="14:18" x14ac:dyDescent="0.25">
      <c r="N4516"/>
      <c r="O4516"/>
      <c r="P4516"/>
      <c r="Q4516"/>
      <c r="R4516"/>
    </row>
    <row r="4517" spans="14:18" x14ac:dyDescent="0.25">
      <c r="N4517"/>
      <c r="O4517"/>
      <c r="P4517"/>
      <c r="Q4517"/>
      <c r="R4517"/>
    </row>
    <row r="4518" spans="14:18" x14ac:dyDescent="0.25">
      <c r="N4518"/>
      <c r="O4518"/>
      <c r="P4518"/>
      <c r="Q4518"/>
      <c r="R4518"/>
    </row>
    <row r="4519" spans="14:18" x14ac:dyDescent="0.25">
      <c r="N4519"/>
      <c r="O4519"/>
      <c r="P4519"/>
      <c r="Q4519"/>
      <c r="R4519"/>
    </row>
    <row r="4520" spans="14:18" x14ac:dyDescent="0.25">
      <c r="N4520"/>
      <c r="O4520"/>
      <c r="P4520"/>
      <c r="Q4520"/>
      <c r="R4520"/>
    </row>
    <row r="4521" spans="14:18" x14ac:dyDescent="0.25">
      <c r="N4521"/>
      <c r="O4521"/>
      <c r="P4521"/>
      <c r="Q4521"/>
      <c r="R4521"/>
    </row>
    <row r="4522" spans="14:18" x14ac:dyDescent="0.25">
      <c r="N4522"/>
      <c r="O4522"/>
      <c r="P4522"/>
      <c r="Q4522"/>
      <c r="R4522"/>
    </row>
    <row r="4523" spans="14:18" x14ac:dyDescent="0.25">
      <c r="N4523"/>
      <c r="O4523"/>
      <c r="P4523"/>
      <c r="Q4523"/>
      <c r="R4523"/>
    </row>
    <row r="4524" spans="14:18" x14ac:dyDescent="0.25">
      <c r="N4524"/>
      <c r="O4524"/>
      <c r="P4524"/>
      <c r="Q4524"/>
      <c r="R4524"/>
    </row>
    <row r="4525" spans="14:18" x14ac:dyDescent="0.25">
      <c r="N4525"/>
      <c r="O4525"/>
      <c r="P4525"/>
      <c r="Q4525"/>
      <c r="R4525"/>
    </row>
    <row r="4526" spans="14:18" x14ac:dyDescent="0.25">
      <c r="N4526"/>
      <c r="O4526"/>
      <c r="P4526"/>
      <c r="Q4526"/>
      <c r="R4526"/>
    </row>
    <row r="4527" spans="14:18" x14ac:dyDescent="0.25">
      <c r="N4527"/>
      <c r="O4527"/>
      <c r="P4527"/>
      <c r="Q4527"/>
      <c r="R4527"/>
    </row>
    <row r="4528" spans="14:18" x14ac:dyDescent="0.25">
      <c r="N4528"/>
      <c r="O4528"/>
      <c r="P4528"/>
      <c r="Q4528"/>
      <c r="R4528"/>
    </row>
    <row r="4529" spans="14:18" x14ac:dyDescent="0.25">
      <c r="N4529"/>
      <c r="O4529"/>
      <c r="P4529"/>
      <c r="Q4529"/>
      <c r="R4529"/>
    </row>
    <row r="4530" spans="14:18" x14ac:dyDescent="0.25">
      <c r="N4530"/>
      <c r="O4530"/>
      <c r="P4530"/>
      <c r="Q4530"/>
      <c r="R4530"/>
    </row>
    <row r="4531" spans="14:18" x14ac:dyDescent="0.25">
      <c r="N4531"/>
      <c r="O4531"/>
      <c r="P4531"/>
      <c r="Q4531"/>
      <c r="R4531"/>
    </row>
    <row r="4532" spans="14:18" x14ac:dyDescent="0.25">
      <c r="N4532"/>
      <c r="O4532"/>
      <c r="P4532"/>
      <c r="Q4532"/>
      <c r="R4532"/>
    </row>
    <row r="4533" spans="14:18" x14ac:dyDescent="0.25">
      <c r="N4533"/>
      <c r="O4533"/>
      <c r="P4533"/>
      <c r="Q4533"/>
      <c r="R4533"/>
    </row>
    <row r="4534" spans="14:18" x14ac:dyDescent="0.25">
      <c r="N4534"/>
      <c r="O4534"/>
      <c r="P4534"/>
      <c r="Q4534"/>
      <c r="R4534"/>
    </row>
    <row r="4535" spans="14:18" x14ac:dyDescent="0.25">
      <c r="N4535"/>
      <c r="O4535"/>
      <c r="P4535"/>
      <c r="Q4535"/>
      <c r="R4535"/>
    </row>
    <row r="4536" spans="14:18" x14ac:dyDescent="0.25">
      <c r="N4536"/>
      <c r="O4536"/>
      <c r="P4536"/>
      <c r="Q4536"/>
      <c r="R4536"/>
    </row>
    <row r="4537" spans="14:18" x14ac:dyDescent="0.25">
      <c r="N4537"/>
      <c r="O4537"/>
      <c r="P4537"/>
      <c r="Q4537"/>
      <c r="R4537"/>
    </row>
    <row r="4538" spans="14:18" x14ac:dyDescent="0.25">
      <c r="N4538"/>
      <c r="O4538"/>
      <c r="P4538"/>
      <c r="Q4538"/>
      <c r="R4538"/>
    </row>
    <row r="4539" spans="14:18" x14ac:dyDescent="0.25">
      <c r="N4539"/>
      <c r="O4539"/>
      <c r="P4539"/>
      <c r="Q4539"/>
      <c r="R4539"/>
    </row>
    <row r="4540" spans="14:18" x14ac:dyDescent="0.25">
      <c r="N4540"/>
      <c r="O4540"/>
      <c r="P4540"/>
      <c r="Q4540"/>
      <c r="R4540"/>
    </row>
    <row r="4541" spans="14:18" x14ac:dyDescent="0.25">
      <c r="N4541"/>
      <c r="O4541"/>
      <c r="P4541"/>
      <c r="Q4541"/>
      <c r="R4541"/>
    </row>
    <row r="4542" spans="14:18" x14ac:dyDescent="0.25">
      <c r="N4542"/>
      <c r="O4542"/>
      <c r="P4542"/>
      <c r="Q4542"/>
      <c r="R4542"/>
    </row>
    <row r="4543" spans="14:18" x14ac:dyDescent="0.25">
      <c r="N4543"/>
      <c r="O4543"/>
      <c r="P4543"/>
      <c r="Q4543"/>
      <c r="R4543"/>
    </row>
    <row r="4544" spans="14:18" x14ac:dyDescent="0.25">
      <c r="N4544"/>
      <c r="O4544"/>
      <c r="P4544"/>
      <c r="Q4544"/>
      <c r="R4544"/>
    </row>
    <row r="4545" spans="14:18" x14ac:dyDescent="0.25">
      <c r="N4545"/>
      <c r="O4545"/>
      <c r="P4545"/>
      <c r="Q4545"/>
      <c r="R4545"/>
    </row>
    <row r="4546" spans="14:18" x14ac:dyDescent="0.25">
      <c r="N4546"/>
      <c r="O4546"/>
      <c r="P4546"/>
      <c r="Q4546"/>
      <c r="R4546"/>
    </row>
    <row r="4547" spans="14:18" x14ac:dyDescent="0.25">
      <c r="N4547"/>
      <c r="O4547"/>
      <c r="P4547"/>
      <c r="Q4547"/>
      <c r="R4547"/>
    </row>
    <row r="4548" spans="14:18" x14ac:dyDescent="0.25">
      <c r="N4548"/>
      <c r="O4548"/>
      <c r="P4548"/>
      <c r="Q4548"/>
      <c r="R4548"/>
    </row>
    <row r="4549" spans="14:18" x14ac:dyDescent="0.25">
      <c r="N4549"/>
      <c r="O4549"/>
      <c r="P4549"/>
      <c r="Q4549"/>
      <c r="R4549"/>
    </row>
    <row r="4550" spans="14:18" x14ac:dyDescent="0.25">
      <c r="N4550"/>
      <c r="O4550"/>
      <c r="P4550"/>
      <c r="Q4550"/>
      <c r="R4550"/>
    </row>
    <row r="4551" spans="14:18" x14ac:dyDescent="0.25">
      <c r="N4551"/>
      <c r="O4551"/>
      <c r="P4551"/>
      <c r="Q4551"/>
      <c r="R4551"/>
    </row>
    <row r="4552" spans="14:18" x14ac:dyDescent="0.25">
      <c r="N4552"/>
      <c r="O4552"/>
      <c r="P4552"/>
      <c r="Q4552"/>
      <c r="R4552"/>
    </row>
    <row r="4553" spans="14:18" x14ac:dyDescent="0.25">
      <c r="N4553"/>
      <c r="O4553"/>
      <c r="P4553"/>
      <c r="Q4553"/>
      <c r="R4553"/>
    </row>
    <row r="4554" spans="14:18" x14ac:dyDescent="0.25">
      <c r="N4554"/>
      <c r="O4554"/>
      <c r="P4554"/>
      <c r="Q4554"/>
      <c r="R4554"/>
    </row>
    <row r="4555" spans="14:18" x14ac:dyDescent="0.25">
      <c r="N4555"/>
      <c r="O4555"/>
      <c r="P4555"/>
      <c r="Q4555"/>
      <c r="R4555"/>
    </row>
    <row r="4556" spans="14:18" x14ac:dyDescent="0.25">
      <c r="N4556"/>
      <c r="O4556"/>
      <c r="P4556"/>
      <c r="Q4556"/>
      <c r="R4556"/>
    </row>
    <row r="4557" spans="14:18" x14ac:dyDescent="0.25">
      <c r="N4557"/>
      <c r="O4557"/>
      <c r="P4557"/>
      <c r="Q4557"/>
      <c r="R4557"/>
    </row>
    <row r="4558" spans="14:18" x14ac:dyDescent="0.25">
      <c r="N4558"/>
      <c r="O4558"/>
      <c r="P4558"/>
      <c r="Q4558"/>
      <c r="R4558"/>
    </row>
    <row r="4559" spans="14:18" x14ac:dyDescent="0.25">
      <c r="N4559"/>
      <c r="O4559"/>
      <c r="P4559"/>
      <c r="Q4559"/>
      <c r="R4559"/>
    </row>
    <row r="4560" spans="14:18" x14ac:dyDescent="0.25">
      <c r="N4560"/>
      <c r="O4560"/>
      <c r="P4560"/>
      <c r="Q4560"/>
      <c r="R4560"/>
    </row>
    <row r="4561" spans="14:18" x14ac:dyDescent="0.25">
      <c r="N4561"/>
      <c r="O4561"/>
      <c r="P4561"/>
      <c r="Q4561"/>
      <c r="R4561"/>
    </row>
    <row r="4562" spans="14:18" x14ac:dyDescent="0.25">
      <c r="N4562"/>
      <c r="O4562"/>
      <c r="P4562"/>
      <c r="Q4562"/>
      <c r="R4562"/>
    </row>
    <row r="4563" spans="14:18" x14ac:dyDescent="0.25">
      <c r="N4563"/>
      <c r="O4563"/>
      <c r="P4563"/>
      <c r="Q4563"/>
      <c r="R4563"/>
    </row>
    <row r="4564" spans="14:18" x14ac:dyDescent="0.25">
      <c r="N4564"/>
      <c r="O4564"/>
      <c r="P4564"/>
      <c r="Q4564"/>
      <c r="R4564"/>
    </row>
    <row r="4565" spans="14:18" x14ac:dyDescent="0.25">
      <c r="N4565"/>
      <c r="O4565"/>
      <c r="P4565"/>
      <c r="Q4565"/>
      <c r="R4565"/>
    </row>
    <row r="4566" spans="14:18" x14ac:dyDescent="0.25">
      <c r="N4566"/>
      <c r="O4566"/>
      <c r="P4566"/>
      <c r="Q4566"/>
      <c r="R4566"/>
    </row>
    <row r="4567" spans="14:18" x14ac:dyDescent="0.25">
      <c r="N4567"/>
      <c r="O4567"/>
      <c r="P4567"/>
      <c r="Q4567"/>
      <c r="R4567"/>
    </row>
    <row r="4568" spans="14:18" x14ac:dyDescent="0.25">
      <c r="N4568"/>
      <c r="O4568"/>
      <c r="P4568"/>
      <c r="Q4568"/>
      <c r="R4568"/>
    </row>
    <row r="4569" spans="14:18" x14ac:dyDescent="0.25">
      <c r="N4569"/>
      <c r="O4569"/>
      <c r="P4569"/>
      <c r="Q4569"/>
      <c r="R4569"/>
    </row>
    <row r="4570" spans="14:18" x14ac:dyDescent="0.25">
      <c r="N4570"/>
      <c r="O4570"/>
      <c r="P4570"/>
      <c r="Q4570"/>
      <c r="R4570"/>
    </row>
    <row r="4571" spans="14:18" x14ac:dyDescent="0.25">
      <c r="N4571"/>
      <c r="O4571"/>
      <c r="P4571"/>
      <c r="Q4571"/>
      <c r="R4571"/>
    </row>
    <row r="4572" spans="14:18" x14ac:dyDescent="0.25">
      <c r="N4572"/>
      <c r="O4572"/>
      <c r="P4572"/>
      <c r="Q4572"/>
      <c r="R4572"/>
    </row>
    <row r="4573" spans="14:18" x14ac:dyDescent="0.25">
      <c r="N4573"/>
      <c r="O4573"/>
      <c r="P4573"/>
      <c r="Q4573"/>
      <c r="R4573"/>
    </row>
    <row r="4574" spans="14:18" x14ac:dyDescent="0.25">
      <c r="N4574"/>
      <c r="O4574"/>
      <c r="P4574"/>
      <c r="Q4574"/>
      <c r="R4574"/>
    </row>
    <row r="4575" spans="14:18" x14ac:dyDescent="0.25">
      <c r="N4575"/>
      <c r="O4575"/>
      <c r="P4575"/>
      <c r="Q4575"/>
      <c r="R4575"/>
    </row>
    <row r="4576" spans="14:18" x14ac:dyDescent="0.25">
      <c r="N4576"/>
      <c r="O4576"/>
      <c r="P4576"/>
      <c r="Q4576"/>
      <c r="R4576"/>
    </row>
    <row r="4577" spans="14:18" x14ac:dyDescent="0.25">
      <c r="N4577"/>
      <c r="O4577"/>
      <c r="P4577"/>
      <c r="Q4577"/>
      <c r="R4577"/>
    </row>
    <row r="4578" spans="14:18" x14ac:dyDescent="0.25">
      <c r="N4578"/>
      <c r="O4578"/>
      <c r="P4578"/>
      <c r="Q4578"/>
      <c r="R4578"/>
    </row>
    <row r="4579" spans="14:18" x14ac:dyDescent="0.25">
      <c r="N4579"/>
      <c r="O4579"/>
      <c r="P4579"/>
      <c r="Q4579"/>
      <c r="R4579"/>
    </row>
    <row r="4580" spans="14:18" x14ac:dyDescent="0.25">
      <c r="N4580"/>
      <c r="O4580"/>
      <c r="P4580"/>
      <c r="Q4580"/>
      <c r="R4580"/>
    </row>
    <row r="4581" spans="14:18" x14ac:dyDescent="0.25">
      <c r="N4581"/>
      <c r="O4581"/>
      <c r="P4581"/>
      <c r="Q4581"/>
      <c r="R4581"/>
    </row>
    <row r="4582" spans="14:18" x14ac:dyDescent="0.25">
      <c r="N4582"/>
      <c r="O4582"/>
      <c r="P4582"/>
      <c r="Q4582"/>
      <c r="R4582"/>
    </row>
    <row r="4583" spans="14:18" x14ac:dyDescent="0.25">
      <c r="N4583"/>
      <c r="O4583"/>
      <c r="P4583"/>
      <c r="Q4583"/>
      <c r="R4583"/>
    </row>
    <row r="4584" spans="14:18" x14ac:dyDescent="0.25">
      <c r="N4584"/>
      <c r="O4584"/>
      <c r="P4584"/>
      <c r="Q4584"/>
      <c r="R4584"/>
    </row>
    <row r="4585" spans="14:18" x14ac:dyDescent="0.25">
      <c r="N4585"/>
      <c r="O4585"/>
      <c r="P4585"/>
      <c r="Q4585"/>
      <c r="R4585"/>
    </row>
    <row r="4586" spans="14:18" x14ac:dyDescent="0.25">
      <c r="N4586"/>
      <c r="O4586"/>
      <c r="P4586"/>
      <c r="Q4586"/>
      <c r="R4586"/>
    </row>
    <row r="4587" spans="14:18" x14ac:dyDescent="0.25">
      <c r="N4587"/>
      <c r="O4587"/>
      <c r="P4587"/>
      <c r="Q4587"/>
      <c r="R4587"/>
    </row>
    <row r="4588" spans="14:18" x14ac:dyDescent="0.25">
      <c r="N4588"/>
      <c r="O4588"/>
      <c r="P4588"/>
      <c r="Q4588"/>
      <c r="R4588"/>
    </row>
    <row r="4589" spans="14:18" x14ac:dyDescent="0.25">
      <c r="N4589"/>
      <c r="O4589"/>
      <c r="P4589"/>
      <c r="Q4589"/>
      <c r="R4589"/>
    </row>
    <row r="4590" spans="14:18" x14ac:dyDescent="0.25">
      <c r="N4590"/>
      <c r="O4590"/>
      <c r="P4590"/>
      <c r="Q4590"/>
      <c r="R4590"/>
    </row>
    <row r="4591" spans="14:18" x14ac:dyDescent="0.25">
      <c r="N4591"/>
      <c r="O4591"/>
      <c r="P4591"/>
      <c r="Q4591"/>
      <c r="R4591"/>
    </row>
    <row r="4592" spans="14:18" x14ac:dyDescent="0.25">
      <c r="N4592"/>
      <c r="O4592"/>
      <c r="P4592"/>
      <c r="Q4592"/>
      <c r="R4592"/>
    </row>
    <row r="4593" spans="14:18" x14ac:dyDescent="0.25">
      <c r="N4593"/>
      <c r="O4593"/>
      <c r="P4593"/>
      <c r="Q4593"/>
      <c r="R4593"/>
    </row>
    <row r="4594" spans="14:18" x14ac:dyDescent="0.25">
      <c r="N4594"/>
      <c r="O4594"/>
      <c r="P4594"/>
      <c r="Q4594"/>
      <c r="R4594"/>
    </row>
    <row r="4595" spans="14:18" x14ac:dyDescent="0.25">
      <c r="N4595"/>
      <c r="O4595"/>
      <c r="P4595"/>
      <c r="Q4595"/>
      <c r="R4595"/>
    </row>
    <row r="4596" spans="14:18" x14ac:dyDescent="0.25">
      <c r="N4596"/>
      <c r="O4596"/>
      <c r="P4596"/>
      <c r="Q4596"/>
      <c r="R4596"/>
    </row>
    <row r="4597" spans="14:18" x14ac:dyDescent="0.25">
      <c r="N4597"/>
      <c r="O4597"/>
      <c r="P4597"/>
      <c r="Q4597"/>
      <c r="R4597"/>
    </row>
    <row r="4598" spans="14:18" x14ac:dyDescent="0.25">
      <c r="N4598"/>
      <c r="O4598"/>
      <c r="P4598"/>
      <c r="Q4598"/>
      <c r="R4598"/>
    </row>
    <row r="4599" spans="14:18" x14ac:dyDescent="0.25">
      <c r="N4599"/>
      <c r="O4599"/>
      <c r="P4599"/>
      <c r="Q4599"/>
      <c r="R4599"/>
    </row>
    <row r="4600" spans="14:18" x14ac:dyDescent="0.25">
      <c r="N4600"/>
      <c r="O4600"/>
      <c r="P4600"/>
      <c r="Q4600"/>
      <c r="R4600"/>
    </row>
    <row r="4601" spans="14:18" x14ac:dyDescent="0.25">
      <c r="N4601"/>
      <c r="O4601"/>
      <c r="P4601"/>
      <c r="Q4601"/>
      <c r="R4601"/>
    </row>
    <row r="4602" spans="14:18" x14ac:dyDescent="0.25">
      <c r="N4602"/>
      <c r="O4602"/>
      <c r="P4602"/>
      <c r="Q4602"/>
      <c r="R4602"/>
    </row>
    <row r="4603" spans="14:18" x14ac:dyDescent="0.25">
      <c r="N4603"/>
      <c r="O4603"/>
      <c r="P4603"/>
      <c r="Q4603"/>
      <c r="R4603"/>
    </row>
    <row r="4604" spans="14:18" x14ac:dyDescent="0.25">
      <c r="N4604"/>
      <c r="O4604"/>
      <c r="P4604"/>
      <c r="Q4604"/>
      <c r="R4604"/>
    </row>
    <row r="4605" spans="14:18" x14ac:dyDescent="0.25">
      <c r="N4605"/>
      <c r="O4605"/>
      <c r="P4605"/>
      <c r="Q4605"/>
      <c r="R4605"/>
    </row>
    <row r="4606" spans="14:18" x14ac:dyDescent="0.25">
      <c r="N4606"/>
      <c r="O4606"/>
      <c r="P4606"/>
      <c r="Q4606"/>
      <c r="R4606"/>
    </row>
    <row r="4607" spans="14:18" x14ac:dyDescent="0.25">
      <c r="N4607"/>
      <c r="O4607"/>
      <c r="P4607"/>
      <c r="Q4607"/>
      <c r="R4607"/>
    </row>
    <row r="4608" spans="14:18" x14ac:dyDescent="0.25">
      <c r="N4608"/>
      <c r="O4608"/>
      <c r="P4608"/>
      <c r="Q4608"/>
      <c r="R4608"/>
    </row>
    <row r="4609" spans="14:18" x14ac:dyDescent="0.25">
      <c r="N4609"/>
      <c r="O4609"/>
      <c r="P4609"/>
      <c r="Q4609"/>
      <c r="R4609"/>
    </row>
    <row r="4610" spans="14:18" x14ac:dyDescent="0.25">
      <c r="N4610"/>
      <c r="O4610"/>
      <c r="P4610"/>
      <c r="Q4610"/>
      <c r="R4610"/>
    </row>
    <row r="4611" spans="14:18" x14ac:dyDescent="0.25">
      <c r="N4611"/>
      <c r="O4611"/>
      <c r="P4611"/>
      <c r="Q4611"/>
      <c r="R4611"/>
    </row>
    <row r="4612" spans="14:18" x14ac:dyDescent="0.25">
      <c r="N4612"/>
      <c r="O4612"/>
      <c r="P4612"/>
      <c r="Q4612"/>
      <c r="R4612"/>
    </row>
    <row r="4613" spans="14:18" x14ac:dyDescent="0.25">
      <c r="N4613"/>
      <c r="O4613"/>
      <c r="P4613"/>
      <c r="Q4613"/>
      <c r="R4613"/>
    </row>
    <row r="4614" spans="14:18" x14ac:dyDescent="0.25">
      <c r="N4614"/>
      <c r="O4614"/>
      <c r="P4614"/>
      <c r="Q4614"/>
      <c r="R4614"/>
    </row>
    <row r="4615" spans="14:18" x14ac:dyDescent="0.25">
      <c r="N4615"/>
      <c r="O4615"/>
      <c r="P4615"/>
      <c r="Q4615"/>
      <c r="R4615"/>
    </row>
    <row r="4616" spans="14:18" x14ac:dyDescent="0.25">
      <c r="N4616"/>
      <c r="O4616"/>
      <c r="P4616"/>
      <c r="Q4616"/>
      <c r="R4616"/>
    </row>
    <row r="4617" spans="14:18" x14ac:dyDescent="0.25">
      <c r="N4617"/>
      <c r="O4617"/>
      <c r="P4617"/>
      <c r="Q4617"/>
      <c r="R4617"/>
    </row>
    <row r="4618" spans="14:18" x14ac:dyDescent="0.25">
      <c r="N4618"/>
      <c r="O4618"/>
      <c r="P4618"/>
      <c r="Q4618"/>
      <c r="R4618"/>
    </row>
    <row r="4619" spans="14:18" x14ac:dyDescent="0.25">
      <c r="N4619"/>
      <c r="O4619"/>
      <c r="P4619"/>
      <c r="Q4619"/>
      <c r="R4619"/>
    </row>
    <row r="4620" spans="14:18" x14ac:dyDescent="0.25">
      <c r="N4620"/>
      <c r="O4620"/>
      <c r="P4620"/>
      <c r="Q4620"/>
      <c r="R4620"/>
    </row>
    <row r="4621" spans="14:18" x14ac:dyDescent="0.25">
      <c r="N4621"/>
      <c r="O4621"/>
      <c r="P4621"/>
      <c r="Q4621"/>
      <c r="R4621"/>
    </row>
    <row r="4622" spans="14:18" x14ac:dyDescent="0.25">
      <c r="N4622"/>
      <c r="O4622"/>
      <c r="P4622"/>
      <c r="Q4622"/>
      <c r="R4622"/>
    </row>
    <row r="4623" spans="14:18" x14ac:dyDescent="0.25">
      <c r="N4623"/>
      <c r="O4623"/>
      <c r="P4623"/>
      <c r="Q4623"/>
      <c r="R4623"/>
    </row>
    <row r="4624" spans="14:18" x14ac:dyDescent="0.25">
      <c r="N4624"/>
      <c r="O4624"/>
      <c r="P4624"/>
      <c r="Q4624"/>
      <c r="R4624"/>
    </row>
    <row r="4625" spans="14:18" x14ac:dyDescent="0.25">
      <c r="N4625"/>
      <c r="O4625"/>
      <c r="P4625"/>
      <c r="Q4625"/>
      <c r="R4625"/>
    </row>
    <row r="4626" spans="14:18" x14ac:dyDescent="0.25">
      <c r="N4626"/>
      <c r="O4626"/>
      <c r="P4626"/>
      <c r="Q4626"/>
      <c r="R4626"/>
    </row>
    <row r="4627" spans="14:18" x14ac:dyDescent="0.25">
      <c r="N4627"/>
      <c r="O4627"/>
      <c r="P4627"/>
      <c r="Q4627"/>
      <c r="R4627"/>
    </row>
    <row r="4628" spans="14:18" x14ac:dyDescent="0.25">
      <c r="N4628"/>
      <c r="O4628"/>
      <c r="P4628"/>
      <c r="Q4628"/>
      <c r="R4628"/>
    </row>
    <row r="4629" spans="14:18" x14ac:dyDescent="0.25">
      <c r="N4629"/>
      <c r="O4629"/>
      <c r="P4629"/>
      <c r="Q4629"/>
      <c r="R4629"/>
    </row>
    <row r="4630" spans="14:18" x14ac:dyDescent="0.25">
      <c r="N4630"/>
      <c r="O4630"/>
      <c r="P4630"/>
      <c r="Q4630"/>
      <c r="R4630"/>
    </row>
    <row r="4631" spans="14:18" x14ac:dyDescent="0.25">
      <c r="N4631"/>
      <c r="O4631"/>
      <c r="P4631"/>
      <c r="Q4631"/>
      <c r="R4631"/>
    </row>
    <row r="4632" spans="14:18" x14ac:dyDescent="0.25">
      <c r="N4632"/>
      <c r="O4632"/>
      <c r="P4632"/>
      <c r="Q4632"/>
      <c r="R4632"/>
    </row>
    <row r="4633" spans="14:18" x14ac:dyDescent="0.25">
      <c r="N4633"/>
      <c r="O4633"/>
      <c r="P4633"/>
      <c r="Q4633"/>
      <c r="R4633"/>
    </row>
    <row r="4634" spans="14:18" x14ac:dyDescent="0.25">
      <c r="N4634"/>
      <c r="O4634"/>
      <c r="P4634"/>
      <c r="Q4634"/>
      <c r="R4634"/>
    </row>
    <row r="4635" spans="14:18" x14ac:dyDescent="0.25">
      <c r="N4635"/>
      <c r="O4635"/>
      <c r="P4635"/>
      <c r="Q4635"/>
      <c r="R4635"/>
    </row>
    <row r="4636" spans="14:18" x14ac:dyDescent="0.25">
      <c r="N4636"/>
      <c r="O4636"/>
      <c r="P4636"/>
      <c r="Q4636"/>
      <c r="R4636"/>
    </row>
    <row r="4637" spans="14:18" x14ac:dyDescent="0.25">
      <c r="N4637"/>
      <c r="O4637"/>
      <c r="P4637"/>
      <c r="Q4637"/>
      <c r="R4637"/>
    </row>
    <row r="4638" spans="14:18" x14ac:dyDescent="0.25">
      <c r="N4638"/>
      <c r="O4638"/>
      <c r="P4638"/>
      <c r="Q4638"/>
      <c r="R4638"/>
    </row>
    <row r="4639" spans="14:18" x14ac:dyDescent="0.25">
      <c r="N4639"/>
      <c r="O4639"/>
      <c r="P4639"/>
      <c r="Q4639"/>
      <c r="R4639"/>
    </row>
    <row r="4640" spans="14:18" x14ac:dyDescent="0.25">
      <c r="N4640"/>
      <c r="O4640"/>
      <c r="P4640"/>
      <c r="Q4640"/>
      <c r="R4640"/>
    </row>
    <row r="4641" spans="14:18" x14ac:dyDescent="0.25">
      <c r="N4641"/>
      <c r="O4641"/>
      <c r="P4641"/>
      <c r="Q4641"/>
      <c r="R4641"/>
    </row>
    <row r="4642" spans="14:18" x14ac:dyDescent="0.25">
      <c r="N4642"/>
      <c r="O4642"/>
      <c r="P4642"/>
      <c r="Q4642"/>
      <c r="R4642"/>
    </row>
    <row r="4643" spans="14:18" x14ac:dyDescent="0.25">
      <c r="N4643"/>
      <c r="O4643"/>
      <c r="P4643"/>
      <c r="Q4643"/>
      <c r="R4643"/>
    </row>
    <row r="4644" spans="14:18" x14ac:dyDescent="0.25">
      <c r="N4644"/>
      <c r="O4644"/>
      <c r="P4644"/>
      <c r="Q4644"/>
      <c r="R4644"/>
    </row>
    <row r="4645" spans="14:18" x14ac:dyDescent="0.25">
      <c r="N4645"/>
      <c r="O4645"/>
      <c r="P4645"/>
      <c r="Q4645"/>
      <c r="R4645"/>
    </row>
    <row r="4646" spans="14:18" x14ac:dyDescent="0.25">
      <c r="N4646"/>
      <c r="O4646"/>
      <c r="P4646"/>
      <c r="Q4646"/>
      <c r="R4646"/>
    </row>
    <row r="4647" spans="14:18" x14ac:dyDescent="0.25">
      <c r="N4647"/>
      <c r="O4647"/>
      <c r="P4647"/>
      <c r="Q4647"/>
      <c r="R4647"/>
    </row>
    <row r="4648" spans="14:18" x14ac:dyDescent="0.25">
      <c r="N4648"/>
      <c r="O4648"/>
      <c r="P4648"/>
      <c r="Q4648"/>
      <c r="R4648"/>
    </row>
    <row r="4649" spans="14:18" x14ac:dyDescent="0.25">
      <c r="N4649"/>
      <c r="O4649"/>
      <c r="P4649"/>
      <c r="Q4649"/>
      <c r="R4649"/>
    </row>
    <row r="4650" spans="14:18" x14ac:dyDescent="0.25">
      <c r="N4650"/>
      <c r="O4650"/>
      <c r="P4650"/>
      <c r="Q4650"/>
      <c r="R4650"/>
    </row>
    <row r="4651" spans="14:18" x14ac:dyDescent="0.25">
      <c r="N4651"/>
      <c r="O4651"/>
      <c r="P4651"/>
      <c r="Q4651"/>
      <c r="R4651"/>
    </row>
    <row r="4652" spans="14:18" x14ac:dyDescent="0.25">
      <c r="N4652"/>
      <c r="O4652"/>
      <c r="P4652"/>
      <c r="Q4652"/>
      <c r="R4652"/>
    </row>
    <row r="4653" spans="14:18" x14ac:dyDescent="0.25">
      <c r="N4653"/>
      <c r="O4653"/>
      <c r="P4653"/>
      <c r="Q4653"/>
      <c r="R4653"/>
    </row>
    <row r="4654" spans="14:18" x14ac:dyDescent="0.25">
      <c r="N4654"/>
      <c r="O4654"/>
      <c r="P4654"/>
      <c r="Q4654"/>
      <c r="R4654"/>
    </row>
    <row r="4655" spans="14:18" x14ac:dyDescent="0.25">
      <c r="N4655"/>
      <c r="O4655"/>
      <c r="P4655"/>
      <c r="Q4655"/>
      <c r="R4655"/>
    </row>
    <row r="4656" spans="14:18" x14ac:dyDescent="0.25">
      <c r="N4656"/>
      <c r="O4656"/>
      <c r="P4656"/>
      <c r="Q4656"/>
      <c r="R4656"/>
    </row>
    <row r="4657" spans="14:18" x14ac:dyDescent="0.25">
      <c r="N4657"/>
      <c r="O4657"/>
      <c r="P4657"/>
      <c r="Q4657"/>
      <c r="R4657"/>
    </row>
    <row r="4658" spans="14:18" x14ac:dyDescent="0.25">
      <c r="N4658"/>
      <c r="O4658"/>
      <c r="P4658"/>
      <c r="Q4658"/>
      <c r="R4658"/>
    </row>
    <row r="4659" spans="14:18" x14ac:dyDescent="0.25">
      <c r="N4659"/>
      <c r="O4659"/>
      <c r="P4659"/>
      <c r="Q4659"/>
      <c r="R4659"/>
    </row>
    <row r="4660" spans="14:18" x14ac:dyDescent="0.25">
      <c r="N4660"/>
      <c r="O4660"/>
      <c r="P4660"/>
      <c r="Q4660"/>
      <c r="R4660"/>
    </row>
    <row r="4661" spans="14:18" x14ac:dyDescent="0.25">
      <c r="N4661"/>
      <c r="O4661"/>
      <c r="P4661"/>
      <c r="Q4661"/>
      <c r="R4661"/>
    </row>
    <row r="4662" spans="14:18" x14ac:dyDescent="0.25">
      <c r="N4662"/>
      <c r="O4662"/>
      <c r="P4662"/>
      <c r="Q4662"/>
      <c r="R4662"/>
    </row>
    <row r="4663" spans="14:18" x14ac:dyDescent="0.25">
      <c r="N4663"/>
      <c r="O4663"/>
      <c r="P4663"/>
      <c r="Q4663"/>
      <c r="R4663"/>
    </row>
    <row r="4664" spans="14:18" x14ac:dyDescent="0.25">
      <c r="N4664"/>
      <c r="O4664"/>
      <c r="P4664"/>
      <c r="Q4664"/>
      <c r="R4664"/>
    </row>
    <row r="4665" spans="14:18" x14ac:dyDescent="0.25">
      <c r="N4665"/>
      <c r="O4665"/>
      <c r="P4665"/>
      <c r="Q4665"/>
      <c r="R4665"/>
    </row>
    <row r="4666" spans="14:18" x14ac:dyDescent="0.25">
      <c r="N4666"/>
      <c r="O4666"/>
      <c r="P4666"/>
      <c r="Q4666"/>
      <c r="R4666"/>
    </row>
    <row r="4667" spans="14:18" x14ac:dyDescent="0.25">
      <c r="N4667"/>
      <c r="O4667"/>
      <c r="P4667"/>
      <c r="Q4667"/>
      <c r="R4667"/>
    </row>
    <row r="4668" spans="14:18" x14ac:dyDescent="0.25">
      <c r="N4668"/>
      <c r="O4668"/>
      <c r="P4668"/>
      <c r="Q4668"/>
      <c r="R4668"/>
    </row>
    <row r="4669" spans="14:18" x14ac:dyDescent="0.25">
      <c r="N4669"/>
      <c r="O4669"/>
      <c r="P4669"/>
      <c r="Q4669"/>
      <c r="R4669"/>
    </row>
    <row r="4670" spans="14:18" x14ac:dyDescent="0.25">
      <c r="N4670"/>
      <c r="O4670"/>
      <c r="P4670"/>
      <c r="Q4670"/>
      <c r="R4670"/>
    </row>
    <row r="4671" spans="14:18" x14ac:dyDescent="0.25">
      <c r="N4671"/>
      <c r="O4671"/>
      <c r="P4671"/>
      <c r="Q4671"/>
      <c r="R4671"/>
    </row>
    <row r="4672" spans="14:18" x14ac:dyDescent="0.25">
      <c r="N4672"/>
      <c r="O4672"/>
      <c r="P4672"/>
      <c r="Q4672"/>
      <c r="R4672"/>
    </row>
    <row r="4673" spans="14:18" x14ac:dyDescent="0.25">
      <c r="N4673"/>
      <c r="O4673"/>
      <c r="P4673"/>
      <c r="Q4673"/>
      <c r="R4673"/>
    </row>
    <row r="4674" spans="14:18" x14ac:dyDescent="0.25">
      <c r="N4674"/>
      <c r="O4674"/>
      <c r="P4674"/>
      <c r="Q4674"/>
      <c r="R4674"/>
    </row>
    <row r="4675" spans="14:18" x14ac:dyDescent="0.25">
      <c r="N4675"/>
      <c r="O4675"/>
      <c r="P4675"/>
      <c r="Q4675"/>
      <c r="R4675"/>
    </row>
    <row r="4676" spans="14:18" x14ac:dyDescent="0.25">
      <c r="N4676"/>
      <c r="O4676"/>
      <c r="P4676"/>
      <c r="Q4676"/>
      <c r="R4676"/>
    </row>
    <row r="4677" spans="14:18" x14ac:dyDescent="0.25">
      <c r="N4677"/>
      <c r="O4677"/>
      <c r="P4677"/>
      <c r="Q4677"/>
      <c r="R4677"/>
    </row>
    <row r="4678" spans="14:18" x14ac:dyDescent="0.25">
      <c r="N4678"/>
      <c r="O4678"/>
      <c r="P4678"/>
      <c r="Q4678"/>
      <c r="R4678"/>
    </row>
    <row r="4679" spans="14:18" x14ac:dyDescent="0.25">
      <c r="N4679"/>
      <c r="O4679"/>
      <c r="P4679"/>
      <c r="Q4679"/>
      <c r="R4679"/>
    </row>
    <row r="4680" spans="14:18" x14ac:dyDescent="0.25">
      <c r="N4680"/>
      <c r="O4680"/>
      <c r="P4680"/>
      <c r="Q4680"/>
      <c r="R4680"/>
    </row>
    <row r="4681" spans="14:18" x14ac:dyDescent="0.25">
      <c r="N4681"/>
      <c r="O4681"/>
      <c r="P4681"/>
      <c r="Q4681"/>
      <c r="R4681"/>
    </row>
    <row r="4682" spans="14:18" x14ac:dyDescent="0.25">
      <c r="N4682"/>
      <c r="O4682"/>
      <c r="P4682"/>
      <c r="Q4682"/>
      <c r="R4682"/>
    </row>
    <row r="4683" spans="14:18" x14ac:dyDescent="0.25">
      <c r="N4683"/>
      <c r="O4683"/>
      <c r="P4683"/>
      <c r="Q4683"/>
      <c r="R4683"/>
    </row>
    <row r="4684" spans="14:18" x14ac:dyDescent="0.25">
      <c r="N4684"/>
      <c r="O4684"/>
      <c r="P4684"/>
      <c r="Q4684"/>
      <c r="R4684"/>
    </row>
    <row r="4685" spans="14:18" x14ac:dyDescent="0.25">
      <c r="N4685"/>
      <c r="O4685"/>
      <c r="P4685"/>
      <c r="Q4685"/>
      <c r="R4685"/>
    </row>
    <row r="4686" spans="14:18" x14ac:dyDescent="0.25">
      <c r="N4686"/>
      <c r="O4686"/>
      <c r="P4686"/>
      <c r="Q4686"/>
      <c r="R4686"/>
    </row>
    <row r="4687" spans="14:18" x14ac:dyDescent="0.25">
      <c r="N4687"/>
      <c r="O4687"/>
      <c r="P4687"/>
      <c r="Q4687"/>
      <c r="R4687"/>
    </row>
    <row r="4688" spans="14:18" x14ac:dyDescent="0.25">
      <c r="N4688"/>
      <c r="O4688"/>
      <c r="P4688"/>
      <c r="Q4688"/>
      <c r="R4688"/>
    </row>
    <row r="4689" spans="14:18" x14ac:dyDescent="0.25">
      <c r="N4689"/>
      <c r="O4689"/>
      <c r="P4689"/>
      <c r="Q4689"/>
      <c r="R4689"/>
    </row>
    <row r="4690" spans="14:18" x14ac:dyDescent="0.25">
      <c r="N4690"/>
      <c r="O4690"/>
      <c r="P4690"/>
      <c r="Q4690"/>
      <c r="R4690"/>
    </row>
    <row r="4691" spans="14:18" x14ac:dyDescent="0.25">
      <c r="N4691"/>
      <c r="O4691"/>
      <c r="P4691"/>
      <c r="Q4691"/>
      <c r="R4691"/>
    </row>
    <row r="4692" spans="14:18" x14ac:dyDescent="0.25">
      <c r="N4692"/>
      <c r="O4692"/>
      <c r="P4692"/>
      <c r="Q4692"/>
      <c r="R4692"/>
    </row>
    <row r="4693" spans="14:18" x14ac:dyDescent="0.25">
      <c r="N4693"/>
      <c r="O4693"/>
      <c r="P4693"/>
      <c r="Q4693"/>
      <c r="R4693"/>
    </row>
    <row r="4694" spans="14:18" x14ac:dyDescent="0.25">
      <c r="N4694"/>
      <c r="O4694"/>
      <c r="P4694"/>
      <c r="Q4694"/>
      <c r="R4694"/>
    </row>
    <row r="4695" spans="14:18" x14ac:dyDescent="0.25">
      <c r="N4695"/>
      <c r="O4695"/>
      <c r="P4695"/>
      <c r="Q4695"/>
      <c r="R4695"/>
    </row>
    <row r="4696" spans="14:18" x14ac:dyDescent="0.25">
      <c r="N4696"/>
      <c r="O4696"/>
      <c r="P4696"/>
      <c r="Q4696"/>
      <c r="R4696"/>
    </row>
    <row r="4697" spans="14:18" x14ac:dyDescent="0.25">
      <c r="N4697"/>
      <c r="O4697"/>
      <c r="P4697"/>
      <c r="Q4697"/>
      <c r="R4697"/>
    </row>
    <row r="4698" spans="14:18" x14ac:dyDescent="0.25">
      <c r="N4698"/>
      <c r="O4698"/>
      <c r="P4698"/>
      <c r="Q4698"/>
      <c r="R4698"/>
    </row>
    <row r="4699" spans="14:18" x14ac:dyDescent="0.25">
      <c r="N4699"/>
      <c r="O4699"/>
      <c r="P4699"/>
      <c r="Q4699"/>
      <c r="R4699"/>
    </row>
    <row r="4700" spans="14:18" x14ac:dyDescent="0.25">
      <c r="N4700"/>
      <c r="O4700"/>
      <c r="P4700"/>
      <c r="Q4700"/>
      <c r="R4700"/>
    </row>
    <row r="4701" spans="14:18" x14ac:dyDescent="0.25">
      <c r="N4701"/>
      <c r="O4701"/>
      <c r="P4701"/>
      <c r="Q4701"/>
      <c r="R4701"/>
    </row>
    <row r="4702" spans="14:18" x14ac:dyDescent="0.25">
      <c r="N4702"/>
      <c r="O4702"/>
      <c r="P4702"/>
      <c r="Q4702"/>
      <c r="R4702"/>
    </row>
    <row r="4703" spans="14:18" x14ac:dyDescent="0.25">
      <c r="N4703"/>
      <c r="O4703"/>
      <c r="P4703"/>
      <c r="Q4703"/>
      <c r="R4703"/>
    </row>
    <row r="4704" spans="14:18" x14ac:dyDescent="0.25">
      <c r="N4704"/>
      <c r="O4704"/>
      <c r="P4704"/>
      <c r="Q4704"/>
      <c r="R4704"/>
    </row>
    <row r="4705" spans="14:18" x14ac:dyDescent="0.25">
      <c r="N4705"/>
      <c r="O4705"/>
      <c r="P4705"/>
      <c r="Q4705"/>
      <c r="R4705"/>
    </row>
    <row r="4706" spans="14:18" x14ac:dyDescent="0.25">
      <c r="N4706"/>
      <c r="O4706"/>
      <c r="P4706"/>
      <c r="Q4706"/>
      <c r="R4706"/>
    </row>
    <row r="4707" spans="14:18" x14ac:dyDescent="0.25">
      <c r="N4707"/>
      <c r="O4707"/>
      <c r="P4707"/>
      <c r="Q4707"/>
      <c r="R4707"/>
    </row>
    <row r="4708" spans="14:18" x14ac:dyDescent="0.25">
      <c r="N4708"/>
      <c r="O4708"/>
      <c r="P4708"/>
      <c r="Q4708"/>
      <c r="R4708"/>
    </row>
    <row r="4709" spans="14:18" x14ac:dyDescent="0.25">
      <c r="N4709"/>
      <c r="O4709"/>
      <c r="P4709"/>
      <c r="Q4709"/>
      <c r="R4709"/>
    </row>
    <row r="4710" spans="14:18" x14ac:dyDescent="0.25">
      <c r="N4710"/>
      <c r="O4710"/>
      <c r="P4710"/>
      <c r="Q4710"/>
      <c r="R4710"/>
    </row>
    <row r="4711" spans="14:18" x14ac:dyDescent="0.25">
      <c r="N4711"/>
      <c r="O4711"/>
      <c r="P4711"/>
      <c r="Q4711"/>
      <c r="R4711"/>
    </row>
    <row r="4712" spans="14:18" x14ac:dyDescent="0.25">
      <c r="N4712"/>
      <c r="O4712"/>
      <c r="P4712"/>
      <c r="Q4712"/>
      <c r="R4712"/>
    </row>
    <row r="4713" spans="14:18" x14ac:dyDescent="0.25">
      <c r="N4713"/>
      <c r="O4713"/>
      <c r="P4713"/>
      <c r="Q4713"/>
      <c r="R4713"/>
    </row>
    <row r="4714" spans="14:18" x14ac:dyDescent="0.25">
      <c r="N4714"/>
      <c r="O4714"/>
      <c r="P4714"/>
      <c r="Q4714"/>
      <c r="R4714"/>
    </row>
    <row r="4715" spans="14:18" x14ac:dyDescent="0.25">
      <c r="N4715"/>
      <c r="O4715"/>
      <c r="P4715"/>
      <c r="Q4715"/>
      <c r="R4715"/>
    </row>
    <row r="4716" spans="14:18" x14ac:dyDescent="0.25">
      <c r="N4716"/>
      <c r="O4716"/>
      <c r="P4716"/>
      <c r="Q4716"/>
      <c r="R4716"/>
    </row>
    <row r="4717" spans="14:18" x14ac:dyDescent="0.25">
      <c r="N4717"/>
      <c r="O4717"/>
      <c r="P4717"/>
      <c r="Q4717"/>
      <c r="R4717"/>
    </row>
    <row r="4718" spans="14:18" x14ac:dyDescent="0.25">
      <c r="N4718"/>
      <c r="O4718"/>
      <c r="P4718"/>
      <c r="Q4718"/>
      <c r="R4718"/>
    </row>
    <row r="4719" spans="14:18" x14ac:dyDescent="0.25">
      <c r="N4719"/>
      <c r="O4719"/>
      <c r="P4719"/>
      <c r="Q4719"/>
      <c r="R4719"/>
    </row>
    <row r="4720" spans="14:18" x14ac:dyDescent="0.25">
      <c r="N4720"/>
      <c r="O4720"/>
      <c r="P4720"/>
      <c r="Q4720"/>
      <c r="R4720"/>
    </row>
    <row r="4721" spans="14:18" x14ac:dyDescent="0.25">
      <c r="N4721"/>
      <c r="O4721"/>
      <c r="P4721"/>
      <c r="Q4721"/>
      <c r="R4721"/>
    </row>
    <row r="4722" spans="14:18" x14ac:dyDescent="0.25">
      <c r="N4722"/>
      <c r="O4722"/>
      <c r="P4722"/>
      <c r="Q4722"/>
      <c r="R4722"/>
    </row>
    <row r="4723" spans="14:18" x14ac:dyDescent="0.25">
      <c r="N4723"/>
      <c r="O4723"/>
      <c r="P4723"/>
      <c r="Q4723"/>
      <c r="R4723"/>
    </row>
    <row r="4724" spans="14:18" x14ac:dyDescent="0.25">
      <c r="N4724"/>
      <c r="O4724"/>
      <c r="P4724"/>
      <c r="Q4724"/>
      <c r="R4724"/>
    </row>
    <row r="4725" spans="14:18" x14ac:dyDescent="0.25">
      <c r="N4725"/>
      <c r="O4725"/>
      <c r="P4725"/>
      <c r="Q4725"/>
      <c r="R4725"/>
    </row>
    <row r="4726" spans="14:18" x14ac:dyDescent="0.25">
      <c r="N4726"/>
      <c r="O4726"/>
      <c r="P4726"/>
      <c r="Q4726"/>
      <c r="R4726"/>
    </row>
    <row r="4727" spans="14:18" x14ac:dyDescent="0.25">
      <c r="N4727"/>
      <c r="O4727"/>
      <c r="P4727"/>
      <c r="Q4727"/>
      <c r="R4727"/>
    </row>
    <row r="4728" spans="14:18" x14ac:dyDescent="0.25">
      <c r="N4728"/>
      <c r="O4728"/>
      <c r="P4728"/>
      <c r="Q4728"/>
      <c r="R4728"/>
    </row>
    <row r="4729" spans="14:18" x14ac:dyDescent="0.25">
      <c r="N4729"/>
      <c r="O4729"/>
      <c r="P4729"/>
      <c r="Q4729"/>
      <c r="R4729"/>
    </row>
    <row r="4730" spans="14:18" x14ac:dyDescent="0.25">
      <c r="N4730"/>
      <c r="O4730"/>
      <c r="P4730"/>
      <c r="Q4730"/>
      <c r="R4730"/>
    </row>
    <row r="4731" spans="14:18" x14ac:dyDescent="0.25">
      <c r="N4731"/>
      <c r="O4731"/>
      <c r="P4731"/>
      <c r="Q4731"/>
      <c r="R4731"/>
    </row>
    <row r="4732" spans="14:18" x14ac:dyDescent="0.25">
      <c r="N4732"/>
      <c r="O4732"/>
      <c r="P4732"/>
      <c r="Q4732"/>
      <c r="R4732"/>
    </row>
    <row r="4733" spans="14:18" x14ac:dyDescent="0.25">
      <c r="N4733"/>
      <c r="O4733"/>
      <c r="P4733"/>
      <c r="Q4733"/>
      <c r="R4733"/>
    </row>
    <row r="4734" spans="14:18" x14ac:dyDescent="0.25">
      <c r="N4734"/>
      <c r="O4734"/>
      <c r="P4734"/>
      <c r="Q4734"/>
      <c r="R4734"/>
    </row>
    <row r="4735" spans="14:18" x14ac:dyDescent="0.25">
      <c r="N4735"/>
      <c r="O4735"/>
      <c r="P4735"/>
      <c r="Q4735"/>
      <c r="R4735"/>
    </row>
    <row r="4736" spans="14:18" x14ac:dyDescent="0.25">
      <c r="N4736"/>
      <c r="O4736"/>
      <c r="P4736"/>
      <c r="Q4736"/>
      <c r="R4736"/>
    </row>
    <row r="4737" spans="14:18" x14ac:dyDescent="0.25">
      <c r="N4737"/>
      <c r="O4737"/>
      <c r="P4737"/>
      <c r="Q4737"/>
      <c r="R4737"/>
    </row>
    <row r="4738" spans="14:18" x14ac:dyDescent="0.25">
      <c r="N4738"/>
      <c r="O4738"/>
      <c r="P4738"/>
      <c r="Q4738"/>
      <c r="R4738"/>
    </row>
    <row r="4739" spans="14:18" x14ac:dyDescent="0.25">
      <c r="N4739"/>
      <c r="O4739"/>
      <c r="P4739"/>
      <c r="Q4739"/>
      <c r="R4739"/>
    </row>
    <row r="4740" spans="14:18" x14ac:dyDescent="0.25">
      <c r="N4740"/>
      <c r="O4740"/>
      <c r="P4740"/>
      <c r="Q4740"/>
      <c r="R4740"/>
    </row>
    <row r="4741" spans="14:18" x14ac:dyDescent="0.25">
      <c r="N4741"/>
      <c r="O4741"/>
      <c r="P4741"/>
      <c r="Q4741"/>
      <c r="R4741"/>
    </row>
    <row r="4742" spans="14:18" x14ac:dyDescent="0.25">
      <c r="N4742"/>
      <c r="O4742"/>
      <c r="P4742"/>
      <c r="Q4742"/>
      <c r="R4742"/>
    </row>
    <row r="4743" spans="14:18" x14ac:dyDescent="0.25">
      <c r="N4743"/>
      <c r="O4743"/>
      <c r="P4743"/>
      <c r="Q4743"/>
      <c r="R4743"/>
    </row>
    <row r="4744" spans="14:18" x14ac:dyDescent="0.25">
      <c r="N4744"/>
      <c r="O4744"/>
      <c r="P4744"/>
      <c r="Q4744"/>
      <c r="R4744"/>
    </row>
    <row r="4745" spans="14:18" x14ac:dyDescent="0.25">
      <c r="N4745"/>
      <c r="O4745"/>
      <c r="P4745"/>
      <c r="Q4745"/>
      <c r="R4745"/>
    </row>
    <row r="4746" spans="14:18" x14ac:dyDescent="0.25">
      <c r="N4746"/>
      <c r="O4746"/>
      <c r="P4746"/>
      <c r="Q4746"/>
      <c r="R4746"/>
    </row>
    <row r="4747" spans="14:18" x14ac:dyDescent="0.25">
      <c r="N4747"/>
      <c r="O4747"/>
      <c r="P4747"/>
      <c r="Q4747"/>
      <c r="R4747"/>
    </row>
    <row r="4748" spans="14:18" x14ac:dyDescent="0.25">
      <c r="N4748"/>
      <c r="O4748"/>
      <c r="P4748"/>
      <c r="Q4748"/>
      <c r="R4748"/>
    </row>
    <row r="4749" spans="14:18" x14ac:dyDescent="0.25">
      <c r="N4749"/>
      <c r="O4749"/>
      <c r="P4749"/>
      <c r="Q4749"/>
      <c r="R4749"/>
    </row>
    <row r="4750" spans="14:18" x14ac:dyDescent="0.25">
      <c r="N4750"/>
      <c r="O4750"/>
      <c r="P4750"/>
      <c r="Q4750"/>
      <c r="R4750"/>
    </row>
    <row r="4751" spans="14:18" x14ac:dyDescent="0.25">
      <c r="N4751"/>
      <c r="O4751"/>
      <c r="P4751"/>
      <c r="Q4751"/>
      <c r="R4751"/>
    </row>
    <row r="4752" spans="14:18" x14ac:dyDescent="0.25">
      <c r="N4752"/>
      <c r="O4752"/>
      <c r="P4752"/>
      <c r="Q4752"/>
      <c r="R4752"/>
    </row>
    <row r="4753" spans="14:18" x14ac:dyDescent="0.25">
      <c r="N4753"/>
      <c r="O4753"/>
      <c r="P4753"/>
      <c r="Q4753"/>
      <c r="R4753"/>
    </row>
    <row r="4754" spans="14:18" x14ac:dyDescent="0.25">
      <c r="N4754"/>
      <c r="O4754"/>
      <c r="P4754"/>
      <c r="Q4754"/>
      <c r="R4754"/>
    </row>
    <row r="4755" spans="14:18" x14ac:dyDescent="0.25">
      <c r="N4755"/>
      <c r="O4755"/>
      <c r="P4755"/>
      <c r="Q4755"/>
      <c r="R4755"/>
    </row>
    <row r="4756" spans="14:18" x14ac:dyDescent="0.25">
      <c r="N4756"/>
      <c r="O4756"/>
      <c r="P4756"/>
      <c r="Q4756"/>
      <c r="R4756"/>
    </row>
    <row r="4757" spans="14:18" x14ac:dyDescent="0.25">
      <c r="N4757"/>
      <c r="O4757"/>
      <c r="P4757"/>
      <c r="Q4757"/>
      <c r="R4757"/>
    </row>
    <row r="4758" spans="14:18" x14ac:dyDescent="0.25">
      <c r="N4758"/>
      <c r="O4758"/>
      <c r="P4758"/>
      <c r="Q4758"/>
      <c r="R4758"/>
    </row>
    <row r="4759" spans="14:18" x14ac:dyDescent="0.25">
      <c r="N4759"/>
      <c r="O4759"/>
      <c r="P4759"/>
      <c r="Q4759"/>
      <c r="R4759"/>
    </row>
    <row r="4760" spans="14:18" x14ac:dyDescent="0.25">
      <c r="N4760"/>
      <c r="O4760"/>
      <c r="P4760"/>
      <c r="Q4760"/>
      <c r="R4760"/>
    </row>
    <row r="4761" spans="14:18" x14ac:dyDescent="0.25">
      <c r="N4761"/>
      <c r="O4761"/>
      <c r="P4761"/>
      <c r="Q4761"/>
      <c r="R4761"/>
    </row>
    <row r="4762" spans="14:18" x14ac:dyDescent="0.25">
      <c r="N4762"/>
      <c r="O4762"/>
      <c r="P4762"/>
      <c r="Q4762"/>
      <c r="R4762"/>
    </row>
    <row r="4763" spans="14:18" x14ac:dyDescent="0.25">
      <c r="N4763"/>
      <c r="O4763"/>
      <c r="P4763"/>
      <c r="Q4763"/>
      <c r="R4763"/>
    </row>
    <row r="4764" spans="14:18" x14ac:dyDescent="0.25">
      <c r="N4764"/>
      <c r="O4764"/>
      <c r="P4764"/>
      <c r="Q4764"/>
      <c r="R4764"/>
    </row>
    <row r="4765" spans="14:18" x14ac:dyDescent="0.25">
      <c r="N4765"/>
      <c r="O4765"/>
      <c r="P4765"/>
      <c r="Q4765"/>
      <c r="R4765"/>
    </row>
    <row r="4766" spans="14:18" x14ac:dyDescent="0.25">
      <c r="N4766"/>
      <c r="O4766"/>
      <c r="P4766"/>
      <c r="Q4766"/>
      <c r="R4766"/>
    </row>
    <row r="4767" spans="14:18" x14ac:dyDescent="0.25">
      <c r="N4767"/>
      <c r="O4767"/>
      <c r="P4767"/>
      <c r="Q4767"/>
      <c r="R4767"/>
    </row>
    <row r="4768" spans="14:18" x14ac:dyDescent="0.25">
      <c r="N4768"/>
      <c r="O4768"/>
      <c r="P4768"/>
      <c r="Q4768"/>
      <c r="R4768"/>
    </row>
    <row r="4769" spans="14:18" x14ac:dyDescent="0.25">
      <c r="N4769"/>
      <c r="O4769"/>
      <c r="P4769"/>
      <c r="Q4769"/>
      <c r="R4769"/>
    </row>
    <row r="4770" spans="14:18" x14ac:dyDescent="0.25">
      <c r="N4770"/>
      <c r="O4770"/>
      <c r="P4770"/>
      <c r="Q4770"/>
      <c r="R4770"/>
    </row>
    <row r="4771" spans="14:18" x14ac:dyDescent="0.25">
      <c r="N4771"/>
      <c r="O4771"/>
      <c r="P4771"/>
      <c r="Q4771"/>
      <c r="R4771"/>
    </row>
    <row r="4772" spans="14:18" x14ac:dyDescent="0.25">
      <c r="N4772"/>
      <c r="O4772"/>
      <c r="P4772"/>
      <c r="Q4772"/>
      <c r="R4772"/>
    </row>
    <row r="4773" spans="14:18" x14ac:dyDescent="0.25">
      <c r="N4773"/>
      <c r="O4773"/>
      <c r="P4773"/>
      <c r="Q4773"/>
      <c r="R4773"/>
    </row>
    <row r="4774" spans="14:18" x14ac:dyDescent="0.25">
      <c r="N4774"/>
      <c r="O4774"/>
      <c r="P4774"/>
      <c r="Q4774"/>
      <c r="R4774"/>
    </row>
    <row r="4775" spans="14:18" x14ac:dyDescent="0.25">
      <c r="N4775"/>
      <c r="O4775"/>
      <c r="P4775"/>
      <c r="Q4775"/>
      <c r="R4775"/>
    </row>
    <row r="4776" spans="14:18" x14ac:dyDescent="0.25">
      <c r="N4776"/>
      <c r="O4776"/>
      <c r="P4776"/>
      <c r="Q4776"/>
      <c r="R4776"/>
    </row>
    <row r="4777" spans="14:18" x14ac:dyDescent="0.25">
      <c r="N4777"/>
      <c r="O4777"/>
      <c r="P4777"/>
      <c r="Q4777"/>
      <c r="R4777"/>
    </row>
    <row r="4778" spans="14:18" x14ac:dyDescent="0.25">
      <c r="N4778"/>
      <c r="O4778"/>
      <c r="P4778"/>
      <c r="Q4778"/>
      <c r="R4778"/>
    </row>
    <row r="4779" spans="14:18" x14ac:dyDescent="0.25">
      <c r="N4779"/>
      <c r="O4779"/>
      <c r="P4779"/>
      <c r="Q4779"/>
      <c r="R4779"/>
    </row>
    <row r="4780" spans="14:18" x14ac:dyDescent="0.25">
      <c r="N4780"/>
      <c r="O4780"/>
      <c r="P4780"/>
      <c r="Q4780"/>
      <c r="R4780"/>
    </row>
    <row r="4781" spans="14:18" x14ac:dyDescent="0.25">
      <c r="N4781"/>
      <c r="O4781"/>
      <c r="P4781"/>
      <c r="Q4781"/>
      <c r="R4781"/>
    </row>
    <row r="4782" spans="14:18" x14ac:dyDescent="0.25">
      <c r="N4782"/>
      <c r="O4782"/>
      <c r="P4782"/>
      <c r="Q4782"/>
      <c r="R4782"/>
    </row>
    <row r="4783" spans="14:18" x14ac:dyDescent="0.25">
      <c r="N4783"/>
      <c r="O4783"/>
      <c r="P4783"/>
      <c r="Q4783"/>
      <c r="R4783"/>
    </row>
    <row r="4784" spans="14:18" x14ac:dyDescent="0.25">
      <c r="N4784"/>
      <c r="O4784"/>
      <c r="P4784"/>
      <c r="Q4784"/>
      <c r="R4784"/>
    </row>
    <row r="4785" spans="14:18" x14ac:dyDescent="0.25">
      <c r="N4785"/>
      <c r="O4785"/>
      <c r="P4785"/>
      <c r="Q4785"/>
      <c r="R4785"/>
    </row>
    <row r="4786" spans="14:18" x14ac:dyDescent="0.25">
      <c r="N4786"/>
      <c r="O4786"/>
      <c r="P4786"/>
      <c r="Q4786"/>
      <c r="R4786"/>
    </row>
    <row r="4787" spans="14:18" x14ac:dyDescent="0.25">
      <c r="N4787"/>
      <c r="O4787"/>
      <c r="P4787"/>
      <c r="Q4787"/>
      <c r="R4787"/>
    </row>
    <row r="4788" spans="14:18" x14ac:dyDescent="0.25">
      <c r="N4788"/>
      <c r="O4788"/>
      <c r="P4788"/>
      <c r="Q4788"/>
      <c r="R4788"/>
    </row>
    <row r="4789" spans="14:18" x14ac:dyDescent="0.25">
      <c r="N4789"/>
      <c r="O4789"/>
      <c r="P4789"/>
      <c r="Q4789"/>
      <c r="R4789"/>
    </row>
    <row r="4790" spans="14:18" x14ac:dyDescent="0.25">
      <c r="N4790"/>
      <c r="O4790"/>
      <c r="P4790"/>
      <c r="Q4790"/>
      <c r="R4790"/>
    </row>
    <row r="4791" spans="14:18" x14ac:dyDescent="0.25">
      <c r="N4791"/>
      <c r="O4791"/>
      <c r="P4791"/>
      <c r="Q4791"/>
      <c r="R4791"/>
    </row>
    <row r="4792" spans="14:18" x14ac:dyDescent="0.25">
      <c r="N4792"/>
      <c r="O4792"/>
      <c r="P4792"/>
      <c r="Q4792"/>
      <c r="R4792"/>
    </row>
    <row r="4793" spans="14:18" x14ac:dyDescent="0.25">
      <c r="N4793"/>
      <c r="O4793"/>
      <c r="P4793"/>
      <c r="Q4793"/>
      <c r="R4793"/>
    </row>
    <row r="4794" spans="14:18" x14ac:dyDescent="0.25">
      <c r="N4794"/>
      <c r="O4794"/>
      <c r="P4794"/>
      <c r="Q4794"/>
      <c r="R4794"/>
    </row>
    <row r="4795" spans="14:18" x14ac:dyDescent="0.25">
      <c r="N4795"/>
      <c r="O4795"/>
      <c r="P4795"/>
      <c r="Q4795"/>
      <c r="R4795"/>
    </row>
    <row r="4796" spans="14:18" x14ac:dyDescent="0.25">
      <c r="N4796"/>
      <c r="O4796"/>
      <c r="P4796"/>
      <c r="Q4796"/>
      <c r="R4796"/>
    </row>
    <row r="4797" spans="14:18" x14ac:dyDescent="0.25">
      <c r="N4797"/>
      <c r="O4797"/>
      <c r="P4797"/>
      <c r="Q4797"/>
      <c r="R4797"/>
    </row>
    <row r="4798" spans="14:18" x14ac:dyDescent="0.25">
      <c r="N4798"/>
      <c r="O4798"/>
      <c r="P4798"/>
      <c r="Q4798"/>
      <c r="R4798"/>
    </row>
    <row r="4799" spans="14:18" x14ac:dyDescent="0.25">
      <c r="N4799"/>
      <c r="O4799"/>
      <c r="P4799"/>
      <c r="Q4799"/>
      <c r="R4799"/>
    </row>
    <row r="4800" spans="14:18" x14ac:dyDescent="0.25">
      <c r="N4800"/>
      <c r="O4800"/>
      <c r="P4800"/>
      <c r="Q4800"/>
      <c r="R4800"/>
    </row>
    <row r="4801" spans="14:18" x14ac:dyDescent="0.25">
      <c r="N4801"/>
      <c r="O4801"/>
      <c r="P4801"/>
      <c r="Q4801"/>
      <c r="R4801"/>
    </row>
    <row r="4802" spans="14:18" x14ac:dyDescent="0.25">
      <c r="N4802"/>
      <c r="O4802"/>
      <c r="P4802"/>
      <c r="Q4802"/>
      <c r="R4802"/>
    </row>
    <row r="4803" spans="14:18" x14ac:dyDescent="0.25">
      <c r="N4803"/>
      <c r="O4803"/>
      <c r="P4803"/>
      <c r="Q4803"/>
      <c r="R4803"/>
    </row>
    <row r="4804" spans="14:18" x14ac:dyDescent="0.25">
      <c r="N4804"/>
      <c r="O4804"/>
      <c r="P4804"/>
      <c r="Q4804"/>
      <c r="R4804"/>
    </row>
    <row r="4805" spans="14:18" x14ac:dyDescent="0.25">
      <c r="N4805"/>
      <c r="O4805"/>
      <c r="P4805"/>
      <c r="Q4805"/>
      <c r="R4805"/>
    </row>
    <row r="4806" spans="14:18" x14ac:dyDescent="0.25">
      <c r="N4806"/>
      <c r="O4806"/>
      <c r="P4806"/>
      <c r="Q4806"/>
      <c r="R4806"/>
    </row>
    <row r="4807" spans="14:18" x14ac:dyDescent="0.25">
      <c r="N4807"/>
      <c r="O4807"/>
      <c r="P4807"/>
      <c r="Q4807"/>
      <c r="R4807"/>
    </row>
    <row r="4808" spans="14:18" x14ac:dyDescent="0.25">
      <c r="N4808"/>
      <c r="O4808"/>
      <c r="P4808"/>
      <c r="Q4808"/>
      <c r="R4808"/>
    </row>
    <row r="4809" spans="14:18" x14ac:dyDescent="0.25">
      <c r="N4809"/>
      <c r="O4809"/>
      <c r="P4809"/>
      <c r="Q4809"/>
      <c r="R4809"/>
    </row>
    <row r="4810" spans="14:18" x14ac:dyDescent="0.25">
      <c r="N4810"/>
      <c r="O4810"/>
      <c r="P4810"/>
      <c r="Q4810"/>
      <c r="R4810"/>
    </row>
    <row r="4811" spans="14:18" x14ac:dyDescent="0.25">
      <c r="N4811"/>
      <c r="O4811"/>
      <c r="P4811"/>
      <c r="Q4811"/>
      <c r="R4811"/>
    </row>
    <row r="4812" spans="14:18" x14ac:dyDescent="0.25">
      <c r="N4812"/>
      <c r="O4812"/>
      <c r="P4812"/>
      <c r="Q4812"/>
      <c r="R4812"/>
    </row>
    <row r="4813" spans="14:18" x14ac:dyDescent="0.25">
      <c r="N4813"/>
      <c r="O4813"/>
      <c r="P4813"/>
      <c r="Q4813"/>
      <c r="R4813"/>
    </row>
    <row r="4814" spans="14:18" x14ac:dyDescent="0.25">
      <c r="N4814"/>
      <c r="O4814"/>
      <c r="P4814"/>
      <c r="Q4814"/>
      <c r="R4814"/>
    </row>
    <row r="4815" spans="14:18" x14ac:dyDescent="0.25">
      <c r="N4815"/>
      <c r="O4815"/>
      <c r="P4815"/>
      <c r="Q4815"/>
      <c r="R4815"/>
    </row>
    <row r="4816" spans="14:18" x14ac:dyDescent="0.25">
      <c r="N4816"/>
      <c r="O4816"/>
      <c r="P4816"/>
      <c r="Q4816"/>
      <c r="R4816"/>
    </row>
    <row r="4817" spans="14:18" x14ac:dyDescent="0.25">
      <c r="N4817"/>
      <c r="O4817"/>
      <c r="P4817"/>
      <c r="Q4817"/>
      <c r="R4817"/>
    </row>
    <row r="4818" spans="14:18" x14ac:dyDescent="0.25">
      <c r="N4818"/>
      <c r="O4818"/>
      <c r="P4818"/>
      <c r="Q4818"/>
      <c r="R4818"/>
    </row>
    <row r="4819" spans="14:18" x14ac:dyDescent="0.25">
      <c r="N4819"/>
      <c r="O4819"/>
      <c r="P4819"/>
      <c r="Q4819"/>
      <c r="R4819"/>
    </row>
    <row r="4820" spans="14:18" x14ac:dyDescent="0.25">
      <c r="N4820"/>
      <c r="O4820"/>
      <c r="P4820"/>
      <c r="Q4820"/>
      <c r="R4820"/>
    </row>
    <row r="4821" spans="14:18" x14ac:dyDescent="0.25">
      <c r="N4821"/>
      <c r="O4821"/>
      <c r="P4821"/>
      <c r="Q4821"/>
      <c r="R4821"/>
    </row>
    <row r="4822" spans="14:18" x14ac:dyDescent="0.25">
      <c r="N4822"/>
      <c r="O4822"/>
      <c r="P4822"/>
      <c r="Q4822"/>
      <c r="R4822"/>
    </row>
    <row r="4823" spans="14:18" x14ac:dyDescent="0.25">
      <c r="N4823"/>
      <c r="O4823"/>
      <c r="P4823"/>
      <c r="Q4823"/>
      <c r="R4823"/>
    </row>
    <row r="4824" spans="14:18" x14ac:dyDescent="0.25">
      <c r="N4824"/>
      <c r="O4824"/>
      <c r="P4824"/>
      <c r="Q4824"/>
      <c r="R4824"/>
    </row>
    <row r="4825" spans="14:18" x14ac:dyDescent="0.25">
      <c r="N4825"/>
      <c r="O4825"/>
      <c r="P4825"/>
      <c r="Q4825"/>
      <c r="R4825"/>
    </row>
    <row r="4826" spans="14:18" x14ac:dyDescent="0.25">
      <c r="N4826"/>
      <c r="O4826"/>
      <c r="P4826"/>
      <c r="Q4826"/>
      <c r="R4826"/>
    </row>
    <row r="4827" spans="14:18" x14ac:dyDescent="0.25">
      <c r="N4827"/>
      <c r="O4827"/>
      <c r="P4827"/>
      <c r="Q4827"/>
      <c r="R4827"/>
    </row>
    <row r="4828" spans="14:18" x14ac:dyDescent="0.25">
      <c r="N4828"/>
      <c r="O4828"/>
      <c r="P4828"/>
      <c r="Q4828"/>
      <c r="R4828"/>
    </row>
    <row r="4829" spans="14:18" x14ac:dyDescent="0.25">
      <c r="N4829"/>
      <c r="O4829"/>
      <c r="P4829"/>
      <c r="Q4829"/>
      <c r="R4829"/>
    </row>
    <row r="4830" spans="14:18" x14ac:dyDescent="0.25">
      <c r="N4830"/>
      <c r="O4830"/>
      <c r="P4830"/>
      <c r="Q4830"/>
      <c r="R4830"/>
    </row>
    <row r="4831" spans="14:18" x14ac:dyDescent="0.25">
      <c r="N4831"/>
      <c r="O4831"/>
      <c r="P4831"/>
      <c r="Q4831"/>
      <c r="R4831"/>
    </row>
    <row r="4832" spans="14:18" x14ac:dyDescent="0.25">
      <c r="N4832"/>
      <c r="O4832"/>
      <c r="P4832"/>
      <c r="Q4832"/>
      <c r="R4832"/>
    </row>
    <row r="4833" spans="14:18" x14ac:dyDescent="0.25">
      <c r="N4833"/>
      <c r="O4833"/>
      <c r="P4833"/>
      <c r="Q4833"/>
      <c r="R4833"/>
    </row>
    <row r="4834" spans="14:18" x14ac:dyDescent="0.25">
      <c r="N4834"/>
      <c r="O4834"/>
      <c r="P4834"/>
      <c r="Q4834"/>
      <c r="R4834"/>
    </row>
    <row r="4835" spans="14:18" x14ac:dyDescent="0.25">
      <c r="N4835"/>
      <c r="O4835"/>
      <c r="P4835"/>
      <c r="Q4835"/>
      <c r="R4835"/>
    </row>
    <row r="4836" spans="14:18" x14ac:dyDescent="0.25">
      <c r="N4836"/>
      <c r="O4836"/>
      <c r="P4836"/>
      <c r="Q4836"/>
      <c r="R4836"/>
    </row>
    <row r="4837" spans="14:18" x14ac:dyDescent="0.25">
      <c r="N4837"/>
      <c r="O4837"/>
      <c r="P4837"/>
      <c r="Q4837"/>
      <c r="R4837"/>
    </row>
    <row r="4838" spans="14:18" x14ac:dyDescent="0.25">
      <c r="N4838"/>
      <c r="O4838"/>
      <c r="P4838"/>
      <c r="Q4838"/>
      <c r="R4838"/>
    </row>
    <row r="4839" spans="14:18" x14ac:dyDescent="0.25">
      <c r="N4839"/>
      <c r="O4839"/>
      <c r="P4839"/>
      <c r="Q4839"/>
      <c r="R4839"/>
    </row>
    <row r="4840" spans="14:18" x14ac:dyDescent="0.25">
      <c r="N4840"/>
      <c r="O4840"/>
      <c r="P4840"/>
      <c r="Q4840"/>
      <c r="R4840"/>
    </row>
    <row r="4841" spans="14:18" x14ac:dyDescent="0.25">
      <c r="N4841"/>
      <c r="O4841"/>
      <c r="P4841"/>
      <c r="Q4841"/>
      <c r="R4841"/>
    </row>
    <row r="4842" spans="14:18" x14ac:dyDescent="0.25">
      <c r="N4842"/>
      <c r="O4842"/>
      <c r="P4842"/>
      <c r="Q4842"/>
      <c r="R4842"/>
    </row>
    <row r="4843" spans="14:18" x14ac:dyDescent="0.25">
      <c r="N4843"/>
      <c r="O4843"/>
      <c r="P4843"/>
      <c r="Q4843"/>
      <c r="R4843"/>
    </row>
    <row r="4844" spans="14:18" x14ac:dyDescent="0.25">
      <c r="N4844"/>
      <c r="O4844"/>
      <c r="P4844"/>
      <c r="Q4844"/>
      <c r="R4844"/>
    </row>
    <row r="4845" spans="14:18" x14ac:dyDescent="0.25">
      <c r="N4845"/>
      <c r="O4845"/>
      <c r="P4845"/>
      <c r="Q4845"/>
      <c r="R4845"/>
    </row>
    <row r="4846" spans="14:18" x14ac:dyDescent="0.25">
      <c r="N4846"/>
      <c r="O4846"/>
      <c r="P4846"/>
      <c r="Q4846"/>
      <c r="R4846"/>
    </row>
    <row r="4847" spans="14:18" x14ac:dyDescent="0.25">
      <c r="N4847"/>
      <c r="O4847"/>
      <c r="P4847"/>
      <c r="Q4847"/>
      <c r="R4847"/>
    </row>
    <row r="4848" spans="14:18" x14ac:dyDescent="0.25">
      <c r="N4848"/>
      <c r="O4848"/>
      <c r="P4848"/>
      <c r="Q4848"/>
      <c r="R4848"/>
    </row>
    <row r="4849" spans="14:18" x14ac:dyDescent="0.25">
      <c r="N4849"/>
      <c r="O4849"/>
      <c r="P4849"/>
      <c r="Q4849"/>
      <c r="R4849"/>
    </row>
    <row r="4850" spans="14:18" x14ac:dyDescent="0.25">
      <c r="N4850"/>
      <c r="O4850"/>
      <c r="P4850"/>
      <c r="Q4850"/>
      <c r="R4850"/>
    </row>
    <row r="4851" spans="14:18" x14ac:dyDescent="0.25">
      <c r="N4851"/>
      <c r="O4851"/>
      <c r="P4851"/>
      <c r="Q4851"/>
      <c r="R4851"/>
    </row>
    <row r="4852" spans="14:18" x14ac:dyDescent="0.25">
      <c r="N4852"/>
      <c r="O4852"/>
      <c r="P4852"/>
      <c r="Q4852"/>
      <c r="R4852"/>
    </row>
    <row r="4853" spans="14:18" x14ac:dyDescent="0.25">
      <c r="N4853"/>
      <c r="O4853"/>
      <c r="P4853"/>
      <c r="Q4853"/>
      <c r="R4853"/>
    </row>
    <row r="4854" spans="14:18" x14ac:dyDescent="0.25">
      <c r="N4854"/>
      <c r="O4854"/>
      <c r="P4854"/>
      <c r="Q4854"/>
      <c r="R4854"/>
    </row>
    <row r="4855" spans="14:18" x14ac:dyDescent="0.25">
      <c r="N4855"/>
      <c r="O4855"/>
      <c r="P4855"/>
      <c r="Q4855"/>
      <c r="R4855"/>
    </row>
    <row r="4856" spans="14:18" x14ac:dyDescent="0.25">
      <c r="N4856"/>
      <c r="O4856"/>
      <c r="P4856"/>
      <c r="Q4856"/>
      <c r="R4856"/>
    </row>
    <row r="4857" spans="14:18" x14ac:dyDescent="0.25">
      <c r="N4857"/>
      <c r="O4857"/>
      <c r="P4857"/>
      <c r="Q4857"/>
      <c r="R4857"/>
    </row>
    <row r="4858" spans="14:18" x14ac:dyDescent="0.25">
      <c r="N4858"/>
      <c r="O4858"/>
      <c r="P4858"/>
      <c r="Q4858"/>
      <c r="R4858"/>
    </row>
    <row r="4859" spans="14:18" x14ac:dyDescent="0.25">
      <c r="N4859"/>
      <c r="O4859"/>
      <c r="P4859"/>
      <c r="Q4859"/>
      <c r="R4859"/>
    </row>
    <row r="4860" spans="14:18" x14ac:dyDescent="0.25">
      <c r="N4860"/>
      <c r="O4860"/>
      <c r="P4860"/>
      <c r="Q4860"/>
      <c r="R4860"/>
    </row>
    <row r="4861" spans="14:18" x14ac:dyDescent="0.25">
      <c r="N4861"/>
      <c r="O4861"/>
      <c r="P4861"/>
      <c r="Q4861"/>
      <c r="R4861"/>
    </row>
    <row r="4862" spans="14:18" x14ac:dyDescent="0.25">
      <c r="N4862"/>
      <c r="O4862"/>
      <c r="P4862"/>
      <c r="Q4862"/>
      <c r="R4862"/>
    </row>
    <row r="4863" spans="14:18" x14ac:dyDescent="0.25">
      <c r="N4863"/>
      <c r="O4863"/>
      <c r="P4863"/>
      <c r="Q4863"/>
      <c r="R4863"/>
    </row>
    <row r="4864" spans="14:18" x14ac:dyDescent="0.25">
      <c r="N4864"/>
      <c r="O4864"/>
      <c r="P4864"/>
      <c r="Q4864"/>
      <c r="R4864"/>
    </row>
    <row r="4865" spans="14:18" x14ac:dyDescent="0.25">
      <c r="N4865"/>
      <c r="O4865"/>
      <c r="P4865"/>
      <c r="Q4865"/>
      <c r="R4865"/>
    </row>
    <row r="4866" spans="14:18" x14ac:dyDescent="0.25">
      <c r="N4866"/>
      <c r="O4866"/>
      <c r="P4866"/>
      <c r="Q4866"/>
      <c r="R4866"/>
    </row>
    <row r="4867" spans="14:18" x14ac:dyDescent="0.25">
      <c r="N4867"/>
      <c r="O4867"/>
      <c r="P4867"/>
      <c r="Q4867"/>
      <c r="R4867"/>
    </row>
    <row r="4868" spans="14:18" x14ac:dyDescent="0.25">
      <c r="N4868"/>
      <c r="O4868"/>
      <c r="P4868"/>
      <c r="Q4868"/>
      <c r="R4868"/>
    </row>
    <row r="4869" spans="14:18" x14ac:dyDescent="0.25">
      <c r="N4869"/>
      <c r="O4869"/>
      <c r="P4869"/>
      <c r="Q4869"/>
      <c r="R4869"/>
    </row>
    <row r="4870" spans="14:18" x14ac:dyDescent="0.25">
      <c r="N4870"/>
      <c r="O4870"/>
      <c r="P4870"/>
      <c r="Q4870"/>
      <c r="R4870"/>
    </row>
    <row r="4871" spans="14:18" x14ac:dyDescent="0.25">
      <c r="N4871"/>
      <c r="O4871"/>
      <c r="P4871"/>
      <c r="Q4871"/>
      <c r="R4871"/>
    </row>
    <row r="4872" spans="14:18" x14ac:dyDescent="0.25">
      <c r="N4872"/>
      <c r="O4872"/>
      <c r="P4872"/>
      <c r="Q4872"/>
      <c r="R4872"/>
    </row>
    <row r="4873" spans="14:18" x14ac:dyDescent="0.25">
      <c r="N4873"/>
      <c r="O4873"/>
      <c r="P4873"/>
      <c r="Q4873"/>
      <c r="R4873"/>
    </row>
    <row r="4874" spans="14:18" x14ac:dyDescent="0.25">
      <c r="N4874"/>
      <c r="O4874"/>
      <c r="P4874"/>
      <c r="Q4874"/>
      <c r="R4874"/>
    </row>
    <row r="4875" spans="14:18" x14ac:dyDescent="0.25">
      <c r="N4875"/>
      <c r="O4875"/>
      <c r="P4875"/>
      <c r="Q4875"/>
      <c r="R4875"/>
    </row>
    <row r="4876" spans="14:18" x14ac:dyDescent="0.25">
      <c r="N4876"/>
      <c r="O4876"/>
      <c r="P4876"/>
      <c r="Q4876"/>
      <c r="R4876"/>
    </row>
    <row r="4877" spans="14:18" x14ac:dyDescent="0.25">
      <c r="N4877"/>
      <c r="O4877"/>
      <c r="P4877"/>
      <c r="Q4877"/>
      <c r="R4877"/>
    </row>
    <row r="4878" spans="14:18" x14ac:dyDescent="0.25">
      <c r="N4878"/>
      <c r="O4878"/>
      <c r="P4878"/>
      <c r="Q4878"/>
      <c r="R4878"/>
    </row>
    <row r="4879" spans="14:18" x14ac:dyDescent="0.25">
      <c r="N4879"/>
      <c r="O4879"/>
      <c r="P4879"/>
      <c r="Q4879"/>
      <c r="R4879"/>
    </row>
    <row r="4880" spans="14:18" x14ac:dyDescent="0.25">
      <c r="N4880"/>
      <c r="O4880"/>
      <c r="P4880"/>
      <c r="Q4880"/>
      <c r="R4880"/>
    </row>
    <row r="4881" spans="14:18" x14ac:dyDescent="0.25">
      <c r="N4881"/>
      <c r="O4881"/>
      <c r="P4881"/>
      <c r="Q4881"/>
      <c r="R4881"/>
    </row>
    <row r="4882" spans="14:18" x14ac:dyDescent="0.25">
      <c r="N4882"/>
      <c r="O4882"/>
      <c r="P4882"/>
      <c r="Q4882"/>
      <c r="R4882"/>
    </row>
    <row r="4883" spans="14:18" x14ac:dyDescent="0.25">
      <c r="N4883"/>
      <c r="O4883"/>
      <c r="P4883"/>
      <c r="Q4883"/>
      <c r="R4883"/>
    </row>
    <row r="4884" spans="14:18" x14ac:dyDescent="0.25">
      <c r="N4884"/>
      <c r="O4884"/>
      <c r="P4884"/>
      <c r="Q4884"/>
      <c r="R4884"/>
    </row>
    <row r="4885" spans="14:18" x14ac:dyDescent="0.25">
      <c r="N4885"/>
      <c r="O4885"/>
      <c r="P4885"/>
      <c r="Q4885"/>
      <c r="R4885"/>
    </row>
    <row r="4886" spans="14:18" x14ac:dyDescent="0.25">
      <c r="N4886"/>
      <c r="O4886"/>
      <c r="P4886"/>
      <c r="Q4886"/>
      <c r="R4886"/>
    </row>
    <row r="4887" spans="14:18" x14ac:dyDescent="0.25">
      <c r="N4887"/>
      <c r="O4887"/>
      <c r="P4887"/>
      <c r="Q4887"/>
      <c r="R4887"/>
    </row>
    <row r="4888" spans="14:18" x14ac:dyDescent="0.25">
      <c r="N4888"/>
      <c r="O4888"/>
      <c r="P4888"/>
      <c r="Q4888"/>
      <c r="R4888"/>
    </row>
    <row r="4889" spans="14:18" x14ac:dyDescent="0.25">
      <c r="N4889"/>
      <c r="O4889"/>
      <c r="P4889"/>
      <c r="Q4889"/>
      <c r="R4889"/>
    </row>
    <row r="4890" spans="14:18" x14ac:dyDescent="0.25">
      <c r="N4890"/>
      <c r="O4890"/>
      <c r="P4890"/>
      <c r="Q4890"/>
      <c r="R4890"/>
    </row>
    <row r="4891" spans="14:18" x14ac:dyDescent="0.25">
      <c r="N4891"/>
      <c r="O4891"/>
      <c r="P4891"/>
      <c r="Q4891"/>
      <c r="R4891"/>
    </row>
    <row r="4892" spans="14:18" x14ac:dyDescent="0.25">
      <c r="N4892"/>
      <c r="O4892"/>
      <c r="P4892"/>
      <c r="Q4892"/>
      <c r="R4892"/>
    </row>
    <row r="4893" spans="14:18" x14ac:dyDescent="0.25">
      <c r="N4893"/>
      <c r="O4893"/>
      <c r="P4893"/>
      <c r="Q4893"/>
      <c r="R4893"/>
    </row>
    <row r="4894" spans="14:18" x14ac:dyDescent="0.25">
      <c r="N4894"/>
      <c r="O4894"/>
      <c r="P4894"/>
      <c r="Q4894"/>
      <c r="R4894"/>
    </row>
    <row r="4895" spans="14:18" x14ac:dyDescent="0.25">
      <c r="N4895"/>
      <c r="O4895"/>
      <c r="P4895"/>
      <c r="Q4895"/>
      <c r="R4895"/>
    </row>
    <row r="4896" spans="14:18" x14ac:dyDescent="0.25">
      <c r="N4896"/>
      <c r="O4896"/>
      <c r="P4896"/>
      <c r="Q4896"/>
      <c r="R4896"/>
    </row>
    <row r="4897" spans="14:18" x14ac:dyDescent="0.25">
      <c r="N4897"/>
      <c r="O4897"/>
      <c r="P4897"/>
      <c r="Q4897"/>
      <c r="R4897"/>
    </row>
    <row r="4898" spans="14:18" x14ac:dyDescent="0.25">
      <c r="N4898"/>
      <c r="O4898"/>
      <c r="P4898"/>
      <c r="Q4898"/>
      <c r="R4898"/>
    </row>
    <row r="4899" spans="14:18" x14ac:dyDescent="0.25">
      <c r="N4899"/>
      <c r="O4899"/>
      <c r="P4899"/>
      <c r="Q4899"/>
      <c r="R4899"/>
    </row>
    <row r="4900" spans="14:18" x14ac:dyDescent="0.25">
      <c r="N4900"/>
      <c r="O4900"/>
      <c r="P4900"/>
      <c r="Q4900"/>
      <c r="R4900"/>
    </row>
    <row r="4901" spans="14:18" x14ac:dyDescent="0.25">
      <c r="N4901"/>
      <c r="O4901"/>
      <c r="P4901"/>
      <c r="Q4901"/>
      <c r="R4901"/>
    </row>
    <row r="4902" spans="14:18" x14ac:dyDescent="0.25">
      <c r="N4902"/>
      <c r="O4902"/>
      <c r="P4902"/>
      <c r="Q4902"/>
      <c r="R4902"/>
    </row>
    <row r="4903" spans="14:18" x14ac:dyDescent="0.25">
      <c r="N4903"/>
      <c r="O4903"/>
      <c r="P4903"/>
      <c r="Q4903"/>
      <c r="R4903"/>
    </row>
    <row r="4904" spans="14:18" x14ac:dyDescent="0.25">
      <c r="N4904"/>
      <c r="O4904"/>
      <c r="P4904"/>
      <c r="Q4904"/>
      <c r="R4904"/>
    </row>
    <row r="4905" spans="14:18" x14ac:dyDescent="0.25">
      <c r="N4905"/>
      <c r="O4905"/>
      <c r="P4905"/>
      <c r="Q4905"/>
      <c r="R4905"/>
    </row>
    <row r="4906" spans="14:18" x14ac:dyDescent="0.25">
      <c r="N4906"/>
      <c r="O4906"/>
      <c r="P4906"/>
      <c r="Q4906"/>
      <c r="R4906"/>
    </row>
    <row r="4907" spans="14:18" x14ac:dyDescent="0.25">
      <c r="N4907"/>
      <c r="O4907"/>
      <c r="P4907"/>
      <c r="Q4907"/>
      <c r="R4907"/>
    </row>
    <row r="4908" spans="14:18" x14ac:dyDescent="0.25">
      <c r="N4908"/>
      <c r="O4908"/>
      <c r="P4908"/>
      <c r="Q4908"/>
      <c r="R4908"/>
    </row>
    <row r="4909" spans="14:18" x14ac:dyDescent="0.25">
      <c r="N4909"/>
      <c r="O4909"/>
      <c r="P4909"/>
      <c r="Q4909"/>
      <c r="R4909"/>
    </row>
    <row r="4910" spans="14:18" x14ac:dyDescent="0.25">
      <c r="N4910"/>
      <c r="O4910"/>
      <c r="P4910"/>
      <c r="Q4910"/>
      <c r="R4910"/>
    </row>
    <row r="4911" spans="14:18" x14ac:dyDescent="0.25">
      <c r="N4911"/>
      <c r="O4911"/>
      <c r="P4911"/>
      <c r="Q4911"/>
      <c r="R4911"/>
    </row>
    <row r="4912" spans="14:18" x14ac:dyDescent="0.25">
      <c r="N4912"/>
      <c r="O4912"/>
      <c r="P4912"/>
      <c r="Q4912"/>
      <c r="R4912"/>
    </row>
    <row r="4913" spans="14:18" x14ac:dyDescent="0.25">
      <c r="N4913"/>
      <c r="O4913"/>
      <c r="P4913"/>
      <c r="Q4913"/>
      <c r="R4913"/>
    </row>
    <row r="4914" spans="14:18" x14ac:dyDescent="0.25">
      <c r="N4914"/>
      <c r="O4914"/>
      <c r="P4914"/>
      <c r="Q4914"/>
      <c r="R4914"/>
    </row>
    <row r="4915" spans="14:18" x14ac:dyDescent="0.25">
      <c r="N4915"/>
      <c r="O4915"/>
      <c r="P4915"/>
      <c r="Q4915"/>
      <c r="R4915"/>
    </row>
    <row r="4916" spans="14:18" x14ac:dyDescent="0.25">
      <c r="N4916"/>
      <c r="O4916"/>
      <c r="P4916"/>
      <c r="Q4916"/>
      <c r="R4916"/>
    </row>
    <row r="4917" spans="14:18" x14ac:dyDescent="0.25">
      <c r="N4917"/>
      <c r="O4917"/>
      <c r="P4917"/>
      <c r="Q4917"/>
      <c r="R4917"/>
    </row>
    <row r="4918" spans="14:18" x14ac:dyDescent="0.25">
      <c r="N4918"/>
      <c r="O4918"/>
      <c r="P4918"/>
      <c r="Q4918"/>
      <c r="R4918"/>
    </row>
    <row r="4919" spans="14:18" x14ac:dyDescent="0.25">
      <c r="N4919"/>
      <c r="O4919"/>
      <c r="P4919"/>
      <c r="Q4919"/>
      <c r="R4919"/>
    </row>
    <row r="4920" spans="14:18" x14ac:dyDescent="0.25">
      <c r="N4920"/>
      <c r="O4920"/>
      <c r="P4920"/>
      <c r="Q4920"/>
      <c r="R4920"/>
    </row>
    <row r="4921" spans="14:18" x14ac:dyDescent="0.25">
      <c r="N4921"/>
      <c r="O4921"/>
      <c r="P4921"/>
      <c r="Q4921"/>
      <c r="R4921"/>
    </row>
    <row r="4922" spans="14:18" x14ac:dyDescent="0.25">
      <c r="N4922"/>
      <c r="O4922"/>
      <c r="P4922"/>
      <c r="Q4922"/>
      <c r="R4922"/>
    </row>
    <row r="4923" spans="14:18" x14ac:dyDescent="0.25">
      <c r="N4923"/>
      <c r="O4923"/>
      <c r="P4923"/>
      <c r="Q4923"/>
      <c r="R4923"/>
    </row>
    <row r="4924" spans="14:18" x14ac:dyDescent="0.25">
      <c r="N4924"/>
      <c r="O4924"/>
      <c r="P4924"/>
      <c r="Q4924"/>
      <c r="R4924"/>
    </row>
    <row r="4925" spans="14:18" x14ac:dyDescent="0.25">
      <c r="N4925"/>
      <c r="O4925"/>
      <c r="P4925"/>
      <c r="Q4925"/>
      <c r="R4925"/>
    </row>
    <row r="4926" spans="14:18" x14ac:dyDescent="0.25">
      <c r="N4926"/>
      <c r="O4926"/>
      <c r="P4926"/>
      <c r="Q4926"/>
      <c r="R4926"/>
    </row>
    <row r="4927" spans="14:18" x14ac:dyDescent="0.25">
      <c r="N4927"/>
      <c r="O4927"/>
      <c r="P4927"/>
      <c r="Q4927"/>
      <c r="R4927"/>
    </row>
    <row r="4928" spans="14:18" x14ac:dyDescent="0.25">
      <c r="N4928"/>
      <c r="O4928"/>
      <c r="P4928"/>
      <c r="Q4928"/>
      <c r="R4928"/>
    </row>
    <row r="4929" spans="14:18" x14ac:dyDescent="0.25">
      <c r="N4929"/>
      <c r="O4929"/>
      <c r="P4929"/>
      <c r="Q4929"/>
      <c r="R4929"/>
    </row>
    <row r="4930" spans="14:18" x14ac:dyDescent="0.25">
      <c r="N4930"/>
      <c r="O4930"/>
      <c r="P4930"/>
      <c r="Q4930"/>
      <c r="R4930"/>
    </row>
    <row r="4931" spans="14:18" x14ac:dyDescent="0.25">
      <c r="N4931"/>
      <c r="O4931"/>
      <c r="P4931"/>
      <c r="Q4931"/>
      <c r="R4931"/>
    </row>
    <row r="4932" spans="14:18" x14ac:dyDescent="0.25">
      <c r="N4932"/>
      <c r="O4932"/>
      <c r="P4932"/>
      <c r="Q4932"/>
      <c r="R4932"/>
    </row>
    <row r="4933" spans="14:18" x14ac:dyDescent="0.25">
      <c r="N4933"/>
      <c r="O4933"/>
      <c r="P4933"/>
      <c r="Q4933"/>
      <c r="R4933"/>
    </row>
    <row r="4934" spans="14:18" x14ac:dyDescent="0.25">
      <c r="N4934"/>
      <c r="O4934"/>
      <c r="P4934"/>
      <c r="Q4934"/>
      <c r="R4934"/>
    </row>
    <row r="4935" spans="14:18" x14ac:dyDescent="0.25">
      <c r="N4935"/>
      <c r="O4935"/>
      <c r="P4935"/>
      <c r="Q4935"/>
      <c r="R4935"/>
    </row>
    <row r="4936" spans="14:18" x14ac:dyDescent="0.25">
      <c r="N4936"/>
      <c r="O4936"/>
      <c r="P4936"/>
      <c r="Q4936"/>
      <c r="R4936"/>
    </row>
    <row r="4937" spans="14:18" x14ac:dyDescent="0.25">
      <c r="N4937"/>
      <c r="O4937"/>
      <c r="P4937"/>
      <c r="Q4937"/>
      <c r="R4937"/>
    </row>
    <row r="4938" spans="14:18" x14ac:dyDescent="0.25">
      <c r="N4938"/>
      <c r="O4938"/>
      <c r="P4938"/>
      <c r="Q4938"/>
      <c r="R4938"/>
    </row>
    <row r="4939" spans="14:18" x14ac:dyDescent="0.25">
      <c r="N4939"/>
      <c r="O4939"/>
      <c r="P4939"/>
      <c r="Q4939"/>
      <c r="R4939"/>
    </row>
    <row r="4940" spans="14:18" x14ac:dyDescent="0.25">
      <c r="N4940"/>
      <c r="O4940"/>
      <c r="P4940"/>
      <c r="Q4940"/>
      <c r="R4940"/>
    </row>
    <row r="4941" spans="14:18" x14ac:dyDescent="0.25">
      <c r="N4941"/>
      <c r="O4941"/>
      <c r="P4941"/>
      <c r="Q4941"/>
      <c r="R4941"/>
    </row>
    <row r="4942" spans="14:18" x14ac:dyDescent="0.25">
      <c r="N4942"/>
      <c r="O4942"/>
      <c r="P4942"/>
      <c r="Q4942"/>
      <c r="R4942"/>
    </row>
    <row r="4943" spans="14:18" x14ac:dyDescent="0.25">
      <c r="N4943"/>
      <c r="O4943"/>
      <c r="P4943"/>
      <c r="Q4943"/>
      <c r="R4943"/>
    </row>
    <row r="4944" spans="14:18" x14ac:dyDescent="0.25">
      <c r="N4944"/>
      <c r="O4944"/>
      <c r="P4944"/>
      <c r="Q4944"/>
      <c r="R4944"/>
    </row>
    <row r="4945" spans="14:18" x14ac:dyDescent="0.25">
      <c r="N4945"/>
      <c r="O4945"/>
      <c r="P4945"/>
      <c r="Q4945"/>
      <c r="R4945"/>
    </row>
    <row r="4946" spans="14:18" x14ac:dyDescent="0.25">
      <c r="N4946"/>
      <c r="O4946"/>
      <c r="P4946"/>
      <c r="Q4946"/>
      <c r="R4946"/>
    </row>
    <row r="4947" spans="14:18" x14ac:dyDescent="0.25">
      <c r="N4947"/>
      <c r="O4947"/>
      <c r="P4947"/>
      <c r="Q4947"/>
      <c r="R4947"/>
    </row>
    <row r="4948" spans="14:18" x14ac:dyDescent="0.25">
      <c r="N4948"/>
      <c r="O4948"/>
      <c r="P4948"/>
      <c r="Q4948"/>
      <c r="R4948"/>
    </row>
    <row r="4949" spans="14:18" x14ac:dyDescent="0.25">
      <c r="N4949"/>
      <c r="O4949"/>
      <c r="P4949"/>
      <c r="Q4949"/>
      <c r="R4949"/>
    </row>
    <row r="4950" spans="14:18" x14ac:dyDescent="0.25">
      <c r="N4950"/>
      <c r="O4950"/>
      <c r="P4950"/>
      <c r="Q4950"/>
      <c r="R4950"/>
    </row>
    <row r="4951" spans="14:18" x14ac:dyDescent="0.25">
      <c r="N4951"/>
      <c r="O4951"/>
      <c r="P4951"/>
      <c r="Q4951"/>
      <c r="R4951"/>
    </row>
    <row r="4952" spans="14:18" x14ac:dyDescent="0.25">
      <c r="N4952"/>
      <c r="O4952"/>
      <c r="P4952"/>
      <c r="Q4952"/>
      <c r="R4952"/>
    </row>
    <row r="4953" spans="14:18" x14ac:dyDescent="0.25">
      <c r="N4953"/>
      <c r="O4953"/>
      <c r="P4953"/>
      <c r="Q4953"/>
      <c r="R4953"/>
    </row>
    <row r="4954" spans="14:18" x14ac:dyDescent="0.25">
      <c r="N4954"/>
      <c r="O4954"/>
      <c r="P4954"/>
      <c r="Q4954"/>
      <c r="R4954"/>
    </row>
    <row r="4955" spans="14:18" x14ac:dyDescent="0.25">
      <c r="N4955"/>
      <c r="O4955"/>
      <c r="P4955"/>
      <c r="Q4955"/>
      <c r="R4955"/>
    </row>
    <row r="4956" spans="14:18" x14ac:dyDescent="0.25">
      <c r="N4956"/>
      <c r="O4956"/>
      <c r="P4956"/>
      <c r="Q4956"/>
      <c r="R4956"/>
    </row>
    <row r="4957" spans="14:18" x14ac:dyDescent="0.25">
      <c r="N4957"/>
      <c r="O4957"/>
      <c r="P4957"/>
      <c r="Q4957"/>
      <c r="R4957"/>
    </row>
    <row r="4958" spans="14:18" x14ac:dyDescent="0.25">
      <c r="N4958"/>
      <c r="O4958"/>
      <c r="P4958"/>
      <c r="Q4958"/>
      <c r="R4958"/>
    </row>
    <row r="4959" spans="14:18" x14ac:dyDescent="0.25">
      <c r="N4959"/>
      <c r="O4959"/>
      <c r="P4959"/>
      <c r="Q4959"/>
      <c r="R4959"/>
    </row>
    <row r="4960" spans="14:18" x14ac:dyDescent="0.25">
      <c r="N4960"/>
      <c r="O4960"/>
      <c r="P4960"/>
      <c r="Q4960"/>
      <c r="R4960"/>
    </row>
    <row r="4961" spans="14:18" x14ac:dyDescent="0.25">
      <c r="N4961"/>
      <c r="O4961"/>
      <c r="P4961"/>
      <c r="Q4961"/>
      <c r="R4961"/>
    </row>
    <row r="4962" spans="14:18" x14ac:dyDescent="0.25">
      <c r="N4962"/>
      <c r="O4962"/>
      <c r="P4962"/>
      <c r="Q4962"/>
      <c r="R4962"/>
    </row>
    <row r="4963" spans="14:18" x14ac:dyDescent="0.25">
      <c r="N4963"/>
      <c r="O4963"/>
      <c r="P4963"/>
      <c r="Q4963"/>
      <c r="R4963"/>
    </row>
    <row r="4964" spans="14:18" x14ac:dyDescent="0.25">
      <c r="N4964"/>
      <c r="O4964"/>
      <c r="P4964"/>
      <c r="Q4964"/>
      <c r="R4964"/>
    </row>
    <row r="4965" spans="14:18" x14ac:dyDescent="0.25">
      <c r="N4965"/>
      <c r="O4965"/>
      <c r="P4965"/>
      <c r="Q4965"/>
      <c r="R4965"/>
    </row>
    <row r="4966" spans="14:18" x14ac:dyDescent="0.25">
      <c r="N4966"/>
      <c r="O4966"/>
      <c r="P4966"/>
      <c r="Q4966"/>
      <c r="R4966"/>
    </row>
    <row r="4967" spans="14:18" x14ac:dyDescent="0.25">
      <c r="N4967"/>
      <c r="O4967"/>
      <c r="P4967"/>
      <c r="Q4967"/>
      <c r="R4967"/>
    </row>
    <row r="4968" spans="14:18" x14ac:dyDescent="0.25">
      <c r="N4968"/>
      <c r="O4968"/>
      <c r="P4968"/>
      <c r="Q4968"/>
      <c r="R4968"/>
    </row>
    <row r="4969" spans="14:18" x14ac:dyDescent="0.25">
      <c r="N4969"/>
      <c r="O4969"/>
      <c r="P4969"/>
      <c r="Q4969"/>
      <c r="R4969"/>
    </row>
    <row r="4970" spans="14:18" x14ac:dyDescent="0.25">
      <c r="N4970"/>
      <c r="O4970"/>
      <c r="P4970"/>
      <c r="Q4970"/>
      <c r="R4970"/>
    </row>
    <row r="4971" spans="14:18" x14ac:dyDescent="0.25">
      <c r="N4971"/>
      <c r="O4971"/>
      <c r="P4971"/>
      <c r="Q4971"/>
      <c r="R4971"/>
    </row>
    <row r="4972" spans="14:18" x14ac:dyDescent="0.25">
      <c r="N4972"/>
      <c r="O4972"/>
      <c r="P4972"/>
      <c r="Q4972"/>
      <c r="R4972"/>
    </row>
    <row r="4973" spans="14:18" x14ac:dyDescent="0.25">
      <c r="N4973"/>
      <c r="O4973"/>
      <c r="P4973"/>
      <c r="Q4973"/>
      <c r="R4973"/>
    </row>
    <row r="4974" spans="14:18" x14ac:dyDescent="0.25">
      <c r="N4974"/>
      <c r="O4974"/>
      <c r="P4974"/>
      <c r="Q4974"/>
      <c r="R4974"/>
    </row>
    <row r="4975" spans="14:18" x14ac:dyDescent="0.25">
      <c r="N4975"/>
      <c r="O4975"/>
      <c r="P4975"/>
      <c r="Q4975"/>
      <c r="R4975"/>
    </row>
    <row r="4976" spans="14:18" x14ac:dyDescent="0.25">
      <c r="N4976"/>
      <c r="O4976"/>
      <c r="P4976"/>
      <c r="Q4976"/>
      <c r="R4976"/>
    </row>
    <row r="4977" spans="14:18" x14ac:dyDescent="0.25">
      <c r="N4977"/>
      <c r="O4977"/>
      <c r="P4977"/>
      <c r="Q4977"/>
      <c r="R4977"/>
    </row>
    <row r="4978" spans="14:18" x14ac:dyDescent="0.25">
      <c r="N4978"/>
      <c r="O4978"/>
      <c r="P4978"/>
      <c r="Q4978"/>
      <c r="R4978"/>
    </row>
    <row r="4979" spans="14:18" x14ac:dyDescent="0.25">
      <c r="N4979"/>
      <c r="O4979"/>
      <c r="P4979"/>
      <c r="Q4979"/>
      <c r="R4979"/>
    </row>
    <row r="4980" spans="14:18" x14ac:dyDescent="0.25">
      <c r="N4980"/>
      <c r="O4980"/>
      <c r="P4980"/>
      <c r="Q4980"/>
      <c r="R4980"/>
    </row>
    <row r="4981" spans="14:18" x14ac:dyDescent="0.25">
      <c r="N4981"/>
      <c r="O4981"/>
      <c r="P4981"/>
      <c r="Q4981"/>
      <c r="R4981"/>
    </row>
    <row r="4982" spans="14:18" x14ac:dyDescent="0.25">
      <c r="N4982"/>
      <c r="O4982"/>
      <c r="P4982"/>
      <c r="Q4982"/>
      <c r="R4982"/>
    </row>
    <row r="4983" spans="14:18" x14ac:dyDescent="0.25">
      <c r="N4983"/>
      <c r="O4983"/>
      <c r="P4983"/>
      <c r="Q4983"/>
      <c r="R4983"/>
    </row>
    <row r="4984" spans="14:18" x14ac:dyDescent="0.25">
      <c r="N4984"/>
      <c r="O4984"/>
      <c r="P4984"/>
      <c r="Q4984"/>
      <c r="R4984"/>
    </row>
    <row r="4985" spans="14:18" x14ac:dyDescent="0.25">
      <c r="N4985"/>
      <c r="O4985"/>
      <c r="P4985"/>
      <c r="Q4985"/>
      <c r="R4985"/>
    </row>
    <row r="4986" spans="14:18" x14ac:dyDescent="0.25">
      <c r="N4986"/>
      <c r="O4986"/>
      <c r="P4986"/>
      <c r="Q4986"/>
      <c r="R4986"/>
    </row>
    <row r="4987" spans="14:18" x14ac:dyDescent="0.25">
      <c r="N4987"/>
      <c r="O4987"/>
      <c r="P4987"/>
      <c r="Q4987"/>
      <c r="R4987"/>
    </row>
    <row r="4988" spans="14:18" x14ac:dyDescent="0.25">
      <c r="N4988"/>
      <c r="O4988"/>
      <c r="P4988"/>
      <c r="Q4988"/>
      <c r="R4988"/>
    </row>
    <row r="4989" spans="14:18" x14ac:dyDescent="0.25">
      <c r="N4989"/>
      <c r="O4989"/>
      <c r="P4989"/>
      <c r="Q4989"/>
      <c r="R4989"/>
    </row>
    <row r="4990" spans="14:18" x14ac:dyDescent="0.25">
      <c r="N4990"/>
      <c r="O4990"/>
      <c r="P4990"/>
      <c r="Q4990"/>
      <c r="R4990"/>
    </row>
    <row r="4991" spans="14:18" x14ac:dyDescent="0.25">
      <c r="N4991"/>
      <c r="O4991"/>
      <c r="P4991"/>
      <c r="Q4991"/>
      <c r="R4991"/>
    </row>
    <row r="4992" spans="14:18" x14ac:dyDescent="0.25">
      <c r="N4992"/>
      <c r="O4992"/>
      <c r="P4992"/>
      <c r="Q4992"/>
      <c r="R4992"/>
    </row>
    <row r="4993" spans="14:18" x14ac:dyDescent="0.25">
      <c r="N4993"/>
      <c r="O4993"/>
      <c r="P4993"/>
      <c r="Q4993"/>
      <c r="R4993"/>
    </row>
    <row r="4994" spans="14:18" x14ac:dyDescent="0.25">
      <c r="N4994"/>
      <c r="O4994"/>
      <c r="P4994"/>
      <c r="Q4994"/>
      <c r="R4994"/>
    </row>
    <row r="4995" spans="14:18" x14ac:dyDescent="0.25">
      <c r="N4995"/>
      <c r="O4995"/>
      <c r="P4995"/>
      <c r="Q4995"/>
      <c r="R4995"/>
    </row>
    <row r="4996" spans="14:18" x14ac:dyDescent="0.25">
      <c r="N4996"/>
      <c r="O4996"/>
      <c r="P4996"/>
      <c r="Q4996"/>
      <c r="R4996"/>
    </row>
    <row r="4997" spans="14:18" x14ac:dyDescent="0.25">
      <c r="N4997"/>
      <c r="O4997"/>
      <c r="P4997"/>
      <c r="Q4997"/>
      <c r="R4997"/>
    </row>
    <row r="4998" spans="14:18" x14ac:dyDescent="0.25">
      <c r="N4998"/>
      <c r="O4998"/>
      <c r="P4998"/>
      <c r="Q4998"/>
      <c r="R4998"/>
    </row>
    <row r="4999" spans="14:18" x14ac:dyDescent="0.25">
      <c r="N4999"/>
      <c r="O4999"/>
      <c r="P4999"/>
      <c r="Q4999"/>
      <c r="R4999"/>
    </row>
    <row r="5000" spans="14:18" x14ac:dyDescent="0.25">
      <c r="N5000"/>
      <c r="O5000"/>
      <c r="P5000"/>
      <c r="Q5000"/>
      <c r="R5000"/>
    </row>
    <row r="5001" spans="14:18" x14ac:dyDescent="0.25">
      <c r="N5001"/>
      <c r="O5001"/>
      <c r="P5001"/>
      <c r="Q5001"/>
      <c r="R5001"/>
    </row>
    <row r="5002" spans="14:18" x14ac:dyDescent="0.25">
      <c r="N5002"/>
      <c r="O5002"/>
      <c r="P5002"/>
      <c r="Q5002"/>
      <c r="R5002"/>
    </row>
    <row r="5003" spans="14:18" x14ac:dyDescent="0.25">
      <c r="N5003"/>
      <c r="O5003"/>
      <c r="P5003"/>
      <c r="Q5003"/>
      <c r="R5003"/>
    </row>
    <row r="5004" spans="14:18" x14ac:dyDescent="0.25">
      <c r="N5004"/>
      <c r="O5004"/>
      <c r="P5004"/>
      <c r="Q5004"/>
      <c r="R5004"/>
    </row>
    <row r="5005" spans="14:18" x14ac:dyDescent="0.25">
      <c r="N5005"/>
      <c r="O5005"/>
      <c r="P5005"/>
      <c r="Q5005"/>
      <c r="R5005"/>
    </row>
    <row r="5006" spans="14:18" x14ac:dyDescent="0.25">
      <c r="N5006"/>
      <c r="O5006"/>
      <c r="P5006"/>
      <c r="Q5006"/>
      <c r="R5006"/>
    </row>
    <row r="5007" spans="14:18" x14ac:dyDescent="0.25">
      <c r="N5007"/>
      <c r="O5007"/>
      <c r="P5007"/>
      <c r="Q5007"/>
      <c r="R5007"/>
    </row>
    <row r="5008" spans="14:18" x14ac:dyDescent="0.25">
      <c r="N5008"/>
      <c r="O5008"/>
      <c r="P5008"/>
      <c r="Q5008"/>
      <c r="R5008"/>
    </row>
    <row r="5009" spans="14:18" x14ac:dyDescent="0.25">
      <c r="N5009"/>
      <c r="O5009"/>
      <c r="P5009"/>
      <c r="Q5009"/>
      <c r="R5009"/>
    </row>
    <row r="5010" spans="14:18" x14ac:dyDescent="0.25">
      <c r="N5010"/>
      <c r="O5010"/>
      <c r="P5010"/>
      <c r="Q5010"/>
      <c r="R5010"/>
    </row>
    <row r="5011" spans="14:18" x14ac:dyDescent="0.25">
      <c r="N5011"/>
      <c r="O5011"/>
      <c r="P5011"/>
      <c r="Q5011"/>
      <c r="R5011"/>
    </row>
    <row r="5012" spans="14:18" x14ac:dyDescent="0.25">
      <c r="N5012"/>
      <c r="O5012"/>
      <c r="P5012"/>
      <c r="Q5012"/>
      <c r="R5012"/>
    </row>
    <row r="5013" spans="14:18" x14ac:dyDescent="0.25">
      <c r="N5013"/>
      <c r="O5013"/>
      <c r="P5013"/>
      <c r="Q5013"/>
      <c r="R5013"/>
    </row>
    <row r="5014" spans="14:18" x14ac:dyDescent="0.25">
      <c r="N5014"/>
      <c r="O5014"/>
      <c r="P5014"/>
      <c r="Q5014"/>
      <c r="R5014"/>
    </row>
    <row r="5015" spans="14:18" x14ac:dyDescent="0.25">
      <c r="N5015"/>
      <c r="O5015"/>
      <c r="P5015"/>
      <c r="Q5015"/>
      <c r="R5015"/>
    </row>
    <row r="5016" spans="14:18" x14ac:dyDescent="0.25">
      <c r="N5016"/>
      <c r="O5016"/>
      <c r="P5016"/>
      <c r="Q5016"/>
      <c r="R5016"/>
    </row>
    <row r="5017" spans="14:18" x14ac:dyDescent="0.25">
      <c r="N5017"/>
      <c r="O5017"/>
      <c r="P5017"/>
      <c r="Q5017"/>
      <c r="R5017"/>
    </row>
    <row r="5018" spans="14:18" x14ac:dyDescent="0.25">
      <c r="N5018"/>
      <c r="O5018"/>
      <c r="P5018"/>
      <c r="Q5018"/>
      <c r="R5018"/>
    </row>
    <row r="5019" spans="14:18" x14ac:dyDescent="0.25">
      <c r="N5019"/>
      <c r="O5019"/>
      <c r="P5019"/>
      <c r="Q5019"/>
      <c r="R5019"/>
    </row>
    <row r="5020" spans="14:18" x14ac:dyDescent="0.25">
      <c r="N5020"/>
      <c r="O5020"/>
      <c r="P5020"/>
      <c r="Q5020"/>
      <c r="R5020"/>
    </row>
    <row r="5021" spans="14:18" x14ac:dyDescent="0.25">
      <c r="N5021"/>
      <c r="O5021"/>
      <c r="P5021"/>
      <c r="Q5021"/>
      <c r="R5021"/>
    </row>
    <row r="5022" spans="14:18" x14ac:dyDescent="0.25">
      <c r="N5022"/>
      <c r="O5022"/>
      <c r="P5022"/>
      <c r="Q5022"/>
      <c r="R5022"/>
    </row>
    <row r="5023" spans="14:18" x14ac:dyDescent="0.25">
      <c r="N5023"/>
      <c r="O5023"/>
      <c r="P5023"/>
      <c r="Q5023"/>
      <c r="R5023"/>
    </row>
    <row r="5024" spans="14:18" x14ac:dyDescent="0.25">
      <c r="N5024"/>
      <c r="O5024"/>
      <c r="P5024"/>
      <c r="Q5024"/>
      <c r="R5024"/>
    </row>
    <row r="5025" spans="14:18" x14ac:dyDescent="0.25">
      <c r="N5025"/>
      <c r="O5025"/>
      <c r="P5025"/>
      <c r="Q5025"/>
      <c r="R5025"/>
    </row>
    <row r="5026" spans="14:18" x14ac:dyDescent="0.25">
      <c r="N5026"/>
      <c r="O5026"/>
      <c r="P5026"/>
      <c r="Q5026"/>
      <c r="R5026"/>
    </row>
    <row r="5027" spans="14:18" x14ac:dyDescent="0.25">
      <c r="N5027"/>
      <c r="O5027"/>
      <c r="P5027"/>
      <c r="Q5027"/>
      <c r="R5027"/>
    </row>
    <row r="5028" spans="14:18" x14ac:dyDescent="0.25">
      <c r="N5028"/>
      <c r="O5028"/>
      <c r="P5028"/>
      <c r="Q5028"/>
      <c r="R5028"/>
    </row>
    <row r="5029" spans="14:18" x14ac:dyDescent="0.25">
      <c r="N5029"/>
      <c r="O5029"/>
      <c r="P5029"/>
      <c r="Q5029"/>
      <c r="R5029"/>
    </row>
    <row r="5030" spans="14:18" x14ac:dyDescent="0.25">
      <c r="N5030"/>
      <c r="O5030"/>
      <c r="P5030"/>
      <c r="Q5030"/>
      <c r="R5030"/>
    </row>
    <row r="5031" spans="14:18" x14ac:dyDescent="0.25">
      <c r="N5031"/>
      <c r="O5031"/>
      <c r="P5031"/>
      <c r="Q5031"/>
      <c r="R5031"/>
    </row>
    <row r="5032" spans="14:18" x14ac:dyDescent="0.25">
      <c r="N5032"/>
      <c r="O5032"/>
      <c r="P5032"/>
      <c r="Q5032"/>
      <c r="R5032"/>
    </row>
    <row r="5033" spans="14:18" x14ac:dyDescent="0.25">
      <c r="N5033"/>
      <c r="O5033"/>
      <c r="P5033"/>
      <c r="Q5033"/>
      <c r="R5033"/>
    </row>
    <row r="5034" spans="14:18" x14ac:dyDescent="0.25">
      <c r="N5034"/>
      <c r="O5034"/>
      <c r="P5034"/>
      <c r="Q5034"/>
      <c r="R5034"/>
    </row>
    <row r="5035" spans="14:18" x14ac:dyDescent="0.25">
      <c r="N5035"/>
      <c r="O5035"/>
      <c r="P5035"/>
      <c r="Q5035"/>
      <c r="R5035"/>
    </row>
    <row r="5036" spans="14:18" x14ac:dyDescent="0.25">
      <c r="N5036"/>
      <c r="O5036"/>
      <c r="P5036"/>
      <c r="Q5036"/>
      <c r="R5036"/>
    </row>
    <row r="5037" spans="14:18" x14ac:dyDescent="0.25">
      <c r="N5037"/>
      <c r="O5037"/>
      <c r="P5037"/>
      <c r="Q5037"/>
      <c r="R5037"/>
    </row>
    <row r="5038" spans="14:18" x14ac:dyDescent="0.25">
      <c r="N5038"/>
      <c r="O5038"/>
      <c r="P5038"/>
      <c r="Q5038"/>
      <c r="R5038"/>
    </row>
    <row r="5039" spans="14:18" x14ac:dyDescent="0.25">
      <c r="N5039"/>
      <c r="O5039"/>
      <c r="P5039"/>
      <c r="Q5039"/>
      <c r="R5039"/>
    </row>
    <row r="5040" spans="14:18" x14ac:dyDescent="0.25">
      <c r="N5040"/>
      <c r="O5040"/>
      <c r="P5040"/>
      <c r="Q5040"/>
      <c r="R5040"/>
    </row>
    <row r="5041" spans="14:18" x14ac:dyDescent="0.25">
      <c r="N5041"/>
      <c r="O5041"/>
      <c r="P5041"/>
      <c r="Q5041"/>
      <c r="R5041"/>
    </row>
    <row r="5042" spans="14:18" x14ac:dyDescent="0.25">
      <c r="N5042"/>
      <c r="O5042"/>
      <c r="P5042"/>
      <c r="Q5042"/>
      <c r="R5042"/>
    </row>
    <row r="5043" spans="14:18" x14ac:dyDescent="0.25">
      <c r="N5043"/>
      <c r="O5043"/>
      <c r="P5043"/>
      <c r="Q5043"/>
      <c r="R5043"/>
    </row>
    <row r="5044" spans="14:18" x14ac:dyDescent="0.25">
      <c r="N5044"/>
      <c r="O5044"/>
      <c r="P5044"/>
      <c r="Q5044"/>
      <c r="R5044"/>
    </row>
    <row r="5045" spans="14:18" x14ac:dyDescent="0.25">
      <c r="N5045"/>
      <c r="O5045"/>
      <c r="P5045"/>
      <c r="Q5045"/>
      <c r="R5045"/>
    </row>
    <row r="5046" spans="14:18" x14ac:dyDescent="0.25">
      <c r="N5046"/>
      <c r="O5046"/>
      <c r="P5046"/>
      <c r="Q5046"/>
      <c r="R5046"/>
    </row>
    <row r="5047" spans="14:18" x14ac:dyDescent="0.25">
      <c r="N5047"/>
      <c r="O5047"/>
      <c r="P5047"/>
      <c r="Q5047"/>
      <c r="R5047"/>
    </row>
    <row r="5048" spans="14:18" x14ac:dyDescent="0.25">
      <c r="N5048"/>
      <c r="O5048"/>
      <c r="P5048"/>
      <c r="Q5048"/>
      <c r="R5048"/>
    </row>
    <row r="5049" spans="14:18" x14ac:dyDescent="0.25">
      <c r="N5049"/>
      <c r="O5049"/>
      <c r="P5049"/>
      <c r="Q5049"/>
      <c r="R5049"/>
    </row>
    <row r="5050" spans="14:18" x14ac:dyDescent="0.25">
      <c r="N5050"/>
      <c r="O5050"/>
      <c r="P5050"/>
      <c r="Q5050"/>
      <c r="R5050"/>
    </row>
    <row r="5051" spans="14:18" x14ac:dyDescent="0.25">
      <c r="N5051"/>
      <c r="O5051"/>
      <c r="P5051"/>
      <c r="Q5051"/>
      <c r="R5051"/>
    </row>
    <row r="5052" spans="14:18" x14ac:dyDescent="0.25">
      <c r="N5052"/>
      <c r="O5052"/>
      <c r="P5052"/>
      <c r="Q5052"/>
      <c r="R5052"/>
    </row>
    <row r="5053" spans="14:18" x14ac:dyDescent="0.25">
      <c r="N5053"/>
      <c r="O5053"/>
      <c r="P5053"/>
      <c r="Q5053"/>
      <c r="R5053"/>
    </row>
    <row r="5054" spans="14:18" x14ac:dyDescent="0.25">
      <c r="N5054"/>
      <c r="O5054"/>
      <c r="P5054"/>
      <c r="Q5054"/>
      <c r="R5054"/>
    </row>
    <row r="5055" spans="14:18" x14ac:dyDescent="0.25">
      <c r="N5055"/>
      <c r="O5055"/>
      <c r="P5055"/>
      <c r="Q5055"/>
      <c r="R5055"/>
    </row>
    <row r="5056" spans="14:18" x14ac:dyDescent="0.25">
      <c r="N5056"/>
      <c r="O5056"/>
      <c r="P5056"/>
      <c r="Q5056"/>
      <c r="R5056"/>
    </row>
    <row r="5057" spans="14:18" x14ac:dyDescent="0.25">
      <c r="N5057"/>
      <c r="O5057"/>
      <c r="P5057"/>
      <c r="Q5057"/>
      <c r="R5057"/>
    </row>
    <row r="5058" spans="14:18" x14ac:dyDescent="0.25">
      <c r="N5058"/>
      <c r="O5058"/>
      <c r="P5058"/>
      <c r="Q5058"/>
      <c r="R5058"/>
    </row>
    <row r="5059" spans="14:18" x14ac:dyDescent="0.25">
      <c r="N5059"/>
      <c r="O5059"/>
      <c r="P5059"/>
      <c r="Q5059"/>
      <c r="R5059"/>
    </row>
    <row r="5060" spans="14:18" x14ac:dyDescent="0.25">
      <c r="N5060"/>
      <c r="O5060"/>
      <c r="P5060"/>
      <c r="Q5060"/>
      <c r="R5060"/>
    </row>
    <row r="5061" spans="14:18" x14ac:dyDescent="0.25">
      <c r="N5061"/>
      <c r="O5061"/>
      <c r="P5061"/>
      <c r="Q5061"/>
      <c r="R5061"/>
    </row>
    <row r="5062" spans="14:18" x14ac:dyDescent="0.25">
      <c r="N5062"/>
      <c r="O5062"/>
      <c r="P5062"/>
      <c r="Q5062"/>
      <c r="R5062"/>
    </row>
    <row r="5063" spans="14:18" x14ac:dyDescent="0.25">
      <c r="N5063"/>
      <c r="O5063"/>
      <c r="P5063"/>
      <c r="Q5063"/>
      <c r="R5063"/>
    </row>
    <row r="5064" spans="14:18" x14ac:dyDescent="0.25">
      <c r="N5064"/>
      <c r="O5064"/>
      <c r="P5064"/>
      <c r="Q5064"/>
      <c r="R5064"/>
    </row>
    <row r="5065" spans="14:18" x14ac:dyDescent="0.25">
      <c r="N5065"/>
      <c r="O5065"/>
      <c r="P5065"/>
      <c r="Q5065"/>
      <c r="R5065"/>
    </row>
    <row r="5066" spans="14:18" x14ac:dyDescent="0.25">
      <c r="N5066"/>
      <c r="O5066"/>
      <c r="P5066"/>
      <c r="Q5066"/>
      <c r="R5066"/>
    </row>
    <row r="5067" spans="14:18" x14ac:dyDescent="0.25">
      <c r="N5067"/>
      <c r="O5067"/>
      <c r="P5067"/>
      <c r="Q5067"/>
      <c r="R5067"/>
    </row>
    <row r="5068" spans="14:18" x14ac:dyDescent="0.25">
      <c r="N5068"/>
      <c r="O5068"/>
      <c r="P5068"/>
      <c r="Q5068"/>
      <c r="R5068"/>
    </row>
    <row r="5069" spans="14:18" x14ac:dyDescent="0.25">
      <c r="N5069"/>
      <c r="O5069"/>
      <c r="P5069"/>
      <c r="Q5069"/>
      <c r="R5069"/>
    </row>
    <row r="5070" spans="14:18" x14ac:dyDescent="0.25">
      <c r="N5070"/>
      <c r="O5070"/>
      <c r="P5070"/>
      <c r="Q5070"/>
      <c r="R5070"/>
    </row>
    <row r="5071" spans="14:18" x14ac:dyDescent="0.25">
      <c r="N5071"/>
      <c r="O5071"/>
      <c r="P5071"/>
      <c r="Q5071"/>
      <c r="R5071"/>
    </row>
    <row r="5072" spans="14:18" x14ac:dyDescent="0.25">
      <c r="N5072"/>
      <c r="O5072"/>
      <c r="P5072"/>
      <c r="Q5072"/>
      <c r="R5072"/>
    </row>
    <row r="5073" spans="14:18" x14ac:dyDescent="0.25">
      <c r="N5073"/>
      <c r="O5073"/>
      <c r="P5073"/>
      <c r="Q5073"/>
      <c r="R5073"/>
    </row>
    <row r="5074" spans="14:18" x14ac:dyDescent="0.25">
      <c r="N5074"/>
      <c r="O5074"/>
      <c r="P5074"/>
      <c r="Q5074"/>
      <c r="R5074"/>
    </row>
    <row r="5075" spans="14:18" x14ac:dyDescent="0.25">
      <c r="N5075"/>
      <c r="O5075"/>
      <c r="P5075"/>
      <c r="Q5075"/>
      <c r="R5075"/>
    </row>
    <row r="5076" spans="14:18" x14ac:dyDescent="0.25">
      <c r="N5076"/>
      <c r="O5076"/>
      <c r="P5076"/>
      <c r="Q5076"/>
      <c r="R5076"/>
    </row>
    <row r="5077" spans="14:18" x14ac:dyDescent="0.25">
      <c r="N5077"/>
      <c r="O5077"/>
      <c r="P5077"/>
      <c r="Q5077"/>
      <c r="R5077"/>
    </row>
    <row r="5078" spans="14:18" x14ac:dyDescent="0.25">
      <c r="N5078"/>
      <c r="O5078"/>
      <c r="P5078"/>
      <c r="Q5078"/>
      <c r="R5078"/>
    </row>
    <row r="5079" spans="14:18" x14ac:dyDescent="0.25">
      <c r="N5079"/>
      <c r="O5079"/>
      <c r="P5079"/>
      <c r="Q5079"/>
      <c r="R5079"/>
    </row>
    <row r="5080" spans="14:18" x14ac:dyDescent="0.25">
      <c r="N5080"/>
      <c r="O5080"/>
      <c r="P5080"/>
      <c r="Q5080"/>
      <c r="R5080"/>
    </row>
    <row r="5081" spans="14:18" x14ac:dyDescent="0.25">
      <c r="N5081"/>
      <c r="O5081"/>
      <c r="P5081"/>
      <c r="Q5081"/>
      <c r="R5081"/>
    </row>
    <row r="5082" spans="14:18" x14ac:dyDescent="0.25">
      <c r="N5082"/>
      <c r="O5082"/>
      <c r="P5082"/>
      <c r="Q5082"/>
      <c r="R5082"/>
    </row>
    <row r="5083" spans="14:18" x14ac:dyDescent="0.25">
      <c r="N5083"/>
      <c r="O5083"/>
      <c r="P5083"/>
      <c r="Q5083"/>
      <c r="R5083"/>
    </row>
    <row r="5084" spans="14:18" x14ac:dyDescent="0.25">
      <c r="N5084"/>
      <c r="O5084"/>
      <c r="P5084"/>
      <c r="Q5084"/>
      <c r="R5084"/>
    </row>
    <row r="5085" spans="14:18" x14ac:dyDescent="0.25">
      <c r="N5085"/>
      <c r="O5085"/>
      <c r="P5085"/>
      <c r="Q5085"/>
      <c r="R5085"/>
    </row>
    <row r="5086" spans="14:18" x14ac:dyDescent="0.25">
      <c r="N5086"/>
      <c r="O5086"/>
      <c r="P5086"/>
      <c r="Q5086"/>
      <c r="R5086"/>
    </row>
    <row r="5087" spans="14:18" x14ac:dyDescent="0.25">
      <c r="N5087"/>
      <c r="O5087"/>
      <c r="P5087"/>
      <c r="Q5087"/>
      <c r="R5087"/>
    </row>
    <row r="5088" spans="14:18" x14ac:dyDescent="0.25">
      <c r="N5088"/>
      <c r="O5088"/>
      <c r="P5088"/>
      <c r="Q5088"/>
      <c r="R5088"/>
    </row>
    <row r="5089" spans="14:18" x14ac:dyDescent="0.25">
      <c r="N5089"/>
      <c r="O5089"/>
      <c r="P5089"/>
      <c r="Q5089"/>
      <c r="R5089"/>
    </row>
    <row r="5090" spans="14:18" x14ac:dyDescent="0.25">
      <c r="N5090"/>
      <c r="O5090"/>
      <c r="P5090"/>
      <c r="Q5090"/>
      <c r="R5090"/>
    </row>
    <row r="5091" spans="14:18" x14ac:dyDescent="0.25">
      <c r="N5091"/>
      <c r="O5091"/>
      <c r="P5091"/>
      <c r="Q5091"/>
      <c r="R5091"/>
    </row>
    <row r="5092" spans="14:18" x14ac:dyDescent="0.25">
      <c r="N5092"/>
      <c r="O5092"/>
      <c r="P5092"/>
      <c r="Q5092"/>
      <c r="R5092"/>
    </row>
    <row r="5093" spans="14:18" x14ac:dyDescent="0.25">
      <c r="N5093"/>
      <c r="O5093"/>
      <c r="P5093"/>
      <c r="Q5093"/>
      <c r="R5093"/>
    </row>
    <row r="5094" spans="14:18" x14ac:dyDescent="0.25">
      <c r="N5094"/>
      <c r="O5094"/>
      <c r="P5094"/>
      <c r="Q5094"/>
      <c r="R5094"/>
    </row>
    <row r="5095" spans="14:18" x14ac:dyDescent="0.25">
      <c r="N5095"/>
      <c r="O5095"/>
      <c r="P5095"/>
      <c r="Q5095"/>
      <c r="R5095"/>
    </row>
    <row r="5096" spans="14:18" x14ac:dyDescent="0.25">
      <c r="N5096"/>
      <c r="O5096"/>
      <c r="P5096"/>
      <c r="Q5096"/>
      <c r="R5096"/>
    </row>
    <row r="5097" spans="14:18" x14ac:dyDescent="0.25">
      <c r="N5097"/>
      <c r="O5097"/>
      <c r="P5097"/>
      <c r="Q5097"/>
      <c r="R5097"/>
    </row>
    <row r="5098" spans="14:18" x14ac:dyDescent="0.25">
      <c r="N5098"/>
      <c r="O5098"/>
      <c r="P5098"/>
      <c r="Q5098"/>
      <c r="R5098"/>
    </row>
    <row r="5099" spans="14:18" x14ac:dyDescent="0.25">
      <c r="N5099"/>
      <c r="O5099"/>
      <c r="P5099"/>
      <c r="Q5099"/>
      <c r="R5099"/>
    </row>
    <row r="5100" spans="14:18" x14ac:dyDescent="0.25">
      <c r="N5100"/>
      <c r="O5100"/>
      <c r="P5100"/>
      <c r="Q5100"/>
      <c r="R5100"/>
    </row>
    <row r="5101" spans="14:18" x14ac:dyDescent="0.25">
      <c r="N5101"/>
      <c r="O5101"/>
      <c r="P5101"/>
      <c r="Q5101"/>
      <c r="R5101"/>
    </row>
    <row r="5102" spans="14:18" x14ac:dyDescent="0.25">
      <c r="N5102"/>
      <c r="O5102"/>
      <c r="P5102"/>
      <c r="Q5102"/>
      <c r="R5102"/>
    </row>
    <row r="5103" spans="14:18" x14ac:dyDescent="0.25">
      <c r="N5103"/>
      <c r="O5103"/>
      <c r="P5103"/>
      <c r="Q5103"/>
      <c r="R5103"/>
    </row>
    <row r="5104" spans="14:18" x14ac:dyDescent="0.25">
      <c r="N5104"/>
      <c r="O5104"/>
      <c r="P5104"/>
      <c r="Q5104"/>
      <c r="R5104"/>
    </row>
    <row r="5105" spans="14:18" x14ac:dyDescent="0.25">
      <c r="N5105"/>
      <c r="O5105"/>
      <c r="P5105"/>
      <c r="Q5105"/>
      <c r="R5105"/>
    </row>
    <row r="5106" spans="14:18" x14ac:dyDescent="0.25">
      <c r="N5106"/>
      <c r="O5106"/>
      <c r="P5106"/>
      <c r="Q5106"/>
      <c r="R5106"/>
    </row>
    <row r="5107" spans="14:18" x14ac:dyDescent="0.25">
      <c r="N5107"/>
      <c r="O5107"/>
      <c r="P5107"/>
      <c r="Q5107"/>
      <c r="R5107"/>
    </row>
    <row r="5108" spans="14:18" x14ac:dyDescent="0.25">
      <c r="N5108"/>
      <c r="O5108"/>
      <c r="P5108"/>
      <c r="Q5108"/>
      <c r="R5108"/>
    </row>
    <row r="5109" spans="14:18" x14ac:dyDescent="0.25">
      <c r="N5109"/>
      <c r="O5109"/>
      <c r="P5109"/>
      <c r="Q5109"/>
      <c r="R5109"/>
    </row>
    <row r="5110" spans="14:18" x14ac:dyDescent="0.25">
      <c r="N5110"/>
      <c r="O5110"/>
      <c r="P5110"/>
      <c r="Q5110"/>
      <c r="R5110"/>
    </row>
    <row r="5111" spans="14:18" x14ac:dyDescent="0.25">
      <c r="N5111"/>
      <c r="O5111"/>
      <c r="P5111"/>
      <c r="Q5111"/>
      <c r="R5111"/>
    </row>
    <row r="5112" spans="14:18" x14ac:dyDescent="0.25">
      <c r="N5112"/>
      <c r="O5112"/>
      <c r="P5112"/>
      <c r="Q5112"/>
      <c r="R5112"/>
    </row>
    <row r="5113" spans="14:18" x14ac:dyDescent="0.25">
      <c r="N5113"/>
      <c r="O5113"/>
      <c r="P5113"/>
      <c r="Q5113"/>
      <c r="R5113"/>
    </row>
    <row r="5114" spans="14:18" x14ac:dyDescent="0.25">
      <c r="N5114"/>
      <c r="O5114"/>
      <c r="P5114"/>
      <c r="Q5114"/>
      <c r="R5114"/>
    </row>
    <row r="5115" spans="14:18" x14ac:dyDescent="0.25">
      <c r="N5115"/>
      <c r="O5115"/>
      <c r="P5115"/>
      <c r="Q5115"/>
      <c r="R5115"/>
    </row>
    <row r="5116" spans="14:18" x14ac:dyDescent="0.25">
      <c r="N5116"/>
      <c r="O5116"/>
      <c r="P5116"/>
      <c r="Q5116"/>
      <c r="R5116"/>
    </row>
    <row r="5117" spans="14:18" x14ac:dyDescent="0.25">
      <c r="N5117"/>
      <c r="O5117"/>
      <c r="P5117"/>
      <c r="Q5117"/>
      <c r="R5117"/>
    </row>
    <row r="5118" spans="14:18" x14ac:dyDescent="0.25">
      <c r="N5118"/>
      <c r="O5118"/>
      <c r="P5118"/>
      <c r="Q5118"/>
      <c r="R5118"/>
    </row>
    <row r="5119" spans="14:18" x14ac:dyDescent="0.25">
      <c r="N5119"/>
      <c r="O5119"/>
      <c r="P5119"/>
      <c r="Q5119"/>
      <c r="R5119"/>
    </row>
    <row r="5120" spans="14:18" x14ac:dyDescent="0.25">
      <c r="N5120"/>
      <c r="O5120"/>
      <c r="P5120"/>
      <c r="Q5120"/>
      <c r="R5120"/>
    </row>
    <row r="5121" spans="14:18" x14ac:dyDescent="0.25">
      <c r="N5121"/>
      <c r="O5121"/>
      <c r="P5121"/>
      <c r="Q5121"/>
      <c r="R5121"/>
    </row>
    <row r="5122" spans="14:18" x14ac:dyDescent="0.25">
      <c r="N5122"/>
      <c r="O5122"/>
      <c r="P5122"/>
      <c r="Q5122"/>
      <c r="R5122"/>
    </row>
    <row r="5123" spans="14:18" x14ac:dyDescent="0.25">
      <c r="N5123"/>
      <c r="O5123"/>
      <c r="P5123"/>
      <c r="Q5123"/>
      <c r="R5123"/>
    </row>
    <row r="5124" spans="14:18" x14ac:dyDescent="0.25">
      <c r="N5124"/>
      <c r="O5124"/>
      <c r="P5124"/>
      <c r="Q5124"/>
      <c r="R5124"/>
    </row>
    <row r="5125" spans="14:18" x14ac:dyDescent="0.25">
      <c r="N5125"/>
      <c r="O5125"/>
      <c r="P5125"/>
      <c r="Q5125"/>
      <c r="R5125"/>
    </row>
    <row r="5126" spans="14:18" x14ac:dyDescent="0.25">
      <c r="N5126"/>
      <c r="O5126"/>
      <c r="P5126"/>
      <c r="Q5126"/>
      <c r="R5126"/>
    </row>
    <row r="5127" spans="14:18" x14ac:dyDescent="0.25">
      <c r="N5127"/>
      <c r="O5127"/>
      <c r="P5127"/>
      <c r="Q5127"/>
      <c r="R5127"/>
    </row>
    <row r="5128" spans="14:18" x14ac:dyDescent="0.25">
      <c r="N5128"/>
      <c r="O5128"/>
      <c r="P5128"/>
      <c r="Q5128"/>
      <c r="R5128"/>
    </row>
    <row r="5129" spans="14:18" x14ac:dyDescent="0.25">
      <c r="N5129"/>
      <c r="O5129"/>
      <c r="P5129"/>
      <c r="Q5129"/>
      <c r="R5129"/>
    </row>
    <row r="5130" spans="14:18" x14ac:dyDescent="0.25">
      <c r="N5130"/>
      <c r="O5130"/>
      <c r="P5130"/>
      <c r="Q5130"/>
      <c r="R5130"/>
    </row>
    <row r="5131" spans="14:18" x14ac:dyDescent="0.25">
      <c r="N5131"/>
      <c r="O5131"/>
      <c r="P5131"/>
      <c r="Q5131"/>
      <c r="R5131"/>
    </row>
    <row r="5132" spans="14:18" x14ac:dyDescent="0.25">
      <c r="N5132"/>
      <c r="O5132"/>
      <c r="P5132"/>
      <c r="Q5132"/>
      <c r="R5132"/>
    </row>
    <row r="5133" spans="14:18" x14ac:dyDescent="0.25">
      <c r="N5133"/>
      <c r="O5133"/>
      <c r="P5133"/>
      <c r="Q5133"/>
      <c r="R5133"/>
    </row>
    <row r="5134" spans="14:18" x14ac:dyDescent="0.25">
      <c r="N5134"/>
      <c r="O5134"/>
      <c r="P5134"/>
      <c r="Q5134"/>
      <c r="R5134"/>
    </row>
    <row r="5135" spans="14:18" x14ac:dyDescent="0.25">
      <c r="N5135"/>
      <c r="O5135"/>
      <c r="P5135"/>
      <c r="Q5135"/>
      <c r="R5135"/>
    </row>
    <row r="5136" spans="14:18" x14ac:dyDescent="0.25">
      <c r="N5136"/>
      <c r="O5136"/>
      <c r="P5136"/>
      <c r="Q5136"/>
      <c r="R5136"/>
    </row>
    <row r="5137" spans="14:18" x14ac:dyDescent="0.25">
      <c r="N5137"/>
      <c r="O5137"/>
      <c r="P5137"/>
      <c r="Q5137"/>
      <c r="R5137"/>
    </row>
    <row r="5138" spans="14:18" x14ac:dyDescent="0.25">
      <c r="N5138"/>
      <c r="O5138"/>
      <c r="P5138"/>
      <c r="Q5138"/>
      <c r="R5138"/>
    </row>
    <row r="5139" spans="14:18" x14ac:dyDescent="0.25">
      <c r="N5139"/>
      <c r="O5139"/>
      <c r="P5139"/>
      <c r="Q5139"/>
      <c r="R5139"/>
    </row>
    <row r="5140" spans="14:18" x14ac:dyDescent="0.25">
      <c r="N5140"/>
      <c r="O5140"/>
      <c r="P5140"/>
      <c r="Q5140"/>
      <c r="R5140"/>
    </row>
    <row r="5141" spans="14:18" x14ac:dyDescent="0.25">
      <c r="N5141"/>
      <c r="O5141"/>
      <c r="P5141"/>
      <c r="Q5141"/>
      <c r="R5141"/>
    </row>
    <row r="5142" spans="14:18" x14ac:dyDescent="0.25">
      <c r="N5142"/>
      <c r="O5142"/>
      <c r="P5142"/>
      <c r="Q5142"/>
      <c r="R5142"/>
    </row>
    <row r="5143" spans="14:18" x14ac:dyDescent="0.25">
      <c r="N5143"/>
      <c r="O5143"/>
      <c r="P5143"/>
      <c r="Q5143"/>
      <c r="R5143"/>
    </row>
    <row r="5144" spans="14:18" x14ac:dyDescent="0.25">
      <c r="N5144"/>
      <c r="O5144"/>
      <c r="P5144"/>
      <c r="Q5144"/>
      <c r="R5144"/>
    </row>
    <row r="5145" spans="14:18" x14ac:dyDescent="0.25">
      <c r="N5145"/>
      <c r="O5145"/>
      <c r="P5145"/>
      <c r="Q5145"/>
      <c r="R5145"/>
    </row>
    <row r="5146" spans="14:18" x14ac:dyDescent="0.25">
      <c r="N5146"/>
      <c r="O5146"/>
      <c r="P5146"/>
      <c r="Q5146"/>
      <c r="R5146"/>
    </row>
    <row r="5147" spans="14:18" x14ac:dyDescent="0.25">
      <c r="N5147"/>
      <c r="O5147"/>
      <c r="P5147"/>
      <c r="Q5147"/>
      <c r="R5147"/>
    </row>
    <row r="5148" spans="14:18" x14ac:dyDescent="0.25">
      <c r="N5148"/>
      <c r="O5148"/>
      <c r="P5148"/>
      <c r="Q5148"/>
      <c r="R5148"/>
    </row>
    <row r="5149" spans="14:18" x14ac:dyDescent="0.25">
      <c r="N5149"/>
      <c r="O5149"/>
      <c r="P5149"/>
      <c r="Q5149"/>
      <c r="R5149"/>
    </row>
    <row r="5150" spans="14:18" x14ac:dyDescent="0.25">
      <c r="N5150"/>
      <c r="O5150"/>
      <c r="P5150"/>
      <c r="Q5150"/>
      <c r="R5150"/>
    </row>
    <row r="5151" spans="14:18" x14ac:dyDescent="0.25">
      <c r="N5151"/>
      <c r="O5151"/>
      <c r="P5151"/>
      <c r="Q5151"/>
      <c r="R5151"/>
    </row>
    <row r="5152" spans="14:18" x14ac:dyDescent="0.25">
      <c r="N5152"/>
      <c r="O5152"/>
      <c r="P5152"/>
      <c r="Q5152"/>
      <c r="R5152"/>
    </row>
    <row r="5153" spans="14:18" x14ac:dyDescent="0.25">
      <c r="N5153"/>
      <c r="O5153"/>
      <c r="P5153"/>
      <c r="Q5153"/>
      <c r="R5153"/>
    </row>
    <row r="5154" spans="14:18" x14ac:dyDescent="0.25">
      <c r="N5154"/>
      <c r="O5154"/>
      <c r="P5154"/>
      <c r="Q5154"/>
      <c r="R5154"/>
    </row>
    <row r="5155" spans="14:18" x14ac:dyDescent="0.25">
      <c r="N5155"/>
      <c r="O5155"/>
      <c r="P5155"/>
      <c r="Q5155"/>
      <c r="R5155"/>
    </row>
    <row r="5156" spans="14:18" x14ac:dyDescent="0.25">
      <c r="N5156"/>
      <c r="O5156"/>
      <c r="P5156"/>
      <c r="Q5156"/>
      <c r="R5156"/>
    </row>
    <row r="5157" spans="14:18" x14ac:dyDescent="0.25">
      <c r="N5157"/>
      <c r="O5157"/>
      <c r="P5157"/>
      <c r="Q5157"/>
      <c r="R5157"/>
    </row>
    <row r="5158" spans="14:18" x14ac:dyDescent="0.25">
      <c r="N5158"/>
      <c r="O5158"/>
      <c r="P5158"/>
      <c r="Q5158"/>
      <c r="R5158"/>
    </row>
    <row r="5159" spans="14:18" x14ac:dyDescent="0.25">
      <c r="N5159"/>
      <c r="O5159"/>
      <c r="P5159"/>
      <c r="Q5159"/>
      <c r="R5159"/>
    </row>
    <row r="5160" spans="14:18" x14ac:dyDescent="0.25">
      <c r="N5160"/>
      <c r="O5160"/>
      <c r="P5160"/>
      <c r="Q5160"/>
      <c r="R5160"/>
    </row>
    <row r="5161" spans="14:18" x14ac:dyDescent="0.25">
      <c r="N5161"/>
      <c r="O5161"/>
      <c r="P5161"/>
      <c r="Q5161"/>
      <c r="R5161"/>
    </row>
    <row r="5162" spans="14:18" x14ac:dyDescent="0.25">
      <c r="N5162"/>
      <c r="O5162"/>
      <c r="P5162"/>
      <c r="Q5162"/>
      <c r="R5162"/>
    </row>
    <row r="5163" spans="14:18" x14ac:dyDescent="0.25">
      <c r="N5163"/>
      <c r="O5163"/>
      <c r="P5163"/>
      <c r="Q5163"/>
      <c r="R5163"/>
    </row>
    <row r="5164" spans="14:18" x14ac:dyDescent="0.25">
      <c r="N5164"/>
      <c r="O5164"/>
      <c r="P5164"/>
      <c r="Q5164"/>
      <c r="R5164"/>
    </row>
    <row r="5165" spans="14:18" x14ac:dyDescent="0.25">
      <c r="N5165"/>
      <c r="O5165"/>
      <c r="P5165"/>
      <c r="Q5165"/>
      <c r="R5165"/>
    </row>
    <row r="5166" spans="14:18" x14ac:dyDescent="0.25">
      <c r="N5166"/>
      <c r="O5166"/>
      <c r="P5166"/>
      <c r="Q5166"/>
      <c r="R5166"/>
    </row>
    <row r="5167" spans="14:18" x14ac:dyDescent="0.25">
      <c r="N5167"/>
      <c r="O5167"/>
      <c r="P5167"/>
      <c r="Q5167"/>
      <c r="R5167"/>
    </row>
    <row r="5168" spans="14:18" x14ac:dyDescent="0.25">
      <c r="N5168"/>
      <c r="O5168"/>
      <c r="P5168"/>
      <c r="Q5168"/>
      <c r="R5168"/>
    </row>
    <row r="5169" spans="14:18" x14ac:dyDescent="0.25">
      <c r="N5169"/>
      <c r="O5169"/>
      <c r="P5169"/>
      <c r="Q5169"/>
      <c r="R5169"/>
    </row>
    <row r="5170" spans="14:18" x14ac:dyDescent="0.25">
      <c r="N5170"/>
      <c r="O5170"/>
      <c r="P5170"/>
      <c r="Q5170"/>
      <c r="R5170"/>
    </row>
    <row r="5171" spans="14:18" x14ac:dyDescent="0.25">
      <c r="N5171"/>
      <c r="O5171"/>
      <c r="P5171"/>
      <c r="Q5171"/>
      <c r="R5171"/>
    </row>
    <row r="5172" spans="14:18" x14ac:dyDescent="0.25">
      <c r="N5172"/>
      <c r="O5172"/>
      <c r="P5172"/>
      <c r="Q5172"/>
      <c r="R5172"/>
    </row>
    <row r="5173" spans="14:18" x14ac:dyDescent="0.25">
      <c r="N5173"/>
      <c r="O5173"/>
      <c r="P5173"/>
      <c r="Q5173"/>
      <c r="R5173"/>
    </row>
    <row r="5174" spans="14:18" x14ac:dyDescent="0.25">
      <c r="N5174"/>
      <c r="O5174"/>
      <c r="P5174"/>
      <c r="Q5174"/>
      <c r="R5174"/>
    </row>
    <row r="5175" spans="14:18" x14ac:dyDescent="0.25">
      <c r="N5175"/>
      <c r="O5175"/>
      <c r="P5175"/>
      <c r="Q5175"/>
      <c r="R5175"/>
    </row>
    <row r="5176" spans="14:18" x14ac:dyDescent="0.25">
      <c r="N5176"/>
      <c r="O5176"/>
      <c r="P5176"/>
      <c r="Q5176"/>
      <c r="R5176"/>
    </row>
    <row r="5177" spans="14:18" x14ac:dyDescent="0.25">
      <c r="N5177"/>
      <c r="O5177"/>
      <c r="P5177"/>
      <c r="Q5177"/>
      <c r="R5177"/>
    </row>
    <row r="5178" spans="14:18" x14ac:dyDescent="0.25">
      <c r="N5178"/>
      <c r="O5178"/>
      <c r="P5178"/>
      <c r="Q5178"/>
      <c r="R5178"/>
    </row>
    <row r="5179" spans="14:18" x14ac:dyDescent="0.25">
      <c r="N5179"/>
      <c r="O5179"/>
      <c r="P5179"/>
      <c r="Q5179"/>
      <c r="R5179"/>
    </row>
    <row r="5180" spans="14:18" x14ac:dyDescent="0.25">
      <c r="N5180"/>
      <c r="O5180"/>
      <c r="P5180"/>
      <c r="Q5180"/>
      <c r="R5180"/>
    </row>
    <row r="5181" spans="14:18" x14ac:dyDescent="0.25">
      <c r="N5181"/>
      <c r="O5181"/>
      <c r="P5181"/>
      <c r="Q5181"/>
      <c r="R5181"/>
    </row>
    <row r="5182" spans="14:18" x14ac:dyDescent="0.25">
      <c r="N5182"/>
      <c r="O5182"/>
      <c r="P5182"/>
      <c r="Q5182"/>
      <c r="R5182"/>
    </row>
    <row r="5183" spans="14:18" x14ac:dyDescent="0.25">
      <c r="N5183"/>
      <c r="O5183"/>
      <c r="P5183"/>
      <c r="Q5183"/>
      <c r="R5183"/>
    </row>
    <row r="5184" spans="14:18" x14ac:dyDescent="0.25">
      <c r="N5184"/>
      <c r="O5184"/>
      <c r="P5184"/>
      <c r="Q5184"/>
      <c r="R5184"/>
    </row>
    <row r="5185" spans="14:18" x14ac:dyDescent="0.25">
      <c r="N5185"/>
      <c r="O5185"/>
      <c r="P5185"/>
      <c r="Q5185"/>
      <c r="R5185"/>
    </row>
    <row r="5186" spans="14:18" x14ac:dyDescent="0.25">
      <c r="N5186"/>
      <c r="O5186"/>
      <c r="P5186"/>
      <c r="Q5186"/>
      <c r="R5186"/>
    </row>
    <row r="5187" spans="14:18" x14ac:dyDescent="0.25">
      <c r="N5187"/>
      <c r="O5187"/>
      <c r="P5187"/>
      <c r="Q5187"/>
      <c r="R5187"/>
    </row>
    <row r="5188" spans="14:18" x14ac:dyDescent="0.25">
      <c r="N5188"/>
      <c r="O5188"/>
      <c r="P5188"/>
      <c r="Q5188"/>
      <c r="R5188"/>
    </row>
    <row r="5189" spans="14:18" x14ac:dyDescent="0.25">
      <c r="N5189"/>
      <c r="O5189"/>
      <c r="P5189"/>
      <c r="Q5189"/>
      <c r="R5189"/>
    </row>
    <row r="5190" spans="14:18" x14ac:dyDescent="0.25">
      <c r="N5190"/>
      <c r="O5190"/>
      <c r="P5190"/>
      <c r="Q5190"/>
      <c r="R5190"/>
    </row>
    <row r="5191" spans="14:18" x14ac:dyDescent="0.25">
      <c r="N5191"/>
      <c r="O5191"/>
      <c r="P5191"/>
      <c r="Q5191"/>
      <c r="R5191"/>
    </row>
    <row r="5192" spans="14:18" x14ac:dyDescent="0.25">
      <c r="N5192"/>
      <c r="O5192"/>
      <c r="P5192"/>
      <c r="Q5192"/>
      <c r="R5192"/>
    </row>
    <row r="5193" spans="14:18" x14ac:dyDescent="0.25">
      <c r="N5193"/>
      <c r="O5193"/>
      <c r="P5193"/>
      <c r="Q5193"/>
      <c r="R5193"/>
    </row>
    <row r="5194" spans="14:18" x14ac:dyDescent="0.25">
      <c r="N5194"/>
      <c r="O5194"/>
      <c r="P5194"/>
      <c r="Q5194"/>
      <c r="R5194"/>
    </row>
    <row r="5195" spans="14:18" x14ac:dyDescent="0.25">
      <c r="N5195"/>
      <c r="O5195"/>
      <c r="P5195"/>
      <c r="Q5195"/>
      <c r="R5195"/>
    </row>
    <row r="5196" spans="14:18" x14ac:dyDescent="0.25">
      <c r="N5196"/>
      <c r="O5196"/>
      <c r="P5196"/>
      <c r="Q5196"/>
      <c r="R5196"/>
    </row>
    <row r="5197" spans="14:18" x14ac:dyDescent="0.25">
      <c r="N5197"/>
      <c r="O5197"/>
      <c r="P5197"/>
      <c r="Q5197"/>
      <c r="R5197"/>
    </row>
    <row r="5198" spans="14:18" x14ac:dyDescent="0.25">
      <c r="N5198"/>
      <c r="O5198"/>
      <c r="P5198"/>
      <c r="Q5198"/>
      <c r="R5198"/>
    </row>
    <row r="5199" spans="14:18" x14ac:dyDescent="0.25">
      <c r="N5199"/>
      <c r="O5199"/>
      <c r="P5199"/>
      <c r="Q5199"/>
      <c r="R5199"/>
    </row>
    <row r="5200" spans="14:18" x14ac:dyDescent="0.25">
      <c r="N5200"/>
      <c r="O5200"/>
      <c r="P5200"/>
      <c r="Q5200"/>
      <c r="R5200"/>
    </row>
    <row r="5201" spans="14:18" x14ac:dyDescent="0.25">
      <c r="N5201"/>
      <c r="O5201"/>
      <c r="P5201"/>
      <c r="Q5201"/>
      <c r="R5201"/>
    </row>
    <row r="5202" spans="14:18" x14ac:dyDescent="0.25">
      <c r="N5202"/>
      <c r="O5202"/>
      <c r="P5202"/>
      <c r="Q5202"/>
      <c r="R5202"/>
    </row>
    <row r="5203" spans="14:18" x14ac:dyDescent="0.25">
      <c r="N5203"/>
      <c r="O5203"/>
      <c r="P5203"/>
      <c r="Q5203"/>
      <c r="R5203"/>
    </row>
    <row r="5204" spans="14:18" x14ac:dyDescent="0.25">
      <c r="N5204"/>
      <c r="O5204"/>
      <c r="P5204"/>
      <c r="Q5204"/>
      <c r="R5204"/>
    </row>
    <row r="5205" spans="14:18" x14ac:dyDescent="0.25">
      <c r="N5205"/>
      <c r="O5205"/>
      <c r="P5205"/>
      <c r="Q5205"/>
      <c r="R5205"/>
    </row>
    <row r="5206" spans="14:18" x14ac:dyDescent="0.25">
      <c r="N5206"/>
      <c r="O5206"/>
      <c r="P5206"/>
      <c r="Q5206"/>
      <c r="R5206"/>
    </row>
    <row r="5207" spans="14:18" x14ac:dyDescent="0.25">
      <c r="N5207"/>
      <c r="O5207"/>
      <c r="P5207"/>
      <c r="Q5207"/>
      <c r="R5207"/>
    </row>
    <row r="5208" spans="14:18" x14ac:dyDescent="0.25">
      <c r="N5208"/>
      <c r="O5208"/>
      <c r="P5208"/>
      <c r="Q5208"/>
      <c r="R5208"/>
    </row>
    <row r="5209" spans="14:18" x14ac:dyDescent="0.25">
      <c r="N5209"/>
      <c r="O5209"/>
      <c r="P5209"/>
      <c r="Q5209"/>
      <c r="R5209"/>
    </row>
    <row r="5210" spans="14:18" x14ac:dyDescent="0.25">
      <c r="N5210"/>
      <c r="O5210"/>
      <c r="P5210"/>
      <c r="Q5210"/>
      <c r="R5210"/>
    </row>
    <row r="5211" spans="14:18" x14ac:dyDescent="0.25">
      <c r="N5211"/>
      <c r="O5211"/>
      <c r="P5211"/>
      <c r="Q5211"/>
      <c r="R5211"/>
    </row>
    <row r="5212" spans="14:18" x14ac:dyDescent="0.25">
      <c r="N5212"/>
      <c r="O5212"/>
      <c r="P5212"/>
      <c r="Q5212"/>
      <c r="R5212"/>
    </row>
    <row r="5213" spans="14:18" x14ac:dyDescent="0.25">
      <c r="N5213"/>
      <c r="O5213"/>
      <c r="P5213"/>
      <c r="Q5213"/>
      <c r="R5213"/>
    </row>
    <row r="5214" spans="14:18" x14ac:dyDescent="0.25">
      <c r="N5214"/>
      <c r="O5214"/>
      <c r="P5214"/>
      <c r="Q5214"/>
      <c r="R5214"/>
    </row>
    <row r="5215" spans="14:18" x14ac:dyDescent="0.25">
      <c r="N5215"/>
      <c r="O5215"/>
      <c r="P5215"/>
      <c r="Q5215"/>
      <c r="R5215"/>
    </row>
    <row r="5216" spans="14:18" x14ac:dyDescent="0.25">
      <c r="N5216"/>
      <c r="O5216"/>
      <c r="P5216"/>
      <c r="Q5216"/>
      <c r="R5216"/>
    </row>
    <row r="5217" spans="14:18" x14ac:dyDescent="0.25">
      <c r="N5217"/>
      <c r="O5217"/>
      <c r="P5217"/>
      <c r="Q5217"/>
      <c r="R5217"/>
    </row>
    <row r="5218" spans="14:18" x14ac:dyDescent="0.25">
      <c r="N5218"/>
      <c r="O5218"/>
      <c r="P5218"/>
      <c r="Q5218"/>
      <c r="R5218"/>
    </row>
    <row r="5219" spans="14:18" x14ac:dyDescent="0.25">
      <c r="N5219"/>
      <c r="O5219"/>
      <c r="P5219"/>
      <c r="Q5219"/>
      <c r="R5219"/>
    </row>
    <row r="5220" spans="14:18" x14ac:dyDescent="0.25">
      <c r="N5220"/>
      <c r="O5220"/>
      <c r="P5220"/>
      <c r="Q5220"/>
      <c r="R5220"/>
    </row>
    <row r="5221" spans="14:18" x14ac:dyDescent="0.25">
      <c r="N5221"/>
      <c r="O5221"/>
      <c r="P5221"/>
      <c r="Q5221"/>
      <c r="R5221"/>
    </row>
    <row r="5222" spans="14:18" x14ac:dyDescent="0.25">
      <c r="N5222"/>
      <c r="O5222"/>
      <c r="P5222"/>
      <c r="Q5222"/>
      <c r="R5222"/>
    </row>
    <row r="5223" spans="14:18" x14ac:dyDescent="0.25">
      <c r="N5223"/>
      <c r="O5223"/>
      <c r="P5223"/>
      <c r="Q5223"/>
      <c r="R5223"/>
    </row>
    <row r="5224" spans="14:18" x14ac:dyDescent="0.25">
      <c r="N5224"/>
      <c r="O5224"/>
      <c r="P5224"/>
      <c r="Q5224"/>
      <c r="R5224"/>
    </row>
    <row r="5225" spans="14:18" x14ac:dyDescent="0.25">
      <c r="N5225"/>
      <c r="O5225"/>
      <c r="P5225"/>
      <c r="Q5225"/>
      <c r="R5225"/>
    </row>
    <row r="5226" spans="14:18" x14ac:dyDescent="0.25">
      <c r="N5226"/>
      <c r="O5226"/>
      <c r="P5226"/>
      <c r="Q5226"/>
      <c r="R5226"/>
    </row>
    <row r="5227" spans="14:18" x14ac:dyDescent="0.25">
      <c r="N5227"/>
      <c r="O5227"/>
      <c r="P5227"/>
      <c r="Q5227"/>
      <c r="R5227"/>
    </row>
    <row r="5228" spans="14:18" x14ac:dyDescent="0.25">
      <c r="N5228"/>
      <c r="O5228"/>
      <c r="P5228"/>
      <c r="Q5228"/>
      <c r="R5228"/>
    </row>
    <row r="5229" spans="14:18" x14ac:dyDescent="0.25">
      <c r="N5229"/>
      <c r="O5229"/>
      <c r="P5229"/>
      <c r="Q5229"/>
      <c r="R5229"/>
    </row>
    <row r="5230" spans="14:18" x14ac:dyDescent="0.25">
      <c r="N5230"/>
      <c r="O5230"/>
      <c r="P5230"/>
      <c r="Q5230"/>
      <c r="R5230"/>
    </row>
    <row r="5231" spans="14:18" x14ac:dyDescent="0.25">
      <c r="N5231"/>
      <c r="O5231"/>
      <c r="P5231"/>
      <c r="Q5231"/>
      <c r="R5231"/>
    </row>
    <row r="5232" spans="14:18" x14ac:dyDescent="0.25">
      <c r="N5232"/>
      <c r="O5232"/>
      <c r="P5232"/>
      <c r="Q5232"/>
      <c r="R5232"/>
    </row>
    <row r="5233" spans="14:18" x14ac:dyDescent="0.25">
      <c r="N5233"/>
      <c r="O5233"/>
      <c r="P5233"/>
      <c r="Q5233"/>
      <c r="R5233"/>
    </row>
    <row r="5234" spans="14:18" x14ac:dyDescent="0.25">
      <c r="N5234"/>
      <c r="O5234"/>
      <c r="P5234"/>
      <c r="Q5234"/>
      <c r="R5234"/>
    </row>
    <row r="5235" spans="14:18" x14ac:dyDescent="0.25">
      <c r="N5235"/>
      <c r="O5235"/>
      <c r="P5235"/>
      <c r="Q5235"/>
      <c r="R5235"/>
    </row>
    <row r="5236" spans="14:18" x14ac:dyDescent="0.25">
      <c r="N5236"/>
      <c r="O5236"/>
      <c r="P5236"/>
      <c r="Q5236"/>
      <c r="R5236"/>
    </row>
    <row r="5237" spans="14:18" x14ac:dyDescent="0.25">
      <c r="N5237"/>
      <c r="O5237"/>
      <c r="P5237"/>
      <c r="Q5237"/>
      <c r="R5237"/>
    </row>
    <row r="5238" spans="14:18" x14ac:dyDescent="0.25">
      <c r="N5238"/>
      <c r="O5238"/>
      <c r="P5238"/>
      <c r="Q5238"/>
      <c r="R5238"/>
    </row>
    <row r="5239" spans="14:18" x14ac:dyDescent="0.25">
      <c r="N5239"/>
      <c r="O5239"/>
      <c r="P5239"/>
      <c r="Q5239"/>
      <c r="R5239"/>
    </row>
    <row r="5240" spans="14:18" x14ac:dyDescent="0.25">
      <c r="N5240"/>
      <c r="O5240"/>
      <c r="P5240"/>
      <c r="Q5240"/>
      <c r="R5240"/>
    </row>
    <row r="5241" spans="14:18" x14ac:dyDescent="0.25">
      <c r="N5241"/>
      <c r="O5241"/>
      <c r="P5241"/>
      <c r="Q5241"/>
      <c r="R5241"/>
    </row>
    <row r="5242" spans="14:18" x14ac:dyDescent="0.25">
      <c r="N5242"/>
      <c r="O5242"/>
      <c r="P5242"/>
      <c r="Q5242"/>
      <c r="R5242"/>
    </row>
    <row r="5243" spans="14:18" x14ac:dyDescent="0.25">
      <c r="N5243"/>
      <c r="O5243"/>
      <c r="P5243"/>
      <c r="Q5243"/>
      <c r="R5243"/>
    </row>
    <row r="5244" spans="14:18" x14ac:dyDescent="0.25">
      <c r="N5244"/>
      <c r="O5244"/>
      <c r="P5244"/>
      <c r="Q5244"/>
      <c r="R5244"/>
    </row>
    <row r="5245" spans="14:18" x14ac:dyDescent="0.25">
      <c r="N5245"/>
      <c r="O5245"/>
      <c r="P5245"/>
      <c r="Q5245"/>
      <c r="R5245"/>
    </row>
    <row r="5246" spans="14:18" x14ac:dyDescent="0.25">
      <c r="N5246"/>
      <c r="O5246"/>
      <c r="P5246"/>
      <c r="Q5246"/>
      <c r="R5246"/>
    </row>
    <row r="5247" spans="14:18" x14ac:dyDescent="0.25">
      <c r="N5247"/>
      <c r="O5247"/>
      <c r="P5247"/>
      <c r="Q5247"/>
      <c r="R5247"/>
    </row>
    <row r="5248" spans="14:18" x14ac:dyDescent="0.25">
      <c r="N5248"/>
      <c r="O5248"/>
      <c r="P5248"/>
      <c r="Q5248"/>
      <c r="R5248"/>
    </row>
    <row r="5249" spans="14:18" x14ac:dyDescent="0.25">
      <c r="N5249"/>
      <c r="O5249"/>
      <c r="P5249"/>
      <c r="Q5249"/>
      <c r="R5249"/>
    </row>
    <row r="5250" spans="14:18" x14ac:dyDescent="0.25">
      <c r="N5250"/>
      <c r="O5250"/>
      <c r="P5250"/>
      <c r="Q5250"/>
      <c r="R5250"/>
    </row>
    <row r="5251" spans="14:18" x14ac:dyDescent="0.25">
      <c r="N5251"/>
      <c r="O5251"/>
      <c r="P5251"/>
      <c r="Q5251"/>
      <c r="R5251"/>
    </row>
    <row r="5252" spans="14:18" x14ac:dyDescent="0.25">
      <c r="N5252"/>
      <c r="O5252"/>
      <c r="P5252"/>
      <c r="Q5252"/>
      <c r="R5252"/>
    </row>
    <row r="5253" spans="14:18" x14ac:dyDescent="0.25">
      <c r="N5253"/>
      <c r="O5253"/>
      <c r="P5253"/>
      <c r="Q5253"/>
      <c r="R5253"/>
    </row>
    <row r="5254" spans="14:18" x14ac:dyDescent="0.25">
      <c r="N5254"/>
      <c r="O5254"/>
      <c r="P5254"/>
      <c r="Q5254"/>
      <c r="R5254"/>
    </row>
    <row r="5255" spans="14:18" x14ac:dyDescent="0.25">
      <c r="N5255"/>
      <c r="O5255"/>
      <c r="P5255"/>
      <c r="Q5255"/>
      <c r="R5255"/>
    </row>
    <row r="5256" spans="14:18" x14ac:dyDescent="0.25">
      <c r="N5256"/>
      <c r="O5256"/>
      <c r="P5256"/>
      <c r="Q5256"/>
      <c r="R5256"/>
    </row>
    <row r="5257" spans="14:18" x14ac:dyDescent="0.25">
      <c r="N5257"/>
      <c r="O5257"/>
      <c r="P5257"/>
      <c r="Q5257"/>
      <c r="R5257"/>
    </row>
    <row r="5258" spans="14:18" x14ac:dyDescent="0.25">
      <c r="N5258"/>
      <c r="O5258"/>
      <c r="P5258"/>
      <c r="Q5258"/>
      <c r="R5258"/>
    </row>
    <row r="5259" spans="14:18" x14ac:dyDescent="0.25">
      <c r="N5259"/>
      <c r="O5259"/>
      <c r="P5259"/>
      <c r="Q5259"/>
      <c r="R5259"/>
    </row>
    <row r="5260" spans="14:18" x14ac:dyDescent="0.25">
      <c r="N5260"/>
      <c r="O5260"/>
      <c r="P5260"/>
      <c r="Q5260"/>
      <c r="R5260"/>
    </row>
    <row r="5261" spans="14:18" x14ac:dyDescent="0.25">
      <c r="N5261"/>
      <c r="O5261"/>
      <c r="P5261"/>
      <c r="Q5261"/>
      <c r="R5261"/>
    </row>
    <row r="5262" spans="14:18" x14ac:dyDescent="0.25">
      <c r="N5262"/>
      <c r="O5262"/>
      <c r="P5262"/>
      <c r="Q5262"/>
      <c r="R5262"/>
    </row>
    <row r="5263" spans="14:18" x14ac:dyDescent="0.25">
      <c r="N5263"/>
      <c r="O5263"/>
      <c r="P5263"/>
      <c r="Q5263"/>
      <c r="R5263"/>
    </row>
    <row r="5264" spans="14:18" x14ac:dyDescent="0.25">
      <c r="N5264"/>
      <c r="O5264"/>
      <c r="P5264"/>
      <c r="Q5264"/>
      <c r="R5264"/>
    </row>
    <row r="5265" spans="14:18" x14ac:dyDescent="0.25">
      <c r="N5265"/>
      <c r="O5265"/>
      <c r="P5265"/>
      <c r="Q5265"/>
      <c r="R5265"/>
    </row>
    <row r="5266" spans="14:18" x14ac:dyDescent="0.25">
      <c r="N5266"/>
      <c r="O5266"/>
      <c r="P5266"/>
      <c r="Q5266"/>
      <c r="R5266"/>
    </row>
    <row r="5267" spans="14:18" x14ac:dyDescent="0.25">
      <c r="N5267"/>
      <c r="O5267"/>
      <c r="P5267"/>
      <c r="Q5267"/>
      <c r="R5267"/>
    </row>
    <row r="5268" spans="14:18" x14ac:dyDescent="0.25">
      <c r="N5268"/>
      <c r="O5268"/>
      <c r="P5268"/>
      <c r="Q5268"/>
      <c r="R5268"/>
    </row>
    <row r="5269" spans="14:18" x14ac:dyDescent="0.25">
      <c r="N5269"/>
      <c r="O5269"/>
      <c r="P5269"/>
      <c r="Q5269"/>
      <c r="R5269"/>
    </row>
    <row r="5270" spans="14:18" x14ac:dyDescent="0.25">
      <c r="N5270"/>
      <c r="O5270"/>
      <c r="P5270"/>
      <c r="Q5270"/>
      <c r="R5270"/>
    </row>
    <row r="5271" spans="14:18" x14ac:dyDescent="0.25">
      <c r="N5271"/>
      <c r="O5271"/>
      <c r="P5271"/>
      <c r="Q5271"/>
      <c r="R5271"/>
    </row>
    <row r="5272" spans="14:18" x14ac:dyDescent="0.25">
      <c r="N5272"/>
      <c r="O5272"/>
      <c r="P5272"/>
      <c r="Q5272"/>
      <c r="R5272"/>
    </row>
    <row r="5273" spans="14:18" x14ac:dyDescent="0.25">
      <c r="N5273"/>
      <c r="O5273"/>
      <c r="P5273"/>
      <c r="Q5273"/>
      <c r="R5273"/>
    </row>
    <row r="5274" spans="14:18" x14ac:dyDescent="0.25">
      <c r="N5274"/>
      <c r="O5274"/>
      <c r="P5274"/>
      <c r="Q5274"/>
      <c r="R5274"/>
    </row>
    <row r="5275" spans="14:18" x14ac:dyDescent="0.25">
      <c r="N5275"/>
      <c r="O5275"/>
      <c r="P5275"/>
      <c r="Q5275"/>
      <c r="R5275"/>
    </row>
    <row r="5276" spans="14:18" x14ac:dyDescent="0.25">
      <c r="N5276"/>
      <c r="O5276"/>
      <c r="P5276"/>
      <c r="Q5276"/>
      <c r="R5276"/>
    </row>
    <row r="5277" spans="14:18" x14ac:dyDescent="0.25">
      <c r="N5277"/>
      <c r="O5277"/>
      <c r="P5277"/>
      <c r="Q5277"/>
      <c r="R5277"/>
    </row>
    <row r="5278" spans="14:18" x14ac:dyDescent="0.25">
      <c r="N5278"/>
      <c r="O5278"/>
      <c r="P5278"/>
      <c r="Q5278"/>
      <c r="R5278"/>
    </row>
    <row r="5279" spans="14:18" x14ac:dyDescent="0.25">
      <c r="N5279"/>
      <c r="O5279"/>
      <c r="P5279"/>
      <c r="Q5279"/>
      <c r="R5279"/>
    </row>
    <row r="5280" spans="14:18" x14ac:dyDescent="0.25">
      <c r="N5280"/>
      <c r="O5280"/>
      <c r="P5280"/>
      <c r="Q5280"/>
      <c r="R5280"/>
    </row>
    <row r="5281" spans="14:18" x14ac:dyDescent="0.25">
      <c r="N5281"/>
      <c r="O5281"/>
      <c r="P5281"/>
      <c r="Q5281"/>
      <c r="R5281"/>
    </row>
    <row r="5282" spans="14:18" x14ac:dyDescent="0.25">
      <c r="N5282"/>
      <c r="O5282"/>
      <c r="P5282"/>
      <c r="Q5282"/>
      <c r="R5282"/>
    </row>
    <row r="5283" spans="14:18" x14ac:dyDescent="0.25">
      <c r="N5283"/>
      <c r="O5283"/>
      <c r="P5283"/>
      <c r="Q5283"/>
      <c r="R5283"/>
    </row>
    <row r="5284" spans="14:18" x14ac:dyDescent="0.25">
      <c r="N5284"/>
      <c r="O5284"/>
      <c r="P5284"/>
      <c r="Q5284"/>
      <c r="R5284"/>
    </row>
    <row r="5285" spans="14:18" x14ac:dyDescent="0.25">
      <c r="N5285"/>
      <c r="O5285"/>
      <c r="P5285"/>
      <c r="Q5285"/>
      <c r="R5285"/>
    </row>
    <row r="5286" spans="14:18" x14ac:dyDescent="0.25">
      <c r="N5286"/>
      <c r="O5286"/>
      <c r="P5286"/>
      <c r="Q5286"/>
      <c r="R5286"/>
    </row>
    <row r="5287" spans="14:18" x14ac:dyDescent="0.25">
      <c r="N5287"/>
      <c r="O5287"/>
      <c r="P5287"/>
      <c r="Q5287"/>
      <c r="R5287"/>
    </row>
    <row r="5288" spans="14:18" x14ac:dyDescent="0.25">
      <c r="N5288"/>
      <c r="O5288"/>
      <c r="P5288"/>
      <c r="Q5288"/>
      <c r="R5288"/>
    </row>
    <row r="5289" spans="14:18" x14ac:dyDescent="0.25">
      <c r="N5289"/>
      <c r="O5289"/>
      <c r="P5289"/>
      <c r="Q5289"/>
      <c r="R5289"/>
    </row>
    <row r="5290" spans="14:18" x14ac:dyDescent="0.25">
      <c r="N5290"/>
      <c r="O5290"/>
      <c r="P5290"/>
      <c r="Q5290"/>
      <c r="R5290"/>
    </row>
    <row r="5291" spans="14:18" x14ac:dyDescent="0.25">
      <c r="N5291"/>
      <c r="O5291"/>
      <c r="P5291"/>
      <c r="Q5291"/>
      <c r="R5291"/>
    </row>
    <row r="5292" spans="14:18" x14ac:dyDescent="0.25">
      <c r="N5292"/>
      <c r="O5292"/>
      <c r="P5292"/>
      <c r="Q5292"/>
      <c r="R5292"/>
    </row>
    <row r="5293" spans="14:18" x14ac:dyDescent="0.25">
      <c r="N5293"/>
      <c r="O5293"/>
      <c r="P5293"/>
      <c r="Q5293"/>
      <c r="R5293"/>
    </row>
    <row r="5294" spans="14:18" x14ac:dyDescent="0.25">
      <c r="N5294"/>
      <c r="O5294"/>
      <c r="P5294"/>
      <c r="Q5294"/>
      <c r="R5294"/>
    </row>
    <row r="5295" spans="14:18" x14ac:dyDescent="0.25">
      <c r="N5295"/>
      <c r="O5295"/>
      <c r="P5295"/>
      <c r="Q5295"/>
      <c r="R5295"/>
    </row>
    <row r="5296" spans="14:18" x14ac:dyDescent="0.25">
      <c r="N5296"/>
      <c r="O5296"/>
      <c r="P5296"/>
      <c r="Q5296"/>
      <c r="R5296"/>
    </row>
    <row r="5297" spans="14:18" x14ac:dyDescent="0.25">
      <c r="N5297"/>
      <c r="O5297"/>
      <c r="P5297"/>
      <c r="Q5297"/>
      <c r="R5297"/>
    </row>
    <row r="5298" spans="14:18" x14ac:dyDescent="0.25">
      <c r="N5298"/>
      <c r="O5298"/>
      <c r="P5298"/>
      <c r="Q5298"/>
      <c r="R5298"/>
    </row>
    <row r="5299" spans="14:18" x14ac:dyDescent="0.25">
      <c r="N5299"/>
      <c r="O5299"/>
      <c r="P5299"/>
      <c r="Q5299"/>
      <c r="R5299"/>
    </row>
    <row r="5300" spans="14:18" x14ac:dyDescent="0.25">
      <c r="N5300"/>
      <c r="O5300"/>
      <c r="P5300"/>
      <c r="Q5300"/>
      <c r="R5300"/>
    </row>
    <row r="5301" spans="14:18" x14ac:dyDescent="0.25">
      <c r="N5301"/>
      <c r="O5301"/>
      <c r="P5301"/>
      <c r="Q5301"/>
      <c r="R5301"/>
    </row>
    <row r="5302" spans="14:18" x14ac:dyDescent="0.25">
      <c r="N5302"/>
      <c r="O5302"/>
      <c r="P5302"/>
      <c r="Q5302"/>
      <c r="R5302"/>
    </row>
    <row r="5303" spans="14:18" x14ac:dyDescent="0.25">
      <c r="N5303"/>
      <c r="O5303"/>
      <c r="P5303"/>
      <c r="Q5303"/>
      <c r="R5303"/>
    </row>
    <row r="5304" spans="14:18" x14ac:dyDescent="0.25">
      <c r="N5304"/>
      <c r="O5304"/>
      <c r="P5304"/>
      <c r="Q5304"/>
      <c r="R5304"/>
    </row>
    <row r="5305" spans="14:18" x14ac:dyDescent="0.25">
      <c r="N5305"/>
      <c r="O5305"/>
      <c r="P5305"/>
      <c r="Q5305"/>
      <c r="R5305"/>
    </row>
    <row r="5306" spans="14:18" x14ac:dyDescent="0.25">
      <c r="N5306"/>
      <c r="O5306"/>
      <c r="P5306"/>
      <c r="Q5306"/>
      <c r="R5306"/>
    </row>
    <row r="5307" spans="14:18" x14ac:dyDescent="0.25">
      <c r="N5307"/>
      <c r="O5307"/>
      <c r="P5307"/>
      <c r="Q5307"/>
      <c r="R5307"/>
    </row>
    <row r="5308" spans="14:18" x14ac:dyDescent="0.25">
      <c r="N5308"/>
      <c r="O5308"/>
      <c r="P5308"/>
      <c r="Q5308"/>
      <c r="R5308"/>
    </row>
    <row r="5309" spans="14:18" x14ac:dyDescent="0.25">
      <c r="N5309"/>
      <c r="O5309"/>
      <c r="P5309"/>
      <c r="Q5309"/>
      <c r="R5309"/>
    </row>
    <row r="5310" spans="14:18" x14ac:dyDescent="0.25">
      <c r="N5310"/>
      <c r="O5310"/>
      <c r="P5310"/>
      <c r="Q5310"/>
      <c r="R5310"/>
    </row>
    <row r="5311" spans="14:18" x14ac:dyDescent="0.25">
      <c r="N5311"/>
      <c r="O5311"/>
      <c r="P5311"/>
      <c r="Q5311"/>
      <c r="R5311"/>
    </row>
    <row r="5312" spans="14:18" x14ac:dyDescent="0.25">
      <c r="N5312"/>
      <c r="O5312"/>
      <c r="P5312"/>
      <c r="Q5312"/>
      <c r="R5312"/>
    </row>
    <row r="5313" spans="14:18" x14ac:dyDescent="0.25">
      <c r="N5313"/>
      <c r="O5313"/>
      <c r="P5313"/>
      <c r="Q5313"/>
      <c r="R5313"/>
    </row>
    <row r="5314" spans="14:18" x14ac:dyDescent="0.25">
      <c r="N5314"/>
      <c r="O5314"/>
      <c r="P5314"/>
      <c r="Q5314"/>
      <c r="R5314"/>
    </row>
    <row r="5315" spans="14:18" x14ac:dyDescent="0.25">
      <c r="N5315"/>
      <c r="O5315"/>
      <c r="P5315"/>
      <c r="Q5315"/>
      <c r="R5315"/>
    </row>
    <row r="5316" spans="14:18" x14ac:dyDescent="0.25">
      <c r="N5316"/>
      <c r="O5316"/>
      <c r="P5316"/>
      <c r="Q5316"/>
      <c r="R5316"/>
    </row>
    <row r="5317" spans="14:18" x14ac:dyDescent="0.25">
      <c r="N5317"/>
      <c r="O5317"/>
      <c r="P5317"/>
      <c r="Q5317"/>
      <c r="R5317"/>
    </row>
    <row r="5318" spans="14:18" x14ac:dyDescent="0.25">
      <c r="N5318"/>
      <c r="O5318"/>
      <c r="P5318"/>
      <c r="Q5318"/>
      <c r="R5318"/>
    </row>
    <row r="5319" spans="14:18" x14ac:dyDescent="0.25">
      <c r="N5319"/>
      <c r="O5319"/>
      <c r="P5319"/>
      <c r="Q5319"/>
      <c r="R5319"/>
    </row>
    <row r="5320" spans="14:18" x14ac:dyDescent="0.25">
      <c r="N5320"/>
      <c r="O5320"/>
      <c r="P5320"/>
      <c r="Q5320"/>
      <c r="R5320"/>
    </row>
    <row r="5321" spans="14:18" x14ac:dyDescent="0.25">
      <c r="N5321"/>
      <c r="O5321"/>
      <c r="P5321"/>
      <c r="Q5321"/>
      <c r="R5321"/>
    </row>
    <row r="5322" spans="14:18" x14ac:dyDescent="0.25">
      <c r="N5322"/>
      <c r="O5322"/>
      <c r="P5322"/>
      <c r="Q5322"/>
      <c r="R5322"/>
    </row>
    <row r="5323" spans="14:18" x14ac:dyDescent="0.25">
      <c r="N5323"/>
      <c r="O5323"/>
      <c r="P5323"/>
      <c r="Q5323"/>
      <c r="R5323"/>
    </row>
    <row r="5324" spans="14:18" x14ac:dyDescent="0.25">
      <c r="N5324"/>
      <c r="O5324"/>
      <c r="P5324"/>
      <c r="Q5324"/>
      <c r="R5324"/>
    </row>
    <row r="5325" spans="14:18" x14ac:dyDescent="0.25">
      <c r="N5325"/>
      <c r="O5325"/>
      <c r="P5325"/>
      <c r="Q5325"/>
      <c r="R5325"/>
    </row>
    <row r="5326" spans="14:18" x14ac:dyDescent="0.25">
      <c r="N5326"/>
      <c r="O5326"/>
      <c r="P5326"/>
      <c r="Q5326"/>
      <c r="R5326"/>
    </row>
    <row r="5327" spans="14:18" x14ac:dyDescent="0.25">
      <c r="N5327"/>
      <c r="O5327"/>
      <c r="P5327"/>
      <c r="Q5327"/>
      <c r="R5327"/>
    </row>
    <row r="5328" spans="14:18" x14ac:dyDescent="0.25">
      <c r="N5328"/>
      <c r="O5328"/>
      <c r="P5328"/>
      <c r="Q5328"/>
      <c r="R5328"/>
    </row>
    <row r="5329" spans="14:18" x14ac:dyDescent="0.25">
      <c r="N5329"/>
      <c r="O5329"/>
      <c r="P5329"/>
      <c r="Q5329"/>
      <c r="R5329"/>
    </row>
    <row r="5330" spans="14:18" x14ac:dyDescent="0.25">
      <c r="N5330"/>
      <c r="O5330"/>
      <c r="P5330"/>
      <c r="Q5330"/>
      <c r="R5330"/>
    </row>
    <row r="5331" spans="14:18" x14ac:dyDescent="0.25">
      <c r="N5331"/>
      <c r="O5331"/>
      <c r="P5331"/>
      <c r="Q5331"/>
      <c r="R5331"/>
    </row>
    <row r="5332" spans="14:18" x14ac:dyDescent="0.25">
      <c r="N5332"/>
      <c r="O5332"/>
      <c r="P5332"/>
      <c r="Q5332"/>
      <c r="R5332"/>
    </row>
    <row r="5333" spans="14:18" x14ac:dyDescent="0.25">
      <c r="N5333"/>
      <c r="O5333"/>
      <c r="P5333"/>
      <c r="Q5333"/>
      <c r="R5333"/>
    </row>
    <row r="5334" spans="14:18" x14ac:dyDescent="0.25">
      <c r="N5334"/>
      <c r="O5334"/>
      <c r="P5334"/>
      <c r="Q5334"/>
      <c r="R5334"/>
    </row>
    <row r="5335" spans="14:18" x14ac:dyDescent="0.25">
      <c r="N5335"/>
      <c r="O5335"/>
      <c r="P5335"/>
      <c r="Q5335"/>
      <c r="R5335"/>
    </row>
    <row r="5336" spans="14:18" x14ac:dyDescent="0.25">
      <c r="N5336"/>
      <c r="O5336"/>
      <c r="P5336"/>
      <c r="Q5336"/>
      <c r="R5336"/>
    </row>
    <row r="5337" spans="14:18" x14ac:dyDescent="0.25">
      <c r="N5337"/>
      <c r="O5337"/>
      <c r="P5337"/>
      <c r="Q5337"/>
      <c r="R5337"/>
    </row>
    <row r="5338" spans="14:18" x14ac:dyDescent="0.25">
      <c r="N5338"/>
      <c r="O5338"/>
      <c r="P5338"/>
      <c r="Q5338"/>
      <c r="R5338"/>
    </row>
    <row r="5339" spans="14:18" x14ac:dyDescent="0.25">
      <c r="N5339"/>
      <c r="O5339"/>
      <c r="P5339"/>
      <c r="Q5339"/>
      <c r="R5339"/>
    </row>
    <row r="5340" spans="14:18" x14ac:dyDescent="0.25">
      <c r="N5340"/>
      <c r="O5340"/>
      <c r="P5340"/>
      <c r="Q5340"/>
      <c r="R5340"/>
    </row>
    <row r="5341" spans="14:18" x14ac:dyDescent="0.25">
      <c r="N5341"/>
      <c r="O5341"/>
      <c r="P5341"/>
      <c r="Q5341"/>
      <c r="R5341"/>
    </row>
    <row r="5342" spans="14:18" x14ac:dyDescent="0.25">
      <c r="N5342"/>
      <c r="O5342"/>
      <c r="P5342"/>
      <c r="Q5342"/>
      <c r="R5342"/>
    </row>
    <row r="5343" spans="14:18" x14ac:dyDescent="0.25">
      <c r="N5343"/>
      <c r="O5343"/>
      <c r="P5343"/>
      <c r="Q5343"/>
      <c r="R5343"/>
    </row>
    <row r="5344" spans="14:18" x14ac:dyDescent="0.25">
      <c r="N5344"/>
      <c r="O5344"/>
      <c r="P5344"/>
      <c r="Q5344"/>
      <c r="R5344"/>
    </row>
    <row r="5345" spans="14:18" x14ac:dyDescent="0.25">
      <c r="N5345"/>
      <c r="O5345"/>
      <c r="P5345"/>
      <c r="Q5345"/>
      <c r="R5345"/>
    </row>
    <row r="5346" spans="14:18" x14ac:dyDescent="0.25">
      <c r="N5346"/>
      <c r="O5346"/>
      <c r="P5346"/>
      <c r="Q5346"/>
      <c r="R5346"/>
    </row>
    <row r="5347" spans="14:18" x14ac:dyDescent="0.25">
      <c r="N5347"/>
      <c r="O5347"/>
      <c r="P5347"/>
      <c r="Q5347"/>
      <c r="R5347"/>
    </row>
    <row r="5348" spans="14:18" x14ac:dyDescent="0.25">
      <c r="N5348"/>
      <c r="O5348"/>
      <c r="P5348"/>
      <c r="Q5348"/>
      <c r="R5348"/>
    </row>
    <row r="5349" spans="14:18" x14ac:dyDescent="0.25">
      <c r="N5349"/>
      <c r="O5349"/>
      <c r="P5349"/>
      <c r="Q5349"/>
      <c r="R5349"/>
    </row>
    <row r="5350" spans="14:18" x14ac:dyDescent="0.25">
      <c r="N5350"/>
      <c r="O5350"/>
      <c r="P5350"/>
      <c r="Q5350"/>
      <c r="R5350"/>
    </row>
    <row r="5351" spans="14:18" x14ac:dyDescent="0.25">
      <c r="N5351"/>
      <c r="O5351"/>
      <c r="P5351"/>
      <c r="Q5351"/>
      <c r="R5351"/>
    </row>
    <row r="5352" spans="14:18" x14ac:dyDescent="0.25">
      <c r="N5352"/>
      <c r="O5352"/>
      <c r="P5352"/>
      <c r="Q5352"/>
      <c r="R5352"/>
    </row>
    <row r="5353" spans="14:18" x14ac:dyDescent="0.25">
      <c r="N5353"/>
      <c r="O5353"/>
      <c r="P5353"/>
      <c r="Q5353"/>
      <c r="R5353"/>
    </row>
    <row r="5354" spans="14:18" x14ac:dyDescent="0.25">
      <c r="N5354"/>
      <c r="O5354"/>
      <c r="P5354"/>
      <c r="Q5354"/>
      <c r="R5354"/>
    </row>
    <row r="5355" spans="14:18" x14ac:dyDescent="0.25">
      <c r="N5355"/>
      <c r="O5355"/>
      <c r="P5355"/>
      <c r="Q5355"/>
      <c r="R5355"/>
    </row>
    <row r="5356" spans="14:18" x14ac:dyDescent="0.25">
      <c r="N5356"/>
      <c r="O5356"/>
      <c r="P5356"/>
      <c r="Q5356"/>
      <c r="R5356"/>
    </row>
    <row r="5357" spans="14:18" x14ac:dyDescent="0.25">
      <c r="N5357"/>
      <c r="O5357"/>
      <c r="P5357"/>
      <c r="Q5357"/>
      <c r="R5357"/>
    </row>
    <row r="5358" spans="14:18" x14ac:dyDescent="0.25">
      <c r="N5358"/>
      <c r="O5358"/>
      <c r="P5358"/>
      <c r="Q5358"/>
      <c r="R5358"/>
    </row>
    <row r="5359" spans="14:18" x14ac:dyDescent="0.25">
      <c r="N5359"/>
      <c r="O5359"/>
      <c r="P5359"/>
      <c r="Q5359"/>
      <c r="R5359"/>
    </row>
    <row r="5360" spans="14:18" x14ac:dyDescent="0.25">
      <c r="N5360"/>
      <c r="O5360"/>
      <c r="P5360"/>
      <c r="Q5360"/>
      <c r="R5360"/>
    </row>
    <row r="5361" spans="14:18" x14ac:dyDescent="0.25">
      <c r="N5361"/>
      <c r="O5361"/>
      <c r="P5361"/>
      <c r="Q5361"/>
      <c r="R5361"/>
    </row>
    <row r="5362" spans="14:18" x14ac:dyDescent="0.25">
      <c r="N5362"/>
      <c r="O5362"/>
      <c r="P5362"/>
      <c r="Q5362"/>
      <c r="R5362"/>
    </row>
    <row r="5363" spans="14:18" x14ac:dyDescent="0.25">
      <c r="N5363"/>
      <c r="O5363"/>
      <c r="P5363"/>
      <c r="Q5363"/>
      <c r="R5363"/>
    </row>
    <row r="5364" spans="14:18" x14ac:dyDescent="0.25">
      <c r="N5364"/>
      <c r="O5364"/>
      <c r="P5364"/>
      <c r="Q5364"/>
      <c r="R5364"/>
    </row>
    <row r="5365" spans="14:18" x14ac:dyDescent="0.25">
      <c r="N5365"/>
      <c r="O5365"/>
      <c r="P5365"/>
      <c r="Q5365"/>
      <c r="R5365"/>
    </row>
    <row r="5366" spans="14:18" x14ac:dyDescent="0.25">
      <c r="N5366"/>
      <c r="O5366"/>
      <c r="P5366"/>
      <c r="Q5366"/>
      <c r="R5366"/>
    </row>
    <row r="5367" spans="14:18" x14ac:dyDescent="0.25">
      <c r="N5367"/>
      <c r="O5367"/>
      <c r="P5367"/>
      <c r="Q5367"/>
      <c r="R5367"/>
    </row>
    <row r="5368" spans="14:18" x14ac:dyDescent="0.25">
      <c r="N5368"/>
      <c r="O5368"/>
      <c r="P5368"/>
      <c r="Q5368"/>
      <c r="R5368"/>
    </row>
    <row r="5369" spans="14:18" x14ac:dyDescent="0.25">
      <c r="N5369"/>
      <c r="O5369"/>
      <c r="P5369"/>
      <c r="Q5369"/>
      <c r="R5369"/>
    </row>
    <row r="5370" spans="14:18" x14ac:dyDescent="0.25">
      <c r="N5370"/>
      <c r="O5370"/>
      <c r="P5370"/>
      <c r="Q5370"/>
      <c r="R5370"/>
    </row>
    <row r="5371" spans="14:18" x14ac:dyDescent="0.25">
      <c r="N5371"/>
      <c r="O5371"/>
      <c r="P5371"/>
      <c r="Q5371"/>
      <c r="R5371"/>
    </row>
    <row r="5372" spans="14:18" x14ac:dyDescent="0.25">
      <c r="N5372"/>
      <c r="O5372"/>
      <c r="P5372"/>
      <c r="Q5372"/>
      <c r="R5372"/>
    </row>
    <row r="5373" spans="14:18" x14ac:dyDescent="0.25">
      <c r="N5373"/>
      <c r="O5373"/>
      <c r="P5373"/>
      <c r="Q5373"/>
      <c r="R5373"/>
    </row>
    <row r="5374" spans="14:18" x14ac:dyDescent="0.25">
      <c r="N5374"/>
      <c r="O5374"/>
      <c r="P5374"/>
      <c r="Q5374"/>
      <c r="R5374"/>
    </row>
    <row r="5375" spans="14:18" x14ac:dyDescent="0.25">
      <c r="N5375"/>
      <c r="O5375"/>
      <c r="P5375"/>
      <c r="Q5375"/>
      <c r="R5375"/>
    </row>
    <row r="5376" spans="14:18" x14ac:dyDescent="0.25">
      <c r="N5376"/>
      <c r="O5376"/>
      <c r="P5376"/>
      <c r="Q5376"/>
      <c r="R5376"/>
    </row>
    <row r="5377" spans="14:18" x14ac:dyDescent="0.25">
      <c r="N5377"/>
      <c r="O5377"/>
      <c r="P5377"/>
      <c r="Q5377"/>
      <c r="R5377"/>
    </row>
    <row r="5378" spans="14:18" x14ac:dyDescent="0.25">
      <c r="N5378"/>
      <c r="O5378"/>
      <c r="P5378"/>
      <c r="Q5378"/>
      <c r="R5378"/>
    </row>
    <row r="5379" spans="14:18" x14ac:dyDescent="0.25">
      <c r="N5379"/>
      <c r="O5379"/>
      <c r="P5379"/>
      <c r="Q5379"/>
      <c r="R5379"/>
    </row>
    <row r="5380" spans="14:18" x14ac:dyDescent="0.25">
      <c r="N5380"/>
      <c r="O5380"/>
      <c r="P5380"/>
      <c r="Q5380"/>
      <c r="R5380"/>
    </row>
    <row r="5381" spans="14:18" x14ac:dyDescent="0.25">
      <c r="N5381"/>
      <c r="O5381"/>
      <c r="P5381"/>
      <c r="Q5381"/>
      <c r="R5381"/>
    </row>
    <row r="5382" spans="14:18" x14ac:dyDescent="0.25">
      <c r="N5382"/>
      <c r="O5382"/>
      <c r="P5382"/>
      <c r="Q5382"/>
      <c r="R5382"/>
    </row>
    <row r="5383" spans="14:18" x14ac:dyDescent="0.25">
      <c r="N5383"/>
      <c r="O5383"/>
      <c r="P5383"/>
      <c r="Q5383"/>
      <c r="R5383"/>
    </row>
    <row r="5384" spans="14:18" x14ac:dyDescent="0.25">
      <c r="N5384"/>
      <c r="O5384"/>
      <c r="P5384"/>
      <c r="Q5384"/>
      <c r="R5384"/>
    </row>
    <row r="5385" spans="14:18" x14ac:dyDescent="0.25">
      <c r="N5385"/>
      <c r="O5385"/>
      <c r="P5385"/>
      <c r="Q5385"/>
      <c r="R5385"/>
    </row>
    <row r="5386" spans="14:18" x14ac:dyDescent="0.25">
      <c r="N5386"/>
      <c r="O5386"/>
      <c r="P5386"/>
      <c r="Q5386"/>
      <c r="R5386"/>
    </row>
    <row r="5387" spans="14:18" x14ac:dyDescent="0.25">
      <c r="N5387"/>
      <c r="O5387"/>
      <c r="P5387"/>
      <c r="Q5387"/>
      <c r="R5387"/>
    </row>
    <row r="5388" spans="14:18" x14ac:dyDescent="0.25">
      <c r="N5388"/>
      <c r="O5388"/>
      <c r="P5388"/>
      <c r="Q5388"/>
      <c r="R5388"/>
    </row>
    <row r="5389" spans="14:18" x14ac:dyDescent="0.25">
      <c r="N5389"/>
      <c r="O5389"/>
      <c r="P5389"/>
      <c r="Q5389"/>
      <c r="R5389"/>
    </row>
    <row r="5390" spans="14:18" x14ac:dyDescent="0.25">
      <c r="N5390"/>
      <c r="O5390"/>
      <c r="P5390"/>
      <c r="Q5390"/>
      <c r="R5390"/>
    </row>
    <row r="5391" spans="14:18" x14ac:dyDescent="0.25">
      <c r="N5391"/>
      <c r="O5391"/>
      <c r="P5391"/>
      <c r="Q5391"/>
      <c r="R5391"/>
    </row>
    <row r="5392" spans="14:18" x14ac:dyDescent="0.25">
      <c r="N5392"/>
      <c r="O5392"/>
      <c r="P5392"/>
      <c r="Q5392"/>
      <c r="R5392"/>
    </row>
    <row r="5393" spans="14:18" x14ac:dyDescent="0.25">
      <c r="N5393"/>
      <c r="O5393"/>
      <c r="P5393"/>
      <c r="Q5393"/>
      <c r="R5393"/>
    </row>
    <row r="5394" spans="14:18" x14ac:dyDescent="0.25">
      <c r="N5394"/>
      <c r="O5394"/>
      <c r="P5394"/>
      <c r="Q5394"/>
      <c r="R5394"/>
    </row>
    <row r="5395" spans="14:18" x14ac:dyDescent="0.25">
      <c r="N5395"/>
      <c r="O5395"/>
      <c r="P5395"/>
      <c r="Q5395"/>
      <c r="R5395"/>
    </row>
    <row r="5396" spans="14:18" x14ac:dyDescent="0.25">
      <c r="N5396"/>
      <c r="O5396"/>
      <c r="P5396"/>
      <c r="Q5396"/>
      <c r="R5396"/>
    </row>
    <row r="5397" spans="14:18" x14ac:dyDescent="0.25">
      <c r="N5397"/>
      <c r="O5397"/>
      <c r="P5397"/>
      <c r="Q5397"/>
      <c r="R5397"/>
    </row>
    <row r="5398" spans="14:18" x14ac:dyDescent="0.25">
      <c r="N5398"/>
      <c r="O5398"/>
      <c r="P5398"/>
      <c r="Q5398"/>
      <c r="R5398"/>
    </row>
    <row r="5399" spans="14:18" x14ac:dyDescent="0.25">
      <c r="N5399"/>
      <c r="O5399"/>
      <c r="P5399"/>
      <c r="Q5399"/>
      <c r="R5399"/>
    </row>
    <row r="5400" spans="14:18" x14ac:dyDescent="0.25">
      <c r="N5400"/>
      <c r="O5400"/>
      <c r="P5400"/>
      <c r="Q5400"/>
      <c r="R5400"/>
    </row>
    <row r="5401" spans="14:18" x14ac:dyDescent="0.25">
      <c r="N5401"/>
      <c r="O5401"/>
      <c r="P5401"/>
      <c r="Q5401"/>
      <c r="R5401"/>
    </row>
    <row r="5402" spans="14:18" x14ac:dyDescent="0.25">
      <c r="N5402"/>
      <c r="O5402"/>
      <c r="P5402"/>
      <c r="Q5402"/>
      <c r="R5402"/>
    </row>
    <row r="5403" spans="14:18" x14ac:dyDescent="0.25">
      <c r="N5403"/>
      <c r="O5403"/>
      <c r="P5403"/>
      <c r="Q5403"/>
      <c r="R5403"/>
    </row>
    <row r="5404" spans="14:18" x14ac:dyDescent="0.25">
      <c r="N5404"/>
      <c r="O5404"/>
      <c r="P5404"/>
      <c r="Q5404"/>
      <c r="R5404"/>
    </row>
    <row r="5405" spans="14:18" x14ac:dyDescent="0.25">
      <c r="N5405"/>
      <c r="O5405"/>
      <c r="P5405"/>
      <c r="Q5405"/>
      <c r="R5405"/>
    </row>
    <row r="5406" spans="14:18" x14ac:dyDescent="0.25">
      <c r="N5406"/>
      <c r="O5406"/>
      <c r="P5406"/>
      <c r="Q5406"/>
      <c r="R5406"/>
    </row>
    <row r="5407" spans="14:18" x14ac:dyDescent="0.25">
      <c r="N5407"/>
      <c r="O5407"/>
      <c r="P5407"/>
      <c r="Q5407"/>
      <c r="R5407"/>
    </row>
    <row r="5408" spans="14:18" x14ac:dyDescent="0.25">
      <c r="N5408"/>
      <c r="O5408"/>
      <c r="P5408"/>
      <c r="Q5408"/>
      <c r="R5408"/>
    </row>
    <row r="5409" spans="14:18" x14ac:dyDescent="0.25">
      <c r="N5409"/>
      <c r="O5409"/>
      <c r="P5409"/>
      <c r="Q5409"/>
      <c r="R5409"/>
    </row>
    <row r="5410" spans="14:18" x14ac:dyDescent="0.25">
      <c r="N5410"/>
      <c r="O5410"/>
      <c r="P5410"/>
      <c r="Q5410"/>
      <c r="R5410"/>
    </row>
    <row r="5411" spans="14:18" x14ac:dyDescent="0.25">
      <c r="N5411"/>
      <c r="O5411"/>
      <c r="P5411"/>
      <c r="Q5411"/>
      <c r="R5411"/>
    </row>
    <row r="5412" spans="14:18" x14ac:dyDescent="0.25">
      <c r="N5412"/>
      <c r="O5412"/>
      <c r="P5412"/>
      <c r="Q5412"/>
      <c r="R5412"/>
    </row>
    <row r="5413" spans="14:18" x14ac:dyDescent="0.25">
      <c r="N5413"/>
      <c r="O5413"/>
      <c r="P5413"/>
      <c r="Q5413"/>
      <c r="R5413"/>
    </row>
    <row r="5414" spans="14:18" x14ac:dyDescent="0.25">
      <c r="N5414"/>
      <c r="O5414"/>
      <c r="P5414"/>
      <c r="Q5414"/>
      <c r="R5414"/>
    </row>
    <row r="5415" spans="14:18" x14ac:dyDescent="0.25">
      <c r="N5415"/>
      <c r="O5415"/>
      <c r="P5415"/>
      <c r="Q5415"/>
      <c r="R5415"/>
    </row>
    <row r="5416" spans="14:18" x14ac:dyDescent="0.25">
      <c r="N5416"/>
      <c r="O5416"/>
      <c r="P5416"/>
      <c r="Q5416"/>
      <c r="R5416"/>
    </row>
    <row r="5417" spans="14:18" x14ac:dyDescent="0.25">
      <c r="N5417"/>
      <c r="O5417"/>
      <c r="P5417"/>
      <c r="Q5417"/>
      <c r="R5417"/>
    </row>
    <row r="5418" spans="14:18" x14ac:dyDescent="0.25">
      <c r="N5418"/>
      <c r="O5418"/>
      <c r="P5418"/>
      <c r="Q5418"/>
      <c r="R5418"/>
    </row>
    <row r="5419" spans="14:18" x14ac:dyDescent="0.25">
      <c r="N5419"/>
      <c r="O5419"/>
      <c r="P5419"/>
      <c r="Q5419"/>
      <c r="R5419"/>
    </row>
    <row r="5420" spans="14:18" x14ac:dyDescent="0.25">
      <c r="N5420"/>
      <c r="O5420"/>
      <c r="P5420"/>
      <c r="Q5420"/>
      <c r="R5420"/>
    </row>
    <row r="5421" spans="14:18" x14ac:dyDescent="0.25">
      <c r="N5421"/>
      <c r="O5421"/>
      <c r="P5421"/>
      <c r="Q5421"/>
      <c r="R5421"/>
    </row>
    <row r="5422" spans="14:18" x14ac:dyDescent="0.25">
      <c r="N5422"/>
      <c r="O5422"/>
      <c r="P5422"/>
      <c r="Q5422"/>
      <c r="R5422"/>
    </row>
    <row r="5423" spans="14:18" x14ac:dyDescent="0.25">
      <c r="N5423"/>
      <c r="O5423"/>
      <c r="P5423"/>
      <c r="Q5423"/>
      <c r="R5423"/>
    </row>
    <row r="5424" spans="14:18" x14ac:dyDescent="0.25">
      <c r="N5424"/>
      <c r="O5424"/>
      <c r="P5424"/>
      <c r="Q5424"/>
      <c r="R5424"/>
    </row>
    <row r="5425" spans="14:18" x14ac:dyDescent="0.25">
      <c r="N5425"/>
      <c r="O5425"/>
      <c r="P5425"/>
      <c r="Q5425"/>
      <c r="R5425"/>
    </row>
    <row r="5426" spans="14:18" x14ac:dyDescent="0.25">
      <c r="N5426"/>
      <c r="O5426"/>
      <c r="P5426"/>
      <c r="Q5426"/>
      <c r="R5426"/>
    </row>
    <row r="5427" spans="14:18" x14ac:dyDescent="0.25">
      <c r="N5427"/>
      <c r="O5427"/>
      <c r="P5427"/>
      <c r="Q5427"/>
      <c r="R5427"/>
    </row>
    <row r="5428" spans="14:18" x14ac:dyDescent="0.25">
      <c r="N5428"/>
      <c r="O5428"/>
      <c r="P5428"/>
      <c r="Q5428"/>
      <c r="R5428"/>
    </row>
    <row r="5429" spans="14:18" x14ac:dyDescent="0.25">
      <c r="N5429"/>
      <c r="O5429"/>
      <c r="P5429"/>
      <c r="Q5429"/>
      <c r="R5429"/>
    </row>
    <row r="5430" spans="14:18" x14ac:dyDescent="0.25">
      <c r="N5430"/>
      <c r="O5430"/>
      <c r="P5430"/>
      <c r="Q5430"/>
      <c r="R5430"/>
    </row>
    <row r="5431" spans="14:18" x14ac:dyDescent="0.25">
      <c r="N5431"/>
      <c r="O5431"/>
      <c r="P5431"/>
      <c r="Q5431"/>
      <c r="R5431"/>
    </row>
    <row r="5432" spans="14:18" x14ac:dyDescent="0.25">
      <c r="N5432"/>
      <c r="O5432"/>
      <c r="P5432"/>
      <c r="Q5432"/>
      <c r="R5432"/>
    </row>
    <row r="5433" spans="14:18" x14ac:dyDescent="0.25">
      <c r="N5433"/>
      <c r="O5433"/>
      <c r="P5433"/>
      <c r="Q5433"/>
      <c r="R5433"/>
    </row>
    <row r="5434" spans="14:18" x14ac:dyDescent="0.25">
      <c r="N5434"/>
      <c r="O5434"/>
      <c r="P5434"/>
      <c r="Q5434"/>
      <c r="R5434"/>
    </row>
    <row r="5435" spans="14:18" x14ac:dyDescent="0.25">
      <c r="N5435"/>
      <c r="O5435"/>
      <c r="P5435"/>
      <c r="Q5435"/>
      <c r="R5435"/>
    </row>
    <row r="5436" spans="14:18" x14ac:dyDescent="0.25">
      <c r="N5436"/>
      <c r="O5436"/>
      <c r="P5436"/>
      <c r="Q5436"/>
      <c r="R5436"/>
    </row>
    <row r="5437" spans="14:18" x14ac:dyDescent="0.25">
      <c r="N5437"/>
      <c r="O5437"/>
      <c r="P5437"/>
      <c r="Q5437"/>
      <c r="R5437"/>
    </row>
    <row r="5438" spans="14:18" x14ac:dyDescent="0.25">
      <c r="N5438"/>
      <c r="O5438"/>
      <c r="P5438"/>
      <c r="Q5438"/>
      <c r="R5438"/>
    </row>
    <row r="5439" spans="14:18" x14ac:dyDescent="0.25">
      <c r="N5439"/>
      <c r="O5439"/>
      <c r="P5439"/>
      <c r="Q5439"/>
      <c r="R5439"/>
    </row>
    <row r="5440" spans="14:18" x14ac:dyDescent="0.25">
      <c r="N5440"/>
      <c r="O5440"/>
      <c r="P5440"/>
      <c r="Q5440"/>
      <c r="R5440"/>
    </row>
    <row r="5441" spans="14:18" x14ac:dyDescent="0.25">
      <c r="N5441"/>
      <c r="O5441"/>
      <c r="P5441"/>
      <c r="Q5441"/>
      <c r="R5441"/>
    </row>
    <row r="5442" spans="14:18" x14ac:dyDescent="0.25">
      <c r="N5442"/>
      <c r="O5442"/>
      <c r="P5442"/>
      <c r="Q5442"/>
      <c r="R5442"/>
    </row>
    <row r="5443" spans="14:18" x14ac:dyDescent="0.25">
      <c r="N5443"/>
      <c r="O5443"/>
      <c r="P5443"/>
      <c r="Q5443"/>
      <c r="R5443"/>
    </row>
    <row r="5444" spans="14:18" x14ac:dyDescent="0.25">
      <c r="N5444"/>
      <c r="O5444"/>
      <c r="P5444"/>
      <c r="Q5444"/>
      <c r="R5444"/>
    </row>
    <row r="5445" spans="14:18" x14ac:dyDescent="0.25">
      <c r="N5445"/>
      <c r="O5445"/>
      <c r="P5445"/>
      <c r="Q5445"/>
      <c r="R5445"/>
    </row>
    <row r="5446" spans="14:18" x14ac:dyDescent="0.25">
      <c r="N5446"/>
      <c r="O5446"/>
      <c r="P5446"/>
      <c r="Q5446"/>
      <c r="R5446"/>
    </row>
    <row r="5447" spans="14:18" x14ac:dyDescent="0.25">
      <c r="N5447"/>
      <c r="O5447"/>
      <c r="P5447"/>
      <c r="Q5447"/>
      <c r="R5447"/>
    </row>
    <row r="5448" spans="14:18" x14ac:dyDescent="0.25">
      <c r="N5448"/>
      <c r="O5448"/>
      <c r="P5448"/>
      <c r="Q5448"/>
      <c r="R5448"/>
    </row>
    <row r="5449" spans="14:18" x14ac:dyDescent="0.25">
      <c r="N5449"/>
      <c r="O5449"/>
      <c r="P5449"/>
      <c r="Q5449"/>
      <c r="R5449"/>
    </row>
    <row r="5450" spans="14:18" x14ac:dyDescent="0.25">
      <c r="N5450"/>
      <c r="O5450"/>
      <c r="P5450"/>
      <c r="Q5450"/>
      <c r="R5450"/>
    </row>
    <row r="5451" spans="14:18" x14ac:dyDescent="0.25">
      <c r="N5451"/>
      <c r="O5451"/>
      <c r="P5451"/>
      <c r="Q5451"/>
      <c r="R5451"/>
    </row>
    <row r="5452" spans="14:18" x14ac:dyDescent="0.25">
      <c r="N5452"/>
      <c r="O5452"/>
      <c r="P5452"/>
      <c r="Q5452"/>
      <c r="R5452"/>
    </row>
    <row r="5453" spans="14:18" x14ac:dyDescent="0.25">
      <c r="N5453"/>
      <c r="O5453"/>
      <c r="P5453"/>
      <c r="Q5453"/>
      <c r="R5453"/>
    </row>
    <row r="5454" spans="14:18" x14ac:dyDescent="0.25">
      <c r="N5454"/>
      <c r="O5454"/>
      <c r="P5454"/>
      <c r="Q5454"/>
      <c r="R5454"/>
    </row>
    <row r="5455" spans="14:18" x14ac:dyDescent="0.25">
      <c r="N5455"/>
      <c r="O5455"/>
      <c r="P5455"/>
      <c r="Q5455"/>
      <c r="R5455"/>
    </row>
    <row r="5456" spans="14:18" x14ac:dyDescent="0.25">
      <c r="N5456"/>
      <c r="O5456"/>
      <c r="P5456"/>
      <c r="Q5456"/>
      <c r="R5456"/>
    </row>
    <row r="5457" spans="14:18" x14ac:dyDescent="0.25">
      <c r="N5457"/>
      <c r="O5457"/>
      <c r="P5457"/>
      <c r="Q5457"/>
      <c r="R5457"/>
    </row>
    <row r="5458" spans="14:18" x14ac:dyDescent="0.25">
      <c r="N5458"/>
      <c r="O5458"/>
      <c r="P5458"/>
      <c r="Q5458"/>
      <c r="R5458"/>
    </row>
    <row r="5459" spans="14:18" x14ac:dyDescent="0.25">
      <c r="N5459"/>
      <c r="O5459"/>
      <c r="P5459"/>
      <c r="Q5459"/>
      <c r="R5459"/>
    </row>
    <row r="5460" spans="14:18" x14ac:dyDescent="0.25">
      <c r="N5460"/>
      <c r="O5460"/>
      <c r="P5460"/>
      <c r="Q5460"/>
      <c r="R5460"/>
    </row>
    <row r="5461" spans="14:18" x14ac:dyDescent="0.25">
      <c r="N5461"/>
      <c r="O5461"/>
      <c r="P5461"/>
      <c r="Q5461"/>
      <c r="R5461"/>
    </row>
    <row r="5462" spans="14:18" x14ac:dyDescent="0.25">
      <c r="N5462"/>
      <c r="O5462"/>
      <c r="P5462"/>
      <c r="Q5462"/>
      <c r="R5462"/>
    </row>
    <row r="5463" spans="14:18" x14ac:dyDescent="0.25">
      <c r="N5463"/>
      <c r="O5463"/>
      <c r="P5463"/>
      <c r="Q5463"/>
      <c r="R5463"/>
    </row>
    <row r="5464" spans="14:18" x14ac:dyDescent="0.25">
      <c r="N5464"/>
      <c r="O5464"/>
      <c r="P5464"/>
      <c r="Q5464"/>
      <c r="R5464"/>
    </row>
    <row r="5465" spans="14:18" x14ac:dyDescent="0.25">
      <c r="N5465"/>
      <c r="O5465"/>
      <c r="P5465"/>
      <c r="Q5465"/>
      <c r="R5465"/>
    </row>
    <row r="5466" spans="14:18" x14ac:dyDescent="0.25">
      <c r="N5466"/>
      <c r="O5466"/>
      <c r="P5466"/>
      <c r="Q5466"/>
      <c r="R5466"/>
    </row>
    <row r="5467" spans="14:18" x14ac:dyDescent="0.25">
      <c r="N5467"/>
      <c r="O5467"/>
      <c r="P5467"/>
      <c r="Q5467"/>
      <c r="R5467"/>
    </row>
    <row r="5468" spans="14:18" x14ac:dyDescent="0.25">
      <c r="N5468"/>
      <c r="O5468"/>
      <c r="P5468"/>
      <c r="Q5468"/>
      <c r="R5468"/>
    </row>
    <row r="5469" spans="14:18" x14ac:dyDescent="0.25">
      <c r="N5469"/>
      <c r="O5469"/>
      <c r="P5469"/>
      <c r="Q5469"/>
      <c r="R5469"/>
    </row>
    <row r="5470" spans="14:18" x14ac:dyDescent="0.25">
      <c r="N5470"/>
      <c r="O5470"/>
      <c r="P5470"/>
      <c r="Q5470"/>
      <c r="R5470"/>
    </row>
    <row r="5471" spans="14:18" x14ac:dyDescent="0.25">
      <c r="N5471"/>
      <c r="O5471"/>
      <c r="P5471"/>
      <c r="Q5471"/>
      <c r="R5471"/>
    </row>
    <row r="5472" spans="14:18" x14ac:dyDescent="0.25">
      <c r="N5472"/>
      <c r="O5472"/>
      <c r="P5472"/>
      <c r="Q5472"/>
      <c r="R5472"/>
    </row>
    <row r="5473" spans="14:18" x14ac:dyDescent="0.25">
      <c r="N5473"/>
      <c r="O5473"/>
      <c r="P5473"/>
      <c r="Q5473"/>
      <c r="R5473"/>
    </row>
    <row r="5474" spans="14:18" x14ac:dyDescent="0.25">
      <c r="N5474"/>
      <c r="O5474"/>
      <c r="P5474"/>
      <c r="Q5474"/>
      <c r="R5474"/>
    </row>
    <row r="5475" spans="14:18" x14ac:dyDescent="0.25">
      <c r="N5475"/>
      <c r="O5475"/>
      <c r="P5475"/>
      <c r="Q5475"/>
      <c r="R5475"/>
    </row>
    <row r="5476" spans="14:18" x14ac:dyDescent="0.25">
      <c r="N5476"/>
      <c r="O5476"/>
      <c r="P5476"/>
      <c r="Q5476"/>
      <c r="R5476"/>
    </row>
    <row r="5477" spans="14:18" x14ac:dyDescent="0.25">
      <c r="N5477"/>
      <c r="O5477"/>
      <c r="P5477"/>
      <c r="Q5477"/>
      <c r="R5477"/>
    </row>
    <row r="5478" spans="14:18" x14ac:dyDescent="0.25">
      <c r="N5478"/>
      <c r="O5478"/>
      <c r="P5478"/>
      <c r="Q5478"/>
      <c r="R5478"/>
    </row>
    <row r="5479" spans="14:18" x14ac:dyDescent="0.25">
      <c r="N5479"/>
      <c r="O5479"/>
      <c r="P5479"/>
      <c r="Q5479"/>
      <c r="R5479"/>
    </row>
    <row r="5480" spans="14:18" x14ac:dyDescent="0.25">
      <c r="N5480"/>
      <c r="O5480"/>
      <c r="P5480"/>
      <c r="Q5480"/>
      <c r="R5480"/>
    </row>
    <row r="5481" spans="14:18" x14ac:dyDescent="0.25">
      <c r="N5481"/>
      <c r="O5481"/>
      <c r="P5481"/>
      <c r="Q5481"/>
      <c r="R5481"/>
    </row>
    <row r="5482" spans="14:18" x14ac:dyDescent="0.25">
      <c r="N5482"/>
      <c r="O5482"/>
      <c r="P5482"/>
      <c r="Q5482"/>
      <c r="R5482"/>
    </row>
    <row r="5483" spans="14:18" x14ac:dyDescent="0.25">
      <c r="N5483"/>
      <c r="O5483"/>
      <c r="P5483"/>
      <c r="Q5483"/>
      <c r="R5483"/>
    </row>
    <row r="5484" spans="14:18" x14ac:dyDescent="0.25">
      <c r="N5484"/>
      <c r="O5484"/>
      <c r="P5484"/>
      <c r="Q5484"/>
      <c r="R5484"/>
    </row>
    <row r="5485" spans="14:18" x14ac:dyDescent="0.25">
      <c r="N5485"/>
      <c r="O5485"/>
      <c r="P5485"/>
      <c r="Q5485"/>
      <c r="R5485"/>
    </row>
    <row r="5486" spans="14:18" x14ac:dyDescent="0.25">
      <c r="N5486"/>
      <c r="O5486"/>
      <c r="P5486"/>
      <c r="Q5486"/>
      <c r="R5486"/>
    </row>
    <row r="5487" spans="14:18" x14ac:dyDescent="0.25">
      <c r="N5487"/>
      <c r="O5487"/>
      <c r="P5487"/>
      <c r="Q5487"/>
      <c r="R5487"/>
    </row>
    <row r="5488" spans="14:18" x14ac:dyDescent="0.25">
      <c r="N5488"/>
      <c r="O5488"/>
      <c r="P5488"/>
      <c r="Q5488"/>
      <c r="R5488"/>
    </row>
    <row r="5489" spans="14:18" x14ac:dyDescent="0.25">
      <c r="N5489"/>
      <c r="O5489"/>
      <c r="P5489"/>
      <c r="Q5489"/>
      <c r="R5489"/>
    </row>
    <row r="5490" spans="14:18" x14ac:dyDescent="0.25">
      <c r="N5490"/>
      <c r="O5490"/>
      <c r="P5490"/>
      <c r="Q5490"/>
      <c r="R5490"/>
    </row>
    <row r="5491" spans="14:18" x14ac:dyDescent="0.25">
      <c r="N5491"/>
      <c r="O5491"/>
      <c r="P5491"/>
      <c r="Q5491"/>
      <c r="R5491"/>
    </row>
    <row r="5492" spans="14:18" x14ac:dyDescent="0.25">
      <c r="N5492"/>
      <c r="O5492"/>
      <c r="P5492"/>
      <c r="Q5492"/>
      <c r="R5492"/>
    </row>
    <row r="5493" spans="14:18" x14ac:dyDescent="0.25">
      <c r="N5493"/>
      <c r="O5493"/>
      <c r="P5493"/>
      <c r="Q5493"/>
      <c r="R5493"/>
    </row>
    <row r="5494" spans="14:18" x14ac:dyDescent="0.25">
      <c r="N5494"/>
      <c r="O5494"/>
      <c r="P5494"/>
      <c r="Q5494"/>
      <c r="R5494"/>
    </row>
    <row r="5495" spans="14:18" x14ac:dyDescent="0.25">
      <c r="N5495"/>
      <c r="O5495"/>
      <c r="P5495"/>
      <c r="Q5495"/>
      <c r="R5495"/>
    </row>
    <row r="5496" spans="14:18" x14ac:dyDescent="0.25">
      <c r="N5496"/>
      <c r="O5496"/>
      <c r="P5496"/>
      <c r="Q5496"/>
      <c r="R5496"/>
    </row>
    <row r="5497" spans="14:18" x14ac:dyDescent="0.25">
      <c r="N5497"/>
      <c r="O5497"/>
      <c r="P5497"/>
      <c r="Q5497"/>
      <c r="R5497"/>
    </row>
    <row r="5498" spans="14:18" x14ac:dyDescent="0.25">
      <c r="N5498"/>
      <c r="O5498"/>
      <c r="P5498"/>
      <c r="Q5498"/>
      <c r="R5498"/>
    </row>
    <row r="5499" spans="14:18" x14ac:dyDescent="0.25">
      <c r="N5499"/>
      <c r="O5499"/>
      <c r="P5499"/>
      <c r="Q5499"/>
      <c r="R5499"/>
    </row>
    <row r="5500" spans="14:18" x14ac:dyDescent="0.25">
      <c r="N5500"/>
      <c r="O5500"/>
      <c r="P5500"/>
      <c r="Q5500"/>
      <c r="R5500"/>
    </row>
    <row r="5501" spans="14:18" x14ac:dyDescent="0.25">
      <c r="N5501"/>
      <c r="O5501"/>
      <c r="P5501"/>
      <c r="Q5501"/>
      <c r="R5501"/>
    </row>
    <row r="5502" spans="14:18" x14ac:dyDescent="0.25">
      <c r="N5502"/>
      <c r="O5502"/>
      <c r="P5502"/>
      <c r="Q5502"/>
      <c r="R5502"/>
    </row>
    <row r="5503" spans="14:18" x14ac:dyDescent="0.25">
      <c r="N5503"/>
      <c r="O5503"/>
      <c r="P5503"/>
      <c r="Q5503"/>
      <c r="R5503"/>
    </row>
    <row r="5504" spans="14:18" x14ac:dyDescent="0.25">
      <c r="N5504"/>
      <c r="O5504"/>
      <c r="P5504"/>
      <c r="Q5504"/>
      <c r="R5504"/>
    </row>
    <row r="5505" spans="14:18" x14ac:dyDescent="0.25">
      <c r="N5505"/>
      <c r="O5505"/>
      <c r="P5505"/>
      <c r="Q5505"/>
      <c r="R5505"/>
    </row>
    <row r="5506" spans="14:18" x14ac:dyDescent="0.25">
      <c r="N5506"/>
      <c r="O5506"/>
      <c r="P5506"/>
      <c r="Q5506"/>
      <c r="R5506"/>
    </row>
    <row r="5507" spans="14:18" x14ac:dyDescent="0.25">
      <c r="N5507"/>
      <c r="O5507"/>
      <c r="P5507"/>
      <c r="Q5507"/>
      <c r="R5507"/>
    </row>
    <row r="5508" spans="14:18" x14ac:dyDescent="0.25">
      <c r="N5508"/>
      <c r="O5508"/>
      <c r="P5508"/>
      <c r="Q5508"/>
      <c r="R5508"/>
    </row>
    <row r="5509" spans="14:18" x14ac:dyDescent="0.25">
      <c r="N5509"/>
      <c r="O5509"/>
      <c r="P5509"/>
      <c r="Q5509"/>
      <c r="R5509"/>
    </row>
    <row r="5510" spans="14:18" x14ac:dyDescent="0.25">
      <c r="N5510"/>
      <c r="O5510"/>
      <c r="P5510"/>
      <c r="Q5510"/>
      <c r="R5510"/>
    </row>
    <row r="5511" spans="14:18" x14ac:dyDescent="0.25">
      <c r="N5511"/>
      <c r="O5511"/>
      <c r="P5511"/>
      <c r="Q5511"/>
      <c r="R5511"/>
    </row>
    <row r="5512" spans="14:18" x14ac:dyDescent="0.25">
      <c r="N5512"/>
      <c r="O5512"/>
      <c r="P5512"/>
      <c r="Q5512"/>
      <c r="R5512"/>
    </row>
    <row r="5513" spans="14:18" x14ac:dyDescent="0.25">
      <c r="N5513"/>
      <c r="O5513"/>
      <c r="P5513"/>
      <c r="Q5513"/>
      <c r="R5513"/>
    </row>
    <row r="5514" spans="14:18" x14ac:dyDescent="0.25">
      <c r="N5514"/>
      <c r="O5514"/>
      <c r="P5514"/>
      <c r="Q5514"/>
      <c r="R5514"/>
    </row>
    <row r="5515" spans="14:18" x14ac:dyDescent="0.25">
      <c r="N5515"/>
      <c r="O5515"/>
      <c r="P5515"/>
      <c r="Q5515"/>
      <c r="R5515"/>
    </row>
    <row r="5516" spans="14:18" x14ac:dyDescent="0.25">
      <c r="N5516"/>
      <c r="O5516"/>
      <c r="P5516"/>
      <c r="Q5516"/>
      <c r="R5516"/>
    </row>
    <row r="5517" spans="14:18" x14ac:dyDescent="0.25">
      <c r="N5517"/>
      <c r="O5517"/>
      <c r="P5517"/>
      <c r="Q5517"/>
      <c r="R5517"/>
    </row>
    <row r="5518" spans="14:18" x14ac:dyDescent="0.25">
      <c r="N5518"/>
      <c r="O5518"/>
      <c r="P5518"/>
      <c r="Q5518"/>
      <c r="R5518"/>
    </row>
    <row r="5519" spans="14:18" x14ac:dyDescent="0.25">
      <c r="N5519"/>
      <c r="O5519"/>
      <c r="P5519"/>
      <c r="Q5519"/>
      <c r="R5519"/>
    </row>
    <row r="5520" spans="14:18" x14ac:dyDescent="0.25">
      <c r="N5520"/>
      <c r="O5520"/>
      <c r="P5520"/>
      <c r="Q5520"/>
      <c r="R5520"/>
    </row>
    <row r="5521" spans="14:18" x14ac:dyDescent="0.25">
      <c r="N5521"/>
      <c r="O5521"/>
      <c r="P5521"/>
      <c r="Q5521"/>
      <c r="R5521"/>
    </row>
    <row r="5522" spans="14:18" x14ac:dyDescent="0.25">
      <c r="N5522"/>
      <c r="O5522"/>
      <c r="P5522"/>
      <c r="Q5522"/>
      <c r="R5522"/>
    </row>
    <row r="5523" spans="14:18" x14ac:dyDescent="0.25">
      <c r="N5523"/>
      <c r="O5523"/>
      <c r="P5523"/>
      <c r="Q5523"/>
      <c r="R5523"/>
    </row>
    <row r="5524" spans="14:18" x14ac:dyDescent="0.25">
      <c r="N5524"/>
      <c r="O5524"/>
      <c r="P5524"/>
      <c r="Q5524"/>
      <c r="R5524"/>
    </row>
    <row r="5525" spans="14:18" x14ac:dyDescent="0.25">
      <c r="N5525"/>
      <c r="O5525"/>
      <c r="P5525"/>
      <c r="Q5525"/>
      <c r="R5525"/>
    </row>
    <row r="5526" spans="14:18" x14ac:dyDescent="0.25">
      <c r="N5526"/>
      <c r="O5526"/>
      <c r="P5526"/>
      <c r="Q5526"/>
      <c r="R5526"/>
    </row>
    <row r="5527" spans="14:18" x14ac:dyDescent="0.25">
      <c r="N5527"/>
      <c r="O5527"/>
      <c r="P5527"/>
      <c r="Q5527"/>
      <c r="R5527"/>
    </row>
    <row r="5528" spans="14:18" x14ac:dyDescent="0.25">
      <c r="N5528"/>
      <c r="O5528"/>
      <c r="P5528"/>
      <c r="Q5528"/>
      <c r="R5528"/>
    </row>
    <row r="5529" spans="14:18" x14ac:dyDescent="0.25">
      <c r="N5529"/>
      <c r="O5529"/>
      <c r="P5529"/>
      <c r="Q5529"/>
      <c r="R5529"/>
    </row>
    <row r="5530" spans="14:18" x14ac:dyDescent="0.25">
      <c r="N5530"/>
      <c r="O5530"/>
      <c r="P5530"/>
      <c r="Q5530"/>
      <c r="R5530"/>
    </row>
    <row r="5531" spans="14:18" x14ac:dyDescent="0.25">
      <c r="N5531"/>
      <c r="O5531"/>
      <c r="P5531"/>
      <c r="Q5531"/>
      <c r="R5531"/>
    </row>
    <row r="5532" spans="14:18" x14ac:dyDescent="0.25">
      <c r="N5532"/>
      <c r="O5532"/>
      <c r="P5532"/>
      <c r="Q5532"/>
      <c r="R5532"/>
    </row>
    <row r="5533" spans="14:18" x14ac:dyDescent="0.25">
      <c r="N5533"/>
      <c r="O5533"/>
      <c r="P5533"/>
      <c r="Q5533"/>
      <c r="R5533"/>
    </row>
    <row r="5534" spans="14:18" x14ac:dyDescent="0.25">
      <c r="N5534"/>
      <c r="O5534"/>
      <c r="P5534"/>
      <c r="Q5534"/>
      <c r="R5534"/>
    </row>
    <row r="5535" spans="14:18" x14ac:dyDescent="0.25">
      <c r="N5535"/>
      <c r="O5535"/>
      <c r="P5535"/>
      <c r="Q5535"/>
      <c r="R5535"/>
    </row>
    <row r="5536" spans="14:18" x14ac:dyDescent="0.25">
      <c r="N5536"/>
      <c r="O5536"/>
      <c r="P5536"/>
      <c r="Q5536"/>
      <c r="R5536"/>
    </row>
    <row r="5537" spans="14:18" x14ac:dyDescent="0.25">
      <c r="N5537"/>
      <c r="O5537"/>
      <c r="P5537"/>
      <c r="Q5537"/>
      <c r="R5537"/>
    </row>
    <row r="5538" spans="14:18" x14ac:dyDescent="0.25">
      <c r="N5538"/>
      <c r="O5538"/>
      <c r="P5538"/>
      <c r="Q5538"/>
      <c r="R5538"/>
    </row>
    <row r="5539" spans="14:18" x14ac:dyDescent="0.25">
      <c r="N5539"/>
      <c r="O5539"/>
      <c r="P5539"/>
      <c r="Q5539"/>
      <c r="R5539"/>
    </row>
    <row r="5540" spans="14:18" x14ac:dyDescent="0.25">
      <c r="N5540"/>
      <c r="O5540"/>
      <c r="P5540"/>
      <c r="Q5540"/>
      <c r="R5540"/>
    </row>
    <row r="5541" spans="14:18" x14ac:dyDescent="0.25">
      <c r="N5541"/>
      <c r="O5541"/>
      <c r="P5541"/>
      <c r="Q5541"/>
      <c r="R5541"/>
    </row>
    <row r="5542" spans="14:18" x14ac:dyDescent="0.25">
      <c r="N5542"/>
      <c r="O5542"/>
      <c r="P5542"/>
      <c r="Q5542"/>
      <c r="R5542"/>
    </row>
    <row r="5543" spans="14:18" x14ac:dyDescent="0.25">
      <c r="N5543"/>
      <c r="O5543"/>
      <c r="P5543"/>
      <c r="Q5543"/>
      <c r="R5543"/>
    </row>
    <row r="5544" spans="14:18" x14ac:dyDescent="0.25">
      <c r="N5544"/>
      <c r="O5544"/>
      <c r="P5544"/>
      <c r="Q5544"/>
      <c r="R5544"/>
    </row>
    <row r="5545" spans="14:18" x14ac:dyDescent="0.25">
      <c r="N5545"/>
      <c r="O5545"/>
      <c r="P5545"/>
      <c r="Q5545"/>
      <c r="R5545"/>
    </row>
    <row r="5546" spans="14:18" x14ac:dyDescent="0.25">
      <c r="N5546"/>
      <c r="O5546"/>
      <c r="P5546"/>
      <c r="Q5546"/>
      <c r="R5546"/>
    </row>
    <row r="5547" spans="14:18" x14ac:dyDescent="0.25">
      <c r="N5547"/>
      <c r="O5547"/>
      <c r="P5547"/>
      <c r="Q5547"/>
      <c r="R5547"/>
    </row>
    <row r="5548" spans="14:18" x14ac:dyDescent="0.25">
      <c r="N5548"/>
      <c r="O5548"/>
      <c r="P5548"/>
      <c r="Q5548"/>
      <c r="R5548"/>
    </row>
    <row r="5549" spans="14:18" x14ac:dyDescent="0.25">
      <c r="N5549"/>
      <c r="O5549"/>
      <c r="P5549"/>
      <c r="Q5549"/>
      <c r="R5549"/>
    </row>
    <row r="5550" spans="14:18" x14ac:dyDescent="0.25">
      <c r="N5550"/>
      <c r="O5550"/>
      <c r="P5550"/>
      <c r="Q5550"/>
      <c r="R5550"/>
    </row>
    <row r="5551" spans="14:18" x14ac:dyDescent="0.25">
      <c r="N5551"/>
      <c r="O5551"/>
      <c r="P5551"/>
      <c r="Q5551"/>
      <c r="R5551"/>
    </row>
    <row r="5552" spans="14:18" x14ac:dyDescent="0.25">
      <c r="N5552"/>
      <c r="O5552"/>
      <c r="P5552"/>
      <c r="Q5552"/>
      <c r="R5552"/>
    </row>
    <row r="5553" spans="14:18" x14ac:dyDescent="0.25">
      <c r="N5553"/>
      <c r="O5553"/>
      <c r="P5553"/>
      <c r="Q5553"/>
      <c r="R5553"/>
    </row>
    <row r="5554" spans="14:18" x14ac:dyDescent="0.25">
      <c r="N5554"/>
      <c r="O5554"/>
      <c r="P5554"/>
      <c r="Q5554"/>
      <c r="R5554"/>
    </row>
    <row r="5555" spans="14:18" x14ac:dyDescent="0.25">
      <c r="N5555"/>
      <c r="O5555"/>
      <c r="P5555"/>
      <c r="Q5555"/>
      <c r="R5555"/>
    </row>
    <row r="5556" spans="14:18" x14ac:dyDescent="0.25">
      <c r="N5556"/>
      <c r="O5556"/>
      <c r="P5556"/>
      <c r="Q5556"/>
      <c r="R5556"/>
    </row>
    <row r="5557" spans="14:18" x14ac:dyDescent="0.25">
      <c r="N5557"/>
      <c r="O5557"/>
      <c r="P5557"/>
      <c r="Q5557"/>
      <c r="R5557"/>
    </row>
    <row r="5558" spans="14:18" x14ac:dyDescent="0.25">
      <c r="N5558"/>
      <c r="O5558"/>
      <c r="P5558"/>
      <c r="Q5558"/>
      <c r="R5558"/>
    </row>
    <row r="5559" spans="14:18" x14ac:dyDescent="0.25">
      <c r="N5559"/>
      <c r="O5559"/>
      <c r="P5559"/>
      <c r="Q5559"/>
      <c r="R5559"/>
    </row>
    <row r="5560" spans="14:18" x14ac:dyDescent="0.25">
      <c r="N5560"/>
      <c r="O5560"/>
      <c r="P5560"/>
      <c r="Q5560"/>
      <c r="R5560"/>
    </row>
    <row r="5561" spans="14:18" x14ac:dyDescent="0.25">
      <c r="N5561"/>
      <c r="O5561"/>
      <c r="P5561"/>
      <c r="Q5561"/>
      <c r="R5561"/>
    </row>
    <row r="5562" spans="14:18" x14ac:dyDescent="0.25">
      <c r="N5562"/>
      <c r="O5562"/>
      <c r="P5562"/>
      <c r="Q5562"/>
      <c r="R5562"/>
    </row>
    <row r="5563" spans="14:18" x14ac:dyDescent="0.25">
      <c r="N5563"/>
      <c r="O5563"/>
      <c r="P5563"/>
      <c r="Q5563"/>
      <c r="R5563"/>
    </row>
    <row r="5564" spans="14:18" x14ac:dyDescent="0.25">
      <c r="N5564"/>
      <c r="O5564"/>
      <c r="P5564"/>
      <c r="Q5564"/>
      <c r="R5564"/>
    </row>
    <row r="5565" spans="14:18" x14ac:dyDescent="0.25">
      <c r="N5565"/>
      <c r="O5565"/>
      <c r="P5565"/>
      <c r="Q5565"/>
      <c r="R5565"/>
    </row>
    <row r="5566" spans="14:18" x14ac:dyDescent="0.25">
      <c r="N5566"/>
      <c r="O5566"/>
      <c r="P5566"/>
      <c r="Q5566"/>
      <c r="R5566"/>
    </row>
    <row r="5567" spans="14:18" x14ac:dyDescent="0.25">
      <c r="N5567"/>
      <c r="O5567"/>
      <c r="P5567"/>
      <c r="Q5567"/>
      <c r="R5567"/>
    </row>
    <row r="5568" spans="14:18" x14ac:dyDescent="0.25">
      <c r="N5568"/>
      <c r="O5568"/>
      <c r="P5568"/>
      <c r="Q5568"/>
      <c r="R5568"/>
    </row>
    <row r="5569" spans="14:18" x14ac:dyDescent="0.25">
      <c r="N5569"/>
      <c r="O5569"/>
      <c r="P5569"/>
      <c r="Q5569"/>
      <c r="R5569"/>
    </row>
    <row r="5570" spans="14:18" x14ac:dyDescent="0.25">
      <c r="N5570"/>
      <c r="O5570"/>
      <c r="P5570"/>
      <c r="Q5570"/>
      <c r="R5570"/>
    </row>
    <row r="5571" spans="14:18" x14ac:dyDescent="0.25">
      <c r="N5571"/>
      <c r="O5571"/>
      <c r="P5571"/>
      <c r="Q5571"/>
      <c r="R5571"/>
    </row>
    <row r="5572" spans="14:18" x14ac:dyDescent="0.25">
      <c r="N5572"/>
      <c r="O5572"/>
      <c r="P5572"/>
      <c r="Q5572"/>
      <c r="R5572"/>
    </row>
    <row r="5573" spans="14:18" x14ac:dyDescent="0.25">
      <c r="N5573"/>
      <c r="O5573"/>
      <c r="P5573"/>
      <c r="Q5573"/>
      <c r="R5573"/>
    </row>
    <row r="5574" spans="14:18" x14ac:dyDescent="0.25">
      <c r="N5574"/>
      <c r="O5574"/>
      <c r="P5574"/>
      <c r="Q5574"/>
      <c r="R5574"/>
    </row>
    <row r="5575" spans="14:18" x14ac:dyDescent="0.25">
      <c r="N5575"/>
      <c r="O5575"/>
      <c r="P5575"/>
      <c r="Q5575"/>
      <c r="R5575"/>
    </row>
    <row r="5576" spans="14:18" x14ac:dyDescent="0.25">
      <c r="N5576"/>
      <c r="O5576"/>
      <c r="P5576"/>
      <c r="Q5576"/>
      <c r="R5576"/>
    </row>
    <row r="5577" spans="14:18" x14ac:dyDescent="0.25">
      <c r="N5577"/>
      <c r="O5577"/>
      <c r="P5577"/>
      <c r="Q5577"/>
      <c r="R5577"/>
    </row>
    <row r="5578" spans="14:18" x14ac:dyDescent="0.25">
      <c r="N5578"/>
      <c r="O5578"/>
      <c r="P5578"/>
      <c r="Q5578"/>
      <c r="R5578"/>
    </row>
    <row r="5579" spans="14:18" x14ac:dyDescent="0.25">
      <c r="N5579"/>
      <c r="O5579"/>
      <c r="P5579"/>
      <c r="Q5579"/>
      <c r="R5579"/>
    </row>
    <row r="5580" spans="14:18" x14ac:dyDescent="0.25">
      <c r="N5580"/>
      <c r="O5580"/>
      <c r="P5580"/>
      <c r="Q5580"/>
      <c r="R5580"/>
    </row>
    <row r="5581" spans="14:18" x14ac:dyDescent="0.25">
      <c r="N5581"/>
      <c r="O5581"/>
      <c r="P5581"/>
      <c r="Q5581"/>
      <c r="R5581"/>
    </row>
    <row r="5582" spans="14:18" x14ac:dyDescent="0.25">
      <c r="N5582"/>
      <c r="O5582"/>
      <c r="P5582"/>
      <c r="Q5582"/>
      <c r="R5582"/>
    </row>
    <row r="5583" spans="14:18" x14ac:dyDescent="0.25">
      <c r="N5583"/>
      <c r="O5583"/>
      <c r="P5583"/>
      <c r="Q5583"/>
      <c r="R5583"/>
    </row>
    <row r="5584" spans="14:18" x14ac:dyDescent="0.25">
      <c r="N5584"/>
      <c r="O5584"/>
      <c r="P5584"/>
      <c r="Q5584"/>
      <c r="R5584"/>
    </row>
    <row r="5585" spans="14:18" x14ac:dyDescent="0.25">
      <c r="N5585"/>
      <c r="O5585"/>
      <c r="P5585"/>
      <c r="Q5585"/>
      <c r="R5585"/>
    </row>
    <row r="5586" spans="14:18" x14ac:dyDescent="0.25">
      <c r="N5586"/>
      <c r="O5586"/>
      <c r="P5586"/>
      <c r="Q5586"/>
      <c r="R5586"/>
    </row>
    <row r="5587" spans="14:18" x14ac:dyDescent="0.25">
      <c r="N5587"/>
      <c r="O5587"/>
      <c r="P5587"/>
      <c r="Q5587"/>
      <c r="R5587"/>
    </row>
    <row r="5588" spans="14:18" x14ac:dyDescent="0.25">
      <c r="N5588"/>
      <c r="O5588"/>
      <c r="P5588"/>
      <c r="Q5588"/>
      <c r="R5588"/>
    </row>
    <row r="5589" spans="14:18" x14ac:dyDescent="0.25">
      <c r="N5589"/>
      <c r="O5589"/>
      <c r="P5589"/>
      <c r="Q5589"/>
      <c r="R5589"/>
    </row>
    <row r="5590" spans="14:18" x14ac:dyDescent="0.25">
      <c r="N5590"/>
      <c r="O5590"/>
      <c r="P5590"/>
      <c r="Q5590"/>
      <c r="R5590"/>
    </row>
    <row r="5591" spans="14:18" x14ac:dyDescent="0.25">
      <c r="N5591"/>
      <c r="O5591"/>
      <c r="P5591"/>
      <c r="Q5591"/>
      <c r="R5591"/>
    </row>
    <row r="5592" spans="14:18" x14ac:dyDescent="0.25">
      <c r="N5592"/>
      <c r="O5592"/>
      <c r="P5592"/>
      <c r="Q5592"/>
      <c r="R5592"/>
    </row>
    <row r="5593" spans="14:18" x14ac:dyDescent="0.25">
      <c r="N5593"/>
      <c r="O5593"/>
      <c r="P5593"/>
      <c r="Q5593"/>
      <c r="R5593"/>
    </row>
    <row r="5594" spans="14:18" x14ac:dyDescent="0.25">
      <c r="N5594"/>
      <c r="O5594"/>
      <c r="P5594"/>
      <c r="Q5594"/>
      <c r="R5594"/>
    </row>
    <row r="5595" spans="14:18" x14ac:dyDescent="0.25">
      <c r="N5595"/>
      <c r="O5595"/>
      <c r="P5595"/>
      <c r="Q5595"/>
      <c r="R5595"/>
    </row>
    <row r="5596" spans="14:18" x14ac:dyDescent="0.25">
      <c r="N5596"/>
      <c r="O5596"/>
      <c r="P5596"/>
      <c r="Q5596"/>
      <c r="R5596"/>
    </row>
    <row r="5597" spans="14:18" x14ac:dyDescent="0.25">
      <c r="N5597"/>
      <c r="O5597"/>
      <c r="P5597"/>
      <c r="Q5597"/>
      <c r="R5597"/>
    </row>
    <row r="5598" spans="14:18" x14ac:dyDescent="0.25">
      <c r="N5598"/>
      <c r="O5598"/>
      <c r="P5598"/>
      <c r="Q5598"/>
      <c r="R5598"/>
    </row>
    <row r="5599" spans="14:18" x14ac:dyDescent="0.25">
      <c r="N5599"/>
      <c r="O5599"/>
      <c r="P5599"/>
      <c r="Q5599"/>
      <c r="R5599"/>
    </row>
    <row r="5600" spans="14:18" x14ac:dyDescent="0.25">
      <c r="N5600"/>
      <c r="O5600"/>
      <c r="P5600"/>
      <c r="Q5600"/>
      <c r="R5600"/>
    </row>
    <row r="5601" spans="14:18" x14ac:dyDescent="0.25">
      <c r="N5601"/>
      <c r="O5601"/>
      <c r="P5601"/>
      <c r="Q5601"/>
      <c r="R5601"/>
    </row>
    <row r="5602" spans="14:18" x14ac:dyDescent="0.25">
      <c r="N5602"/>
      <c r="O5602"/>
      <c r="P5602"/>
      <c r="Q5602"/>
      <c r="R5602"/>
    </row>
    <row r="5603" spans="14:18" x14ac:dyDescent="0.25">
      <c r="N5603"/>
      <c r="O5603"/>
      <c r="P5603"/>
      <c r="Q5603"/>
      <c r="R5603"/>
    </row>
    <row r="5604" spans="14:18" x14ac:dyDescent="0.25">
      <c r="N5604"/>
      <c r="O5604"/>
      <c r="P5604"/>
      <c r="Q5604"/>
      <c r="R5604"/>
    </row>
    <row r="5605" spans="14:18" x14ac:dyDescent="0.25">
      <c r="N5605"/>
      <c r="O5605"/>
      <c r="P5605"/>
      <c r="Q5605"/>
      <c r="R5605"/>
    </row>
    <row r="5606" spans="14:18" x14ac:dyDescent="0.25">
      <c r="N5606"/>
      <c r="O5606"/>
      <c r="P5606"/>
      <c r="Q5606"/>
      <c r="R5606"/>
    </row>
    <row r="5607" spans="14:18" x14ac:dyDescent="0.25">
      <c r="N5607"/>
      <c r="O5607"/>
      <c r="P5607"/>
      <c r="Q5607"/>
      <c r="R5607"/>
    </row>
    <row r="5608" spans="14:18" x14ac:dyDescent="0.25">
      <c r="N5608"/>
      <c r="O5608"/>
      <c r="P5608"/>
      <c r="Q5608"/>
      <c r="R5608"/>
    </row>
    <row r="5609" spans="14:18" x14ac:dyDescent="0.25">
      <c r="N5609"/>
      <c r="O5609"/>
      <c r="P5609"/>
      <c r="Q5609"/>
      <c r="R5609"/>
    </row>
    <row r="5610" spans="14:18" x14ac:dyDescent="0.25">
      <c r="N5610"/>
      <c r="O5610"/>
      <c r="P5610"/>
      <c r="Q5610"/>
      <c r="R5610"/>
    </row>
    <row r="5611" spans="14:18" x14ac:dyDescent="0.25">
      <c r="N5611"/>
      <c r="O5611"/>
      <c r="P5611"/>
      <c r="Q5611"/>
      <c r="R5611"/>
    </row>
    <row r="5612" spans="14:18" x14ac:dyDescent="0.25">
      <c r="N5612"/>
      <c r="O5612"/>
      <c r="P5612"/>
      <c r="Q5612"/>
      <c r="R5612"/>
    </row>
    <row r="5613" spans="14:18" x14ac:dyDescent="0.25">
      <c r="N5613"/>
      <c r="O5613"/>
      <c r="P5613"/>
      <c r="Q5613"/>
      <c r="R5613"/>
    </row>
    <row r="5614" spans="14:18" x14ac:dyDescent="0.25">
      <c r="N5614"/>
      <c r="O5614"/>
      <c r="P5614"/>
      <c r="Q5614"/>
      <c r="R5614"/>
    </row>
    <row r="5615" spans="14:18" x14ac:dyDescent="0.25">
      <c r="N5615"/>
      <c r="O5615"/>
      <c r="P5615"/>
      <c r="Q5615"/>
      <c r="R5615"/>
    </row>
    <row r="5616" spans="14:18" x14ac:dyDescent="0.25">
      <c r="N5616"/>
      <c r="O5616"/>
      <c r="P5616"/>
      <c r="Q5616"/>
      <c r="R5616"/>
    </row>
    <row r="5617" spans="14:18" x14ac:dyDescent="0.25">
      <c r="N5617"/>
      <c r="O5617"/>
      <c r="P5617"/>
      <c r="Q5617"/>
      <c r="R5617"/>
    </row>
    <row r="5618" spans="14:18" x14ac:dyDescent="0.25">
      <c r="N5618"/>
      <c r="O5618"/>
      <c r="P5618"/>
      <c r="Q5618"/>
      <c r="R5618"/>
    </row>
    <row r="5619" spans="14:18" x14ac:dyDescent="0.25">
      <c r="N5619"/>
      <c r="O5619"/>
      <c r="P5619"/>
      <c r="Q5619"/>
      <c r="R5619"/>
    </row>
    <row r="5620" spans="14:18" x14ac:dyDescent="0.25">
      <c r="N5620"/>
      <c r="O5620"/>
      <c r="P5620"/>
      <c r="Q5620"/>
      <c r="R5620"/>
    </row>
    <row r="5621" spans="14:18" x14ac:dyDescent="0.25">
      <c r="N5621"/>
      <c r="O5621"/>
      <c r="P5621"/>
      <c r="Q5621"/>
      <c r="R5621"/>
    </row>
    <row r="5622" spans="14:18" x14ac:dyDescent="0.25">
      <c r="N5622"/>
      <c r="O5622"/>
      <c r="P5622"/>
      <c r="Q5622"/>
      <c r="R5622"/>
    </row>
    <row r="5623" spans="14:18" x14ac:dyDescent="0.25">
      <c r="N5623"/>
      <c r="O5623"/>
      <c r="P5623"/>
      <c r="Q5623"/>
      <c r="R5623"/>
    </row>
    <row r="5624" spans="14:18" x14ac:dyDescent="0.25">
      <c r="N5624"/>
      <c r="O5624"/>
      <c r="P5624"/>
      <c r="Q5624"/>
      <c r="R5624"/>
    </row>
    <row r="5625" spans="14:18" x14ac:dyDescent="0.25">
      <c r="N5625"/>
      <c r="O5625"/>
      <c r="P5625"/>
      <c r="Q5625"/>
      <c r="R5625"/>
    </row>
    <row r="5626" spans="14:18" x14ac:dyDescent="0.25">
      <c r="N5626"/>
      <c r="O5626"/>
      <c r="P5626"/>
      <c r="Q5626"/>
      <c r="R5626"/>
    </row>
    <row r="5627" spans="14:18" x14ac:dyDescent="0.25">
      <c r="N5627"/>
      <c r="O5627"/>
      <c r="P5627"/>
      <c r="Q5627"/>
      <c r="R5627"/>
    </row>
    <row r="5628" spans="14:18" x14ac:dyDescent="0.25">
      <c r="N5628"/>
      <c r="O5628"/>
      <c r="P5628"/>
      <c r="Q5628"/>
      <c r="R5628"/>
    </row>
    <row r="5629" spans="14:18" x14ac:dyDescent="0.25">
      <c r="N5629"/>
      <c r="O5629"/>
      <c r="P5629"/>
      <c r="Q5629"/>
      <c r="R5629"/>
    </row>
    <row r="5630" spans="14:18" x14ac:dyDescent="0.25">
      <c r="N5630"/>
      <c r="O5630"/>
      <c r="P5630"/>
      <c r="Q5630"/>
      <c r="R5630"/>
    </row>
    <row r="5631" spans="14:18" x14ac:dyDescent="0.25">
      <c r="N5631"/>
      <c r="O5631"/>
      <c r="P5631"/>
      <c r="Q5631"/>
      <c r="R5631"/>
    </row>
    <row r="5632" spans="14:18" x14ac:dyDescent="0.25">
      <c r="N5632"/>
      <c r="O5632"/>
      <c r="P5632"/>
      <c r="Q5632"/>
      <c r="R5632"/>
    </row>
    <row r="5633" spans="14:18" x14ac:dyDescent="0.25">
      <c r="N5633"/>
      <c r="O5633"/>
      <c r="P5633"/>
      <c r="Q5633"/>
      <c r="R5633"/>
    </row>
    <row r="5634" spans="14:18" x14ac:dyDescent="0.25">
      <c r="N5634"/>
      <c r="O5634"/>
      <c r="P5634"/>
      <c r="Q5634"/>
      <c r="R5634"/>
    </row>
    <row r="5635" spans="14:18" x14ac:dyDescent="0.25">
      <c r="N5635"/>
      <c r="O5635"/>
      <c r="P5635"/>
      <c r="Q5635"/>
      <c r="R5635"/>
    </row>
    <row r="5636" spans="14:18" x14ac:dyDescent="0.25">
      <c r="N5636"/>
      <c r="O5636"/>
      <c r="P5636"/>
      <c r="Q5636"/>
      <c r="R5636"/>
    </row>
    <row r="5637" spans="14:18" x14ac:dyDescent="0.25">
      <c r="N5637"/>
      <c r="O5637"/>
      <c r="P5637"/>
      <c r="Q5637"/>
      <c r="R5637"/>
    </row>
    <row r="5638" spans="14:18" x14ac:dyDescent="0.25">
      <c r="N5638"/>
      <c r="O5638"/>
      <c r="P5638"/>
      <c r="Q5638"/>
      <c r="R5638"/>
    </row>
    <row r="5639" spans="14:18" x14ac:dyDescent="0.25">
      <c r="N5639"/>
      <c r="O5639"/>
      <c r="P5639"/>
      <c r="Q5639"/>
      <c r="R5639"/>
    </row>
    <row r="5640" spans="14:18" x14ac:dyDescent="0.25">
      <c r="N5640"/>
      <c r="O5640"/>
      <c r="P5640"/>
      <c r="Q5640"/>
      <c r="R5640"/>
    </row>
    <row r="5641" spans="14:18" x14ac:dyDescent="0.25">
      <c r="N5641"/>
      <c r="O5641"/>
      <c r="P5641"/>
      <c r="Q5641"/>
      <c r="R5641"/>
    </row>
    <row r="5642" spans="14:18" x14ac:dyDescent="0.25">
      <c r="N5642"/>
      <c r="O5642"/>
      <c r="P5642"/>
      <c r="Q5642"/>
      <c r="R5642"/>
    </row>
    <row r="5643" spans="14:18" x14ac:dyDescent="0.25">
      <c r="N5643"/>
      <c r="O5643"/>
      <c r="P5643"/>
      <c r="Q5643"/>
      <c r="R5643"/>
    </row>
    <row r="5644" spans="14:18" x14ac:dyDescent="0.25">
      <c r="N5644"/>
      <c r="O5644"/>
      <c r="P5644"/>
      <c r="Q5644"/>
      <c r="R5644"/>
    </row>
    <row r="5645" spans="14:18" x14ac:dyDescent="0.25">
      <c r="N5645"/>
      <c r="O5645"/>
      <c r="P5645"/>
      <c r="Q5645"/>
      <c r="R5645"/>
    </row>
    <row r="5646" spans="14:18" x14ac:dyDescent="0.25">
      <c r="N5646"/>
      <c r="O5646"/>
      <c r="P5646"/>
      <c r="Q5646"/>
      <c r="R5646"/>
    </row>
    <row r="5647" spans="14:18" x14ac:dyDescent="0.25">
      <c r="N5647"/>
      <c r="O5647"/>
      <c r="P5647"/>
      <c r="Q5647"/>
      <c r="R5647"/>
    </row>
    <row r="5648" spans="14:18" x14ac:dyDescent="0.25">
      <c r="N5648"/>
      <c r="O5648"/>
      <c r="P5648"/>
      <c r="Q5648"/>
      <c r="R5648"/>
    </row>
    <row r="5649" spans="14:18" x14ac:dyDescent="0.25">
      <c r="N5649"/>
      <c r="O5649"/>
      <c r="P5649"/>
      <c r="Q5649"/>
      <c r="R5649"/>
    </row>
    <row r="5650" spans="14:18" x14ac:dyDescent="0.25">
      <c r="N5650"/>
      <c r="O5650"/>
      <c r="P5650"/>
      <c r="Q5650"/>
      <c r="R5650"/>
    </row>
    <row r="5651" spans="14:18" x14ac:dyDescent="0.25">
      <c r="N5651"/>
      <c r="O5651"/>
      <c r="P5651"/>
      <c r="Q5651"/>
      <c r="R5651"/>
    </row>
    <row r="5652" spans="14:18" x14ac:dyDescent="0.25">
      <c r="N5652"/>
      <c r="O5652"/>
      <c r="P5652"/>
      <c r="Q5652"/>
      <c r="R5652"/>
    </row>
    <row r="5653" spans="14:18" x14ac:dyDescent="0.25">
      <c r="N5653"/>
      <c r="O5653"/>
      <c r="P5653"/>
      <c r="Q5653"/>
      <c r="R5653"/>
    </row>
    <row r="5654" spans="14:18" x14ac:dyDescent="0.25">
      <c r="N5654"/>
      <c r="O5654"/>
      <c r="P5654"/>
      <c r="Q5654"/>
      <c r="R5654"/>
    </row>
    <row r="5655" spans="14:18" x14ac:dyDescent="0.25">
      <c r="N5655"/>
      <c r="O5655"/>
      <c r="P5655"/>
      <c r="Q5655"/>
      <c r="R5655"/>
    </row>
    <row r="5656" spans="14:18" x14ac:dyDescent="0.25">
      <c r="N5656"/>
      <c r="O5656"/>
      <c r="P5656"/>
      <c r="Q5656"/>
      <c r="R5656"/>
    </row>
    <row r="5657" spans="14:18" x14ac:dyDescent="0.25">
      <c r="N5657"/>
      <c r="O5657"/>
      <c r="P5657"/>
      <c r="Q5657"/>
      <c r="R5657"/>
    </row>
    <row r="5658" spans="14:18" x14ac:dyDescent="0.25">
      <c r="N5658"/>
      <c r="O5658"/>
      <c r="P5658"/>
      <c r="Q5658"/>
      <c r="R5658"/>
    </row>
    <row r="5659" spans="14:18" x14ac:dyDescent="0.25">
      <c r="N5659"/>
      <c r="O5659"/>
      <c r="P5659"/>
      <c r="Q5659"/>
      <c r="R5659"/>
    </row>
    <row r="5660" spans="14:18" x14ac:dyDescent="0.25">
      <c r="N5660"/>
      <c r="O5660"/>
      <c r="P5660"/>
      <c r="Q5660"/>
      <c r="R5660"/>
    </row>
    <row r="5661" spans="14:18" x14ac:dyDescent="0.25">
      <c r="N5661"/>
      <c r="O5661"/>
      <c r="P5661"/>
      <c r="Q5661"/>
      <c r="R5661"/>
    </row>
    <row r="5662" spans="14:18" x14ac:dyDescent="0.25">
      <c r="N5662"/>
      <c r="O5662"/>
      <c r="P5662"/>
      <c r="Q5662"/>
      <c r="R5662"/>
    </row>
    <row r="5663" spans="14:18" x14ac:dyDescent="0.25">
      <c r="N5663"/>
      <c r="O5663"/>
      <c r="P5663"/>
      <c r="Q5663"/>
      <c r="R5663"/>
    </row>
    <row r="5664" spans="14:18" x14ac:dyDescent="0.25">
      <c r="N5664"/>
      <c r="O5664"/>
      <c r="P5664"/>
      <c r="Q5664"/>
      <c r="R5664"/>
    </row>
    <row r="5665" spans="14:18" x14ac:dyDescent="0.25">
      <c r="N5665"/>
      <c r="O5665"/>
      <c r="P5665"/>
      <c r="Q5665"/>
      <c r="R5665"/>
    </row>
    <row r="5666" spans="14:18" x14ac:dyDescent="0.25">
      <c r="N5666"/>
      <c r="O5666"/>
      <c r="P5666"/>
      <c r="Q5666"/>
      <c r="R5666"/>
    </row>
    <row r="5667" spans="14:18" x14ac:dyDescent="0.25">
      <c r="N5667"/>
      <c r="O5667"/>
      <c r="P5667"/>
      <c r="Q5667"/>
      <c r="R5667"/>
    </row>
    <row r="5668" spans="14:18" x14ac:dyDescent="0.25">
      <c r="N5668"/>
      <c r="O5668"/>
      <c r="P5668"/>
      <c r="Q5668"/>
      <c r="R5668"/>
    </row>
    <row r="5669" spans="14:18" x14ac:dyDescent="0.25">
      <c r="N5669"/>
      <c r="O5669"/>
      <c r="P5669"/>
      <c r="Q5669"/>
      <c r="R5669"/>
    </row>
    <row r="5670" spans="14:18" x14ac:dyDescent="0.25">
      <c r="N5670"/>
      <c r="O5670"/>
      <c r="P5670"/>
      <c r="Q5670"/>
      <c r="R5670"/>
    </row>
    <row r="5671" spans="14:18" x14ac:dyDescent="0.25">
      <c r="N5671"/>
      <c r="O5671"/>
      <c r="P5671"/>
      <c r="Q5671"/>
      <c r="R5671"/>
    </row>
    <row r="5672" spans="14:18" x14ac:dyDescent="0.25">
      <c r="N5672"/>
      <c r="O5672"/>
      <c r="P5672"/>
      <c r="Q5672"/>
      <c r="R5672"/>
    </row>
    <row r="5673" spans="14:18" x14ac:dyDescent="0.25">
      <c r="N5673"/>
      <c r="O5673"/>
      <c r="P5673"/>
      <c r="Q5673"/>
      <c r="R5673"/>
    </row>
    <row r="5674" spans="14:18" x14ac:dyDescent="0.25">
      <c r="N5674"/>
      <c r="O5674"/>
      <c r="P5674"/>
      <c r="Q5674"/>
      <c r="R5674"/>
    </row>
    <row r="5675" spans="14:18" x14ac:dyDescent="0.25">
      <c r="N5675"/>
      <c r="O5675"/>
      <c r="P5675"/>
      <c r="Q5675"/>
      <c r="R5675"/>
    </row>
    <row r="5676" spans="14:18" x14ac:dyDescent="0.25">
      <c r="N5676"/>
      <c r="O5676"/>
      <c r="P5676"/>
      <c r="Q5676"/>
      <c r="R5676"/>
    </row>
    <row r="5677" spans="14:18" x14ac:dyDescent="0.25">
      <c r="N5677"/>
      <c r="O5677"/>
      <c r="P5677"/>
      <c r="Q5677"/>
      <c r="R5677"/>
    </row>
    <row r="5678" spans="14:18" x14ac:dyDescent="0.25">
      <c r="N5678"/>
      <c r="O5678"/>
      <c r="P5678"/>
      <c r="Q5678"/>
      <c r="R5678"/>
    </row>
    <row r="5679" spans="14:18" x14ac:dyDescent="0.25">
      <c r="N5679"/>
      <c r="O5679"/>
      <c r="P5679"/>
      <c r="Q5679"/>
      <c r="R5679"/>
    </row>
    <row r="5680" spans="14:18" x14ac:dyDescent="0.25">
      <c r="N5680"/>
      <c r="O5680"/>
      <c r="P5680"/>
      <c r="Q5680"/>
      <c r="R5680"/>
    </row>
    <row r="5681" spans="14:18" x14ac:dyDescent="0.25">
      <c r="N5681"/>
      <c r="O5681"/>
      <c r="P5681"/>
      <c r="Q5681"/>
      <c r="R5681"/>
    </row>
    <row r="5682" spans="14:18" x14ac:dyDescent="0.25">
      <c r="N5682"/>
      <c r="O5682"/>
      <c r="P5682"/>
      <c r="Q5682"/>
      <c r="R5682"/>
    </row>
    <row r="5683" spans="14:18" x14ac:dyDescent="0.25">
      <c r="N5683"/>
      <c r="O5683"/>
      <c r="P5683"/>
      <c r="Q5683"/>
      <c r="R5683"/>
    </row>
    <row r="5684" spans="14:18" x14ac:dyDescent="0.25">
      <c r="N5684"/>
      <c r="O5684"/>
      <c r="P5684"/>
      <c r="Q5684"/>
      <c r="R5684"/>
    </row>
    <row r="5685" spans="14:18" x14ac:dyDescent="0.25">
      <c r="N5685"/>
      <c r="O5685"/>
      <c r="P5685"/>
      <c r="Q5685"/>
      <c r="R5685"/>
    </row>
    <row r="5686" spans="14:18" x14ac:dyDescent="0.25">
      <c r="N5686"/>
      <c r="O5686"/>
      <c r="P5686"/>
      <c r="Q5686"/>
      <c r="R5686"/>
    </row>
    <row r="5687" spans="14:18" x14ac:dyDescent="0.25">
      <c r="N5687"/>
      <c r="O5687"/>
      <c r="P5687"/>
      <c r="Q5687"/>
      <c r="R5687"/>
    </row>
    <row r="5688" spans="14:18" x14ac:dyDescent="0.25">
      <c r="N5688"/>
      <c r="O5688"/>
      <c r="P5688"/>
      <c r="Q5688"/>
      <c r="R5688"/>
    </row>
    <row r="5689" spans="14:18" x14ac:dyDescent="0.25">
      <c r="N5689"/>
      <c r="O5689"/>
      <c r="P5689"/>
      <c r="Q5689"/>
      <c r="R5689"/>
    </row>
    <row r="5690" spans="14:18" x14ac:dyDescent="0.25">
      <c r="N5690"/>
      <c r="O5690"/>
      <c r="P5690"/>
      <c r="Q5690"/>
      <c r="R5690"/>
    </row>
    <row r="5691" spans="14:18" x14ac:dyDescent="0.25">
      <c r="N5691"/>
      <c r="O5691"/>
      <c r="P5691"/>
      <c r="Q5691"/>
      <c r="R5691"/>
    </row>
    <row r="5692" spans="14:18" x14ac:dyDescent="0.25">
      <c r="N5692"/>
      <c r="O5692"/>
      <c r="P5692"/>
      <c r="Q5692"/>
      <c r="R5692"/>
    </row>
    <row r="5693" spans="14:18" x14ac:dyDescent="0.25">
      <c r="N5693"/>
      <c r="O5693"/>
      <c r="P5693"/>
      <c r="Q5693"/>
      <c r="R5693"/>
    </row>
    <row r="5694" spans="14:18" x14ac:dyDescent="0.25">
      <c r="N5694"/>
      <c r="O5694"/>
      <c r="P5694"/>
      <c r="Q5694"/>
      <c r="R5694"/>
    </row>
    <row r="5695" spans="14:18" x14ac:dyDescent="0.25">
      <c r="N5695"/>
      <c r="O5695"/>
      <c r="P5695"/>
      <c r="Q5695"/>
      <c r="R5695"/>
    </row>
    <row r="5696" spans="14:18" x14ac:dyDescent="0.25">
      <c r="N5696"/>
      <c r="O5696"/>
      <c r="P5696"/>
      <c r="Q5696"/>
      <c r="R5696"/>
    </row>
    <row r="5697" spans="14:18" x14ac:dyDescent="0.25">
      <c r="N5697"/>
      <c r="O5697"/>
      <c r="P5697"/>
      <c r="Q5697"/>
      <c r="R5697"/>
    </row>
    <row r="5698" spans="14:18" x14ac:dyDescent="0.25">
      <c r="N5698"/>
      <c r="O5698"/>
      <c r="P5698"/>
      <c r="Q5698"/>
      <c r="R5698"/>
    </row>
    <row r="5699" spans="14:18" x14ac:dyDescent="0.25">
      <c r="N5699"/>
      <c r="O5699"/>
      <c r="P5699"/>
      <c r="Q5699"/>
      <c r="R5699"/>
    </row>
    <row r="5700" spans="14:18" x14ac:dyDescent="0.25">
      <c r="N5700"/>
      <c r="O5700"/>
      <c r="P5700"/>
      <c r="Q5700"/>
      <c r="R5700"/>
    </row>
    <row r="5701" spans="14:18" x14ac:dyDescent="0.25">
      <c r="N5701"/>
      <c r="O5701"/>
      <c r="P5701"/>
      <c r="Q5701"/>
      <c r="R5701"/>
    </row>
    <row r="5702" spans="14:18" x14ac:dyDescent="0.25">
      <c r="N5702"/>
      <c r="O5702"/>
      <c r="P5702"/>
      <c r="Q5702"/>
      <c r="R5702"/>
    </row>
    <row r="5703" spans="14:18" x14ac:dyDescent="0.25">
      <c r="N5703"/>
      <c r="O5703"/>
      <c r="P5703"/>
      <c r="Q5703"/>
      <c r="R5703"/>
    </row>
    <row r="5704" spans="14:18" x14ac:dyDescent="0.25">
      <c r="N5704"/>
      <c r="O5704"/>
      <c r="P5704"/>
      <c r="Q5704"/>
      <c r="R5704"/>
    </row>
    <row r="5705" spans="14:18" x14ac:dyDescent="0.25">
      <c r="N5705"/>
      <c r="O5705"/>
      <c r="P5705"/>
      <c r="Q5705"/>
      <c r="R5705"/>
    </row>
    <row r="5706" spans="14:18" x14ac:dyDescent="0.25">
      <c r="N5706"/>
      <c r="O5706"/>
      <c r="P5706"/>
      <c r="Q5706"/>
      <c r="R5706"/>
    </row>
    <row r="5707" spans="14:18" x14ac:dyDescent="0.25">
      <c r="N5707"/>
      <c r="O5707"/>
      <c r="P5707"/>
      <c r="Q5707"/>
      <c r="R5707"/>
    </row>
    <row r="5708" spans="14:18" x14ac:dyDescent="0.25">
      <c r="N5708"/>
      <c r="O5708"/>
      <c r="P5708"/>
      <c r="Q5708"/>
      <c r="R5708"/>
    </row>
    <row r="5709" spans="14:18" x14ac:dyDescent="0.25">
      <c r="N5709"/>
      <c r="O5709"/>
      <c r="P5709"/>
      <c r="Q5709"/>
      <c r="R5709"/>
    </row>
    <row r="5710" spans="14:18" x14ac:dyDescent="0.25">
      <c r="N5710"/>
      <c r="O5710"/>
      <c r="P5710"/>
      <c r="Q5710"/>
      <c r="R5710"/>
    </row>
    <row r="5711" spans="14:18" x14ac:dyDescent="0.25">
      <c r="N5711"/>
      <c r="O5711"/>
      <c r="P5711"/>
      <c r="Q5711"/>
      <c r="R5711"/>
    </row>
    <row r="5712" spans="14:18" x14ac:dyDescent="0.25">
      <c r="N5712"/>
      <c r="O5712"/>
      <c r="P5712"/>
      <c r="Q5712"/>
      <c r="R5712"/>
    </row>
    <row r="5713" spans="14:18" x14ac:dyDescent="0.25">
      <c r="N5713"/>
      <c r="O5713"/>
      <c r="P5713"/>
      <c r="Q5713"/>
      <c r="R5713"/>
    </row>
    <row r="5714" spans="14:18" x14ac:dyDescent="0.25">
      <c r="N5714"/>
      <c r="O5714"/>
      <c r="P5714"/>
      <c r="Q5714"/>
      <c r="R5714"/>
    </row>
    <row r="5715" spans="14:18" x14ac:dyDescent="0.25">
      <c r="N5715"/>
      <c r="O5715"/>
      <c r="P5715"/>
      <c r="Q5715"/>
      <c r="R5715"/>
    </row>
    <row r="5716" spans="14:18" x14ac:dyDescent="0.25">
      <c r="N5716"/>
      <c r="O5716"/>
      <c r="P5716"/>
      <c r="Q5716"/>
      <c r="R5716"/>
    </row>
    <row r="5717" spans="14:18" x14ac:dyDescent="0.25">
      <c r="N5717"/>
      <c r="O5717"/>
      <c r="P5717"/>
      <c r="Q5717"/>
      <c r="R5717"/>
    </row>
    <row r="5718" spans="14:18" x14ac:dyDescent="0.25">
      <c r="N5718"/>
      <c r="O5718"/>
      <c r="P5718"/>
      <c r="Q5718"/>
      <c r="R5718"/>
    </row>
    <row r="5719" spans="14:18" x14ac:dyDescent="0.25">
      <c r="N5719"/>
      <c r="O5719"/>
      <c r="P5719"/>
      <c r="Q5719"/>
      <c r="R5719"/>
    </row>
    <row r="5720" spans="14:18" x14ac:dyDescent="0.25">
      <c r="N5720"/>
      <c r="O5720"/>
      <c r="P5720"/>
      <c r="Q5720"/>
      <c r="R5720"/>
    </row>
    <row r="5721" spans="14:18" x14ac:dyDescent="0.25">
      <c r="N5721"/>
      <c r="O5721"/>
      <c r="P5721"/>
      <c r="Q5721"/>
      <c r="R5721"/>
    </row>
    <row r="5722" spans="14:18" x14ac:dyDescent="0.25">
      <c r="N5722"/>
      <c r="O5722"/>
      <c r="P5722"/>
      <c r="Q5722"/>
      <c r="R5722"/>
    </row>
    <row r="5723" spans="14:18" x14ac:dyDescent="0.25">
      <c r="N5723"/>
      <c r="O5723"/>
      <c r="P5723"/>
      <c r="Q5723"/>
      <c r="R5723"/>
    </row>
    <row r="5724" spans="14:18" x14ac:dyDescent="0.25">
      <c r="N5724"/>
      <c r="O5724"/>
      <c r="P5724"/>
      <c r="Q5724"/>
      <c r="R5724"/>
    </row>
    <row r="5725" spans="14:18" x14ac:dyDescent="0.25">
      <c r="N5725"/>
      <c r="O5725"/>
      <c r="P5725"/>
      <c r="Q5725"/>
      <c r="R5725"/>
    </row>
    <row r="5726" spans="14:18" x14ac:dyDescent="0.25">
      <c r="N5726"/>
      <c r="O5726"/>
      <c r="P5726"/>
      <c r="Q5726"/>
      <c r="R5726"/>
    </row>
    <row r="5727" spans="14:18" x14ac:dyDescent="0.25">
      <c r="N5727"/>
      <c r="O5727"/>
      <c r="P5727"/>
      <c r="Q5727"/>
      <c r="R5727"/>
    </row>
    <row r="5728" spans="14:18" x14ac:dyDescent="0.25">
      <c r="N5728"/>
      <c r="O5728"/>
      <c r="P5728"/>
      <c r="Q5728"/>
      <c r="R5728"/>
    </row>
    <row r="5729" spans="14:18" x14ac:dyDescent="0.25">
      <c r="N5729"/>
      <c r="O5729"/>
      <c r="P5729"/>
      <c r="Q5729"/>
      <c r="R5729"/>
    </row>
    <row r="5730" spans="14:18" x14ac:dyDescent="0.25">
      <c r="N5730"/>
      <c r="O5730"/>
      <c r="P5730"/>
      <c r="Q5730"/>
      <c r="R5730"/>
    </row>
    <row r="5731" spans="14:18" x14ac:dyDescent="0.25">
      <c r="N5731"/>
      <c r="O5731"/>
      <c r="P5731"/>
      <c r="Q5731"/>
      <c r="R5731"/>
    </row>
    <row r="5732" spans="14:18" x14ac:dyDescent="0.25">
      <c r="N5732"/>
      <c r="O5732"/>
      <c r="P5732"/>
      <c r="Q5732"/>
      <c r="R5732"/>
    </row>
    <row r="5733" spans="14:18" x14ac:dyDescent="0.25">
      <c r="N5733"/>
      <c r="O5733"/>
      <c r="P5733"/>
      <c r="Q5733"/>
      <c r="R5733"/>
    </row>
    <row r="5734" spans="14:18" x14ac:dyDescent="0.25">
      <c r="N5734"/>
      <c r="O5734"/>
      <c r="P5734"/>
      <c r="Q5734"/>
      <c r="R5734"/>
    </row>
    <row r="5735" spans="14:18" x14ac:dyDescent="0.25">
      <c r="N5735"/>
      <c r="O5735"/>
      <c r="P5735"/>
      <c r="Q5735"/>
      <c r="R5735"/>
    </row>
    <row r="5736" spans="14:18" x14ac:dyDescent="0.25">
      <c r="N5736"/>
      <c r="O5736"/>
      <c r="P5736"/>
      <c r="Q5736"/>
      <c r="R5736"/>
    </row>
    <row r="5737" spans="14:18" x14ac:dyDescent="0.25">
      <c r="N5737"/>
      <c r="O5737"/>
      <c r="P5737"/>
      <c r="Q5737"/>
      <c r="R5737"/>
    </row>
    <row r="5738" spans="14:18" x14ac:dyDescent="0.25">
      <c r="N5738"/>
      <c r="O5738"/>
      <c r="P5738"/>
      <c r="Q5738"/>
      <c r="R5738"/>
    </row>
    <row r="5739" spans="14:18" x14ac:dyDescent="0.25">
      <c r="N5739"/>
      <c r="O5739"/>
      <c r="P5739"/>
      <c r="Q5739"/>
      <c r="R5739"/>
    </row>
    <row r="5740" spans="14:18" x14ac:dyDescent="0.25">
      <c r="N5740"/>
      <c r="O5740"/>
      <c r="P5740"/>
      <c r="Q5740"/>
      <c r="R5740"/>
    </row>
    <row r="5741" spans="14:18" x14ac:dyDescent="0.25">
      <c r="N5741"/>
      <c r="O5741"/>
      <c r="P5741"/>
      <c r="Q5741"/>
      <c r="R5741"/>
    </row>
    <row r="5742" spans="14:18" x14ac:dyDescent="0.25">
      <c r="N5742"/>
      <c r="O5742"/>
      <c r="P5742"/>
      <c r="Q5742"/>
      <c r="R5742"/>
    </row>
    <row r="5743" spans="14:18" x14ac:dyDescent="0.25">
      <c r="N5743"/>
      <c r="O5743"/>
      <c r="P5743"/>
      <c r="Q5743"/>
      <c r="R5743"/>
    </row>
    <row r="5744" spans="14:18" x14ac:dyDescent="0.25">
      <c r="N5744"/>
      <c r="O5744"/>
      <c r="P5744"/>
      <c r="Q5744"/>
      <c r="R5744"/>
    </row>
    <row r="5745" spans="14:18" x14ac:dyDescent="0.25">
      <c r="N5745"/>
      <c r="O5745"/>
      <c r="P5745"/>
      <c r="Q5745"/>
      <c r="R5745"/>
    </row>
    <row r="5746" spans="14:18" x14ac:dyDescent="0.25">
      <c r="N5746"/>
      <c r="O5746"/>
      <c r="P5746"/>
      <c r="Q5746"/>
      <c r="R5746"/>
    </row>
    <row r="5747" spans="14:18" x14ac:dyDescent="0.25">
      <c r="N5747"/>
      <c r="O5747"/>
      <c r="P5747"/>
      <c r="Q5747"/>
      <c r="R5747"/>
    </row>
    <row r="5748" spans="14:18" x14ac:dyDescent="0.25">
      <c r="N5748"/>
      <c r="O5748"/>
      <c r="P5748"/>
      <c r="Q5748"/>
      <c r="R5748"/>
    </row>
    <row r="5749" spans="14:18" x14ac:dyDescent="0.25">
      <c r="N5749"/>
      <c r="O5749"/>
      <c r="P5749"/>
      <c r="Q5749"/>
      <c r="R5749"/>
    </row>
    <row r="5750" spans="14:18" x14ac:dyDescent="0.25">
      <c r="N5750"/>
      <c r="O5750"/>
      <c r="P5750"/>
      <c r="Q5750"/>
      <c r="R5750"/>
    </row>
    <row r="5751" spans="14:18" x14ac:dyDescent="0.25">
      <c r="N5751"/>
      <c r="O5751"/>
      <c r="P5751"/>
      <c r="Q5751"/>
      <c r="R5751"/>
    </row>
    <row r="5752" spans="14:18" x14ac:dyDescent="0.25">
      <c r="N5752"/>
      <c r="O5752"/>
      <c r="P5752"/>
      <c r="Q5752"/>
      <c r="R5752"/>
    </row>
    <row r="5753" spans="14:18" x14ac:dyDescent="0.25">
      <c r="N5753"/>
      <c r="O5753"/>
      <c r="P5753"/>
      <c r="Q5753"/>
      <c r="R5753"/>
    </row>
    <row r="5754" spans="14:18" x14ac:dyDescent="0.25">
      <c r="N5754"/>
      <c r="O5754"/>
      <c r="P5754"/>
      <c r="Q5754"/>
      <c r="R5754"/>
    </row>
    <row r="5755" spans="14:18" x14ac:dyDescent="0.25">
      <c r="N5755"/>
      <c r="O5755"/>
      <c r="P5755"/>
      <c r="Q5755"/>
      <c r="R5755"/>
    </row>
    <row r="5756" spans="14:18" x14ac:dyDescent="0.25">
      <c r="N5756"/>
      <c r="O5756"/>
      <c r="P5756"/>
      <c r="Q5756"/>
      <c r="R5756"/>
    </row>
    <row r="5757" spans="14:18" x14ac:dyDescent="0.25">
      <c r="N5757"/>
      <c r="O5757"/>
      <c r="P5757"/>
      <c r="Q5757"/>
      <c r="R5757"/>
    </row>
    <row r="5758" spans="14:18" x14ac:dyDescent="0.25">
      <c r="N5758"/>
      <c r="O5758"/>
      <c r="P5758"/>
      <c r="Q5758"/>
      <c r="R5758"/>
    </row>
    <row r="5759" spans="14:18" x14ac:dyDescent="0.25">
      <c r="N5759"/>
      <c r="O5759"/>
      <c r="P5759"/>
      <c r="Q5759"/>
      <c r="R5759"/>
    </row>
    <row r="5760" spans="14:18" x14ac:dyDescent="0.25">
      <c r="N5760"/>
      <c r="O5760"/>
      <c r="P5760"/>
      <c r="Q5760"/>
      <c r="R5760"/>
    </row>
    <row r="5761" spans="14:18" x14ac:dyDescent="0.25">
      <c r="N5761"/>
      <c r="O5761"/>
      <c r="P5761"/>
      <c r="Q5761"/>
      <c r="R5761"/>
    </row>
    <row r="5762" spans="14:18" x14ac:dyDescent="0.25">
      <c r="N5762"/>
      <c r="O5762"/>
      <c r="P5762"/>
      <c r="Q5762"/>
      <c r="R5762"/>
    </row>
    <row r="5763" spans="14:18" x14ac:dyDescent="0.25">
      <c r="N5763"/>
      <c r="O5763"/>
      <c r="P5763"/>
      <c r="Q5763"/>
      <c r="R5763"/>
    </row>
    <row r="5764" spans="14:18" x14ac:dyDescent="0.25">
      <c r="N5764"/>
      <c r="O5764"/>
      <c r="P5764"/>
      <c r="Q5764"/>
      <c r="R5764"/>
    </row>
    <row r="5765" spans="14:18" x14ac:dyDescent="0.25">
      <c r="N5765"/>
      <c r="O5765"/>
      <c r="P5765"/>
      <c r="Q5765"/>
      <c r="R5765"/>
    </row>
    <row r="5766" spans="14:18" x14ac:dyDescent="0.25">
      <c r="N5766"/>
      <c r="O5766"/>
      <c r="P5766"/>
      <c r="Q5766"/>
      <c r="R5766"/>
    </row>
    <row r="5767" spans="14:18" x14ac:dyDescent="0.25">
      <c r="N5767"/>
      <c r="O5767"/>
      <c r="P5767"/>
      <c r="Q5767"/>
      <c r="R5767"/>
    </row>
    <row r="5768" spans="14:18" x14ac:dyDescent="0.25">
      <c r="N5768"/>
      <c r="O5768"/>
      <c r="P5768"/>
      <c r="Q5768"/>
      <c r="R5768"/>
    </row>
    <row r="5769" spans="14:18" x14ac:dyDescent="0.25">
      <c r="N5769"/>
      <c r="O5769"/>
      <c r="P5769"/>
      <c r="Q5769"/>
      <c r="R5769"/>
    </row>
    <row r="5770" spans="14:18" x14ac:dyDescent="0.25">
      <c r="N5770"/>
      <c r="O5770"/>
      <c r="P5770"/>
      <c r="Q5770"/>
      <c r="R5770"/>
    </row>
    <row r="5771" spans="14:18" x14ac:dyDescent="0.25">
      <c r="N5771"/>
      <c r="O5771"/>
      <c r="P5771"/>
      <c r="Q5771"/>
      <c r="R5771"/>
    </row>
    <row r="5772" spans="14:18" x14ac:dyDescent="0.25">
      <c r="N5772"/>
      <c r="O5772"/>
      <c r="P5772"/>
      <c r="Q5772"/>
      <c r="R5772"/>
    </row>
    <row r="5773" spans="14:18" x14ac:dyDescent="0.25">
      <c r="N5773"/>
      <c r="O5773"/>
      <c r="P5773"/>
      <c r="Q5773"/>
      <c r="R5773"/>
    </row>
    <row r="5774" spans="14:18" x14ac:dyDescent="0.25">
      <c r="N5774"/>
      <c r="O5774"/>
      <c r="P5774"/>
      <c r="Q5774"/>
      <c r="R5774"/>
    </row>
    <row r="5775" spans="14:18" x14ac:dyDescent="0.25">
      <c r="N5775"/>
      <c r="O5775"/>
      <c r="P5775"/>
      <c r="Q5775"/>
      <c r="R5775"/>
    </row>
    <row r="5776" spans="14:18" x14ac:dyDescent="0.25">
      <c r="N5776"/>
      <c r="O5776"/>
      <c r="P5776"/>
      <c r="Q5776"/>
      <c r="R5776"/>
    </row>
    <row r="5777" spans="14:18" x14ac:dyDescent="0.25">
      <c r="N5777"/>
      <c r="O5777"/>
      <c r="P5777"/>
      <c r="Q5777"/>
      <c r="R5777"/>
    </row>
    <row r="5778" spans="14:18" x14ac:dyDescent="0.25">
      <c r="N5778"/>
      <c r="O5778"/>
      <c r="P5778"/>
      <c r="Q5778"/>
      <c r="R5778"/>
    </row>
    <row r="5779" spans="14:18" x14ac:dyDescent="0.25">
      <c r="N5779"/>
      <c r="O5779"/>
      <c r="P5779"/>
      <c r="Q5779"/>
      <c r="R5779"/>
    </row>
    <row r="5780" spans="14:18" x14ac:dyDescent="0.25">
      <c r="N5780"/>
      <c r="O5780"/>
      <c r="P5780"/>
      <c r="Q5780"/>
      <c r="R5780"/>
    </row>
    <row r="5781" spans="14:18" x14ac:dyDescent="0.25">
      <c r="N5781"/>
      <c r="O5781"/>
      <c r="P5781"/>
      <c r="Q5781"/>
      <c r="R5781"/>
    </row>
    <row r="5782" spans="14:18" x14ac:dyDescent="0.25">
      <c r="N5782"/>
      <c r="O5782"/>
      <c r="P5782"/>
      <c r="Q5782"/>
      <c r="R5782"/>
    </row>
    <row r="5783" spans="14:18" x14ac:dyDescent="0.25">
      <c r="N5783"/>
      <c r="O5783"/>
      <c r="P5783"/>
      <c r="Q5783"/>
      <c r="R5783"/>
    </row>
    <row r="5784" spans="14:18" x14ac:dyDescent="0.25">
      <c r="N5784"/>
      <c r="O5784"/>
      <c r="P5784"/>
      <c r="Q5784"/>
      <c r="R5784"/>
    </row>
    <row r="5785" spans="14:18" x14ac:dyDescent="0.25">
      <c r="N5785"/>
      <c r="O5785"/>
      <c r="P5785"/>
      <c r="Q5785"/>
      <c r="R5785"/>
    </row>
    <row r="5786" spans="14:18" x14ac:dyDescent="0.25">
      <c r="N5786"/>
      <c r="O5786"/>
      <c r="P5786"/>
      <c r="Q5786"/>
      <c r="R5786"/>
    </row>
    <row r="5787" spans="14:18" x14ac:dyDescent="0.25">
      <c r="N5787"/>
      <c r="O5787"/>
      <c r="P5787"/>
      <c r="Q5787"/>
      <c r="R5787"/>
    </row>
    <row r="5788" spans="14:18" x14ac:dyDescent="0.25">
      <c r="N5788"/>
      <c r="O5788"/>
      <c r="P5788"/>
      <c r="Q5788"/>
      <c r="R5788"/>
    </row>
    <row r="5789" spans="14:18" x14ac:dyDescent="0.25">
      <c r="N5789"/>
      <c r="O5789"/>
      <c r="P5789"/>
      <c r="Q5789"/>
      <c r="R5789"/>
    </row>
    <row r="5790" spans="14:18" x14ac:dyDescent="0.25">
      <c r="N5790"/>
      <c r="O5790"/>
      <c r="P5790"/>
      <c r="Q5790"/>
      <c r="R5790"/>
    </row>
    <row r="5791" spans="14:18" x14ac:dyDescent="0.25">
      <c r="N5791"/>
      <c r="O5791"/>
      <c r="P5791"/>
      <c r="Q5791"/>
      <c r="R5791"/>
    </row>
    <row r="5792" spans="14:18" x14ac:dyDescent="0.25">
      <c r="N5792"/>
      <c r="O5792"/>
      <c r="P5792"/>
      <c r="Q5792"/>
      <c r="R5792"/>
    </row>
    <row r="5793" spans="14:18" x14ac:dyDescent="0.25">
      <c r="N5793"/>
      <c r="O5793"/>
      <c r="P5793"/>
      <c r="Q5793"/>
      <c r="R5793"/>
    </row>
    <row r="5794" spans="14:18" x14ac:dyDescent="0.25">
      <c r="N5794"/>
      <c r="O5794"/>
      <c r="P5794"/>
      <c r="Q5794"/>
      <c r="R5794"/>
    </row>
    <row r="5795" spans="14:18" x14ac:dyDescent="0.25">
      <c r="N5795"/>
      <c r="O5795"/>
      <c r="P5795"/>
      <c r="Q5795"/>
      <c r="R5795"/>
    </row>
    <row r="5796" spans="14:18" x14ac:dyDescent="0.25">
      <c r="N5796"/>
      <c r="O5796"/>
      <c r="P5796"/>
      <c r="Q5796"/>
      <c r="R5796"/>
    </row>
    <row r="5797" spans="14:18" x14ac:dyDescent="0.25">
      <c r="N5797"/>
      <c r="O5797"/>
      <c r="P5797"/>
      <c r="Q5797"/>
      <c r="R5797"/>
    </row>
    <row r="5798" spans="14:18" x14ac:dyDescent="0.25">
      <c r="N5798"/>
      <c r="O5798"/>
      <c r="P5798"/>
      <c r="Q5798"/>
      <c r="R5798"/>
    </row>
    <row r="5799" spans="14:18" x14ac:dyDescent="0.25">
      <c r="N5799"/>
      <c r="O5799"/>
      <c r="P5799"/>
      <c r="Q5799"/>
      <c r="R5799"/>
    </row>
    <row r="5800" spans="14:18" x14ac:dyDescent="0.25">
      <c r="N5800"/>
      <c r="O5800"/>
      <c r="P5800"/>
      <c r="Q5800"/>
      <c r="R5800"/>
    </row>
    <row r="5801" spans="14:18" x14ac:dyDescent="0.25">
      <c r="N5801"/>
      <c r="O5801"/>
      <c r="P5801"/>
      <c r="Q5801"/>
      <c r="R5801"/>
    </row>
    <row r="5802" spans="14:18" x14ac:dyDescent="0.25">
      <c r="N5802"/>
      <c r="O5802"/>
      <c r="P5802"/>
      <c r="Q5802"/>
      <c r="R5802"/>
    </row>
    <row r="5803" spans="14:18" x14ac:dyDescent="0.25">
      <c r="N5803"/>
      <c r="O5803"/>
      <c r="P5803"/>
      <c r="Q5803"/>
      <c r="R5803"/>
    </row>
    <row r="5804" spans="14:18" x14ac:dyDescent="0.25">
      <c r="N5804"/>
      <c r="O5804"/>
      <c r="P5804"/>
      <c r="Q5804"/>
      <c r="R5804"/>
    </row>
    <row r="5805" spans="14:18" x14ac:dyDescent="0.25">
      <c r="N5805"/>
      <c r="O5805"/>
      <c r="P5805"/>
      <c r="Q5805"/>
      <c r="R5805"/>
    </row>
    <row r="5806" spans="14:18" x14ac:dyDescent="0.25">
      <c r="N5806"/>
      <c r="O5806"/>
      <c r="P5806"/>
      <c r="Q5806"/>
      <c r="R5806"/>
    </row>
    <row r="5807" spans="14:18" x14ac:dyDescent="0.25">
      <c r="N5807"/>
      <c r="O5807"/>
      <c r="P5807"/>
      <c r="Q5807"/>
      <c r="R5807"/>
    </row>
    <row r="5808" spans="14:18" x14ac:dyDescent="0.25">
      <c r="N5808"/>
      <c r="O5808"/>
      <c r="P5808"/>
      <c r="Q5808"/>
      <c r="R5808"/>
    </row>
    <row r="5809" spans="14:18" x14ac:dyDescent="0.25">
      <c r="N5809"/>
      <c r="O5809"/>
      <c r="P5809"/>
      <c r="Q5809"/>
      <c r="R5809"/>
    </row>
    <row r="5810" spans="14:18" x14ac:dyDescent="0.25">
      <c r="N5810"/>
      <c r="O5810"/>
      <c r="P5810"/>
      <c r="Q5810"/>
      <c r="R5810"/>
    </row>
    <row r="5811" spans="14:18" x14ac:dyDescent="0.25">
      <c r="N5811"/>
      <c r="O5811"/>
      <c r="P5811"/>
      <c r="Q5811"/>
      <c r="R5811"/>
    </row>
    <row r="5812" spans="14:18" x14ac:dyDescent="0.25">
      <c r="N5812"/>
      <c r="O5812"/>
      <c r="P5812"/>
      <c r="Q5812"/>
      <c r="R5812"/>
    </row>
    <row r="5813" spans="14:18" x14ac:dyDescent="0.25">
      <c r="N5813"/>
      <c r="O5813"/>
      <c r="P5813"/>
      <c r="Q5813"/>
      <c r="R5813"/>
    </row>
    <row r="5814" spans="14:18" x14ac:dyDescent="0.25">
      <c r="N5814"/>
      <c r="O5814"/>
      <c r="P5814"/>
      <c r="Q5814"/>
      <c r="R5814"/>
    </row>
    <row r="5815" spans="14:18" x14ac:dyDescent="0.25">
      <c r="N5815"/>
      <c r="O5815"/>
      <c r="P5815"/>
      <c r="Q5815"/>
      <c r="R5815"/>
    </row>
    <row r="5816" spans="14:18" x14ac:dyDescent="0.25">
      <c r="N5816"/>
      <c r="O5816"/>
      <c r="P5816"/>
      <c r="Q5816"/>
      <c r="R5816"/>
    </row>
    <row r="5817" spans="14:18" x14ac:dyDescent="0.25">
      <c r="N5817"/>
      <c r="O5817"/>
      <c r="P5817"/>
      <c r="Q5817"/>
      <c r="R5817"/>
    </row>
    <row r="5818" spans="14:18" x14ac:dyDescent="0.25">
      <c r="N5818"/>
      <c r="O5818"/>
      <c r="P5818"/>
      <c r="Q5818"/>
      <c r="R5818"/>
    </row>
    <row r="5819" spans="14:18" x14ac:dyDescent="0.25">
      <c r="N5819"/>
      <c r="O5819"/>
      <c r="P5819"/>
      <c r="Q5819"/>
      <c r="R5819"/>
    </row>
    <row r="5820" spans="14:18" x14ac:dyDescent="0.25">
      <c r="N5820"/>
      <c r="O5820"/>
      <c r="P5820"/>
      <c r="Q5820"/>
      <c r="R5820"/>
    </row>
    <row r="5821" spans="14:18" x14ac:dyDescent="0.25">
      <c r="N5821"/>
      <c r="O5821"/>
      <c r="P5821"/>
      <c r="Q5821"/>
      <c r="R5821"/>
    </row>
    <row r="5822" spans="14:18" x14ac:dyDescent="0.25">
      <c r="N5822"/>
      <c r="O5822"/>
      <c r="P5822"/>
      <c r="Q5822"/>
      <c r="R5822"/>
    </row>
    <row r="5823" spans="14:18" x14ac:dyDescent="0.25">
      <c r="N5823"/>
      <c r="O5823"/>
      <c r="P5823"/>
      <c r="Q5823"/>
      <c r="R5823"/>
    </row>
    <row r="5824" spans="14:18" x14ac:dyDescent="0.25">
      <c r="N5824"/>
      <c r="O5824"/>
      <c r="P5824"/>
      <c r="Q5824"/>
      <c r="R5824"/>
    </row>
    <row r="5825" spans="14:18" x14ac:dyDescent="0.25">
      <c r="N5825"/>
      <c r="O5825"/>
      <c r="P5825"/>
      <c r="Q5825"/>
      <c r="R5825"/>
    </row>
    <row r="5826" spans="14:18" x14ac:dyDescent="0.25">
      <c r="N5826"/>
      <c r="O5826"/>
      <c r="P5826"/>
      <c r="Q5826"/>
      <c r="R5826"/>
    </row>
    <row r="5827" spans="14:18" x14ac:dyDescent="0.25">
      <c r="N5827"/>
      <c r="O5827"/>
      <c r="P5827"/>
      <c r="Q5827"/>
      <c r="R5827"/>
    </row>
    <row r="5828" spans="14:18" x14ac:dyDescent="0.25">
      <c r="N5828"/>
      <c r="O5828"/>
      <c r="P5828"/>
      <c r="Q5828"/>
      <c r="R5828"/>
    </row>
    <row r="5829" spans="14:18" x14ac:dyDescent="0.25">
      <c r="N5829"/>
      <c r="O5829"/>
      <c r="P5829"/>
      <c r="Q5829"/>
      <c r="R5829"/>
    </row>
    <row r="5830" spans="14:18" x14ac:dyDescent="0.25">
      <c r="N5830"/>
      <c r="O5830"/>
      <c r="P5830"/>
      <c r="Q5830"/>
      <c r="R5830"/>
    </row>
    <row r="5831" spans="14:18" x14ac:dyDescent="0.25">
      <c r="N5831"/>
      <c r="O5831"/>
      <c r="P5831"/>
      <c r="Q5831"/>
      <c r="R5831"/>
    </row>
    <row r="5832" spans="14:18" x14ac:dyDescent="0.25">
      <c r="N5832"/>
      <c r="O5832"/>
      <c r="P5832"/>
      <c r="Q5832"/>
      <c r="R5832"/>
    </row>
    <row r="5833" spans="14:18" x14ac:dyDescent="0.25">
      <c r="N5833"/>
      <c r="O5833"/>
      <c r="P5833"/>
      <c r="Q5833"/>
      <c r="R5833"/>
    </row>
    <row r="5834" spans="14:18" x14ac:dyDescent="0.25">
      <c r="N5834"/>
      <c r="O5834"/>
      <c r="P5834"/>
      <c r="Q5834"/>
      <c r="R5834"/>
    </row>
    <row r="5835" spans="14:18" x14ac:dyDescent="0.25">
      <c r="N5835"/>
      <c r="O5835"/>
      <c r="P5835"/>
      <c r="Q5835"/>
      <c r="R5835"/>
    </row>
    <row r="5836" spans="14:18" x14ac:dyDescent="0.25">
      <c r="N5836"/>
      <c r="O5836"/>
      <c r="P5836"/>
      <c r="Q5836"/>
      <c r="R5836"/>
    </row>
    <row r="5837" spans="14:18" x14ac:dyDescent="0.25">
      <c r="N5837"/>
      <c r="O5837"/>
      <c r="P5837"/>
      <c r="Q5837"/>
      <c r="R5837"/>
    </row>
    <row r="5838" spans="14:18" x14ac:dyDescent="0.25">
      <c r="N5838"/>
      <c r="O5838"/>
      <c r="P5838"/>
      <c r="Q5838"/>
      <c r="R5838"/>
    </row>
    <row r="5839" spans="14:18" x14ac:dyDescent="0.25">
      <c r="N5839"/>
      <c r="O5839"/>
      <c r="P5839"/>
      <c r="Q5839"/>
      <c r="R5839"/>
    </row>
    <row r="5840" spans="14:18" x14ac:dyDescent="0.25">
      <c r="N5840"/>
      <c r="O5840"/>
      <c r="P5840"/>
      <c r="Q5840"/>
      <c r="R5840"/>
    </row>
    <row r="5841" spans="14:18" x14ac:dyDescent="0.25">
      <c r="N5841"/>
      <c r="O5841"/>
      <c r="P5841"/>
      <c r="Q5841"/>
      <c r="R5841"/>
    </row>
    <row r="5842" spans="14:18" x14ac:dyDescent="0.25">
      <c r="N5842"/>
      <c r="O5842"/>
      <c r="P5842"/>
      <c r="Q5842"/>
      <c r="R5842"/>
    </row>
    <row r="5843" spans="14:18" x14ac:dyDescent="0.25">
      <c r="N5843"/>
      <c r="O5843"/>
      <c r="P5843"/>
      <c r="Q5843"/>
      <c r="R5843"/>
    </row>
    <row r="5844" spans="14:18" x14ac:dyDescent="0.25">
      <c r="N5844"/>
      <c r="O5844"/>
      <c r="P5844"/>
      <c r="Q5844"/>
      <c r="R5844"/>
    </row>
    <row r="5845" spans="14:18" x14ac:dyDescent="0.25">
      <c r="N5845"/>
      <c r="O5845"/>
      <c r="P5845"/>
      <c r="Q5845"/>
      <c r="R5845"/>
    </row>
    <row r="5846" spans="14:18" x14ac:dyDescent="0.25">
      <c r="N5846"/>
      <c r="O5846"/>
      <c r="P5846"/>
      <c r="Q5846"/>
      <c r="R5846"/>
    </row>
    <row r="5847" spans="14:18" x14ac:dyDescent="0.25">
      <c r="N5847"/>
      <c r="O5847"/>
      <c r="P5847"/>
      <c r="Q5847"/>
      <c r="R5847"/>
    </row>
    <row r="5848" spans="14:18" x14ac:dyDescent="0.25">
      <c r="N5848"/>
      <c r="O5848"/>
      <c r="P5848"/>
      <c r="Q5848"/>
      <c r="R5848"/>
    </row>
    <row r="5849" spans="14:18" x14ac:dyDescent="0.25">
      <c r="N5849"/>
      <c r="O5849"/>
      <c r="P5849"/>
      <c r="Q5849"/>
      <c r="R5849"/>
    </row>
    <row r="5850" spans="14:18" x14ac:dyDescent="0.25">
      <c r="N5850"/>
      <c r="O5850"/>
      <c r="P5850"/>
      <c r="Q5850"/>
      <c r="R5850"/>
    </row>
    <row r="5851" spans="14:18" x14ac:dyDescent="0.25">
      <c r="N5851"/>
      <c r="O5851"/>
      <c r="P5851"/>
      <c r="Q5851"/>
      <c r="R5851"/>
    </row>
    <row r="5852" spans="14:18" x14ac:dyDescent="0.25">
      <c r="N5852"/>
      <c r="O5852"/>
      <c r="P5852"/>
      <c r="Q5852"/>
      <c r="R5852"/>
    </row>
    <row r="5853" spans="14:18" x14ac:dyDescent="0.25">
      <c r="N5853"/>
      <c r="O5853"/>
      <c r="P5853"/>
      <c r="Q5853"/>
      <c r="R5853"/>
    </row>
    <row r="5854" spans="14:18" x14ac:dyDescent="0.25">
      <c r="N5854"/>
      <c r="O5854"/>
      <c r="P5854"/>
      <c r="Q5854"/>
      <c r="R5854"/>
    </row>
    <row r="5855" spans="14:18" x14ac:dyDescent="0.25">
      <c r="N5855"/>
      <c r="O5855"/>
      <c r="P5855"/>
      <c r="Q5855"/>
      <c r="R5855"/>
    </row>
    <row r="5856" spans="14:18" x14ac:dyDescent="0.25">
      <c r="N5856"/>
      <c r="O5856"/>
      <c r="P5856"/>
      <c r="Q5856"/>
      <c r="R5856"/>
    </row>
    <row r="5857" spans="14:18" x14ac:dyDescent="0.25">
      <c r="N5857"/>
      <c r="O5857"/>
      <c r="P5857"/>
      <c r="Q5857"/>
      <c r="R5857"/>
    </row>
    <row r="5858" spans="14:18" x14ac:dyDescent="0.25">
      <c r="N5858"/>
      <c r="O5858"/>
      <c r="P5858"/>
      <c r="Q5858"/>
      <c r="R5858"/>
    </row>
    <row r="5859" spans="14:18" x14ac:dyDescent="0.25">
      <c r="N5859"/>
      <c r="O5859"/>
      <c r="P5859"/>
      <c r="Q5859"/>
      <c r="R5859"/>
    </row>
    <row r="5860" spans="14:18" x14ac:dyDescent="0.25">
      <c r="N5860"/>
      <c r="O5860"/>
      <c r="P5860"/>
      <c r="Q5860"/>
      <c r="R5860"/>
    </row>
    <row r="5861" spans="14:18" x14ac:dyDescent="0.25">
      <c r="N5861"/>
      <c r="O5861"/>
      <c r="P5861"/>
      <c r="Q5861"/>
      <c r="R5861"/>
    </row>
    <row r="5862" spans="14:18" x14ac:dyDescent="0.25">
      <c r="N5862"/>
      <c r="O5862"/>
      <c r="P5862"/>
      <c r="Q5862"/>
      <c r="R5862"/>
    </row>
    <row r="5863" spans="14:18" x14ac:dyDescent="0.25">
      <c r="N5863"/>
      <c r="O5863"/>
      <c r="P5863"/>
      <c r="Q5863"/>
      <c r="R5863"/>
    </row>
    <row r="5864" spans="14:18" x14ac:dyDescent="0.25">
      <c r="N5864"/>
      <c r="O5864"/>
      <c r="P5864"/>
      <c r="Q5864"/>
      <c r="R5864"/>
    </row>
    <row r="5865" spans="14:18" x14ac:dyDescent="0.25">
      <c r="N5865"/>
      <c r="O5865"/>
      <c r="P5865"/>
      <c r="Q5865"/>
      <c r="R5865"/>
    </row>
    <row r="5866" spans="14:18" x14ac:dyDescent="0.25">
      <c r="N5866"/>
      <c r="O5866"/>
      <c r="P5866"/>
      <c r="Q5866"/>
      <c r="R5866"/>
    </row>
    <row r="5867" spans="14:18" x14ac:dyDescent="0.25">
      <c r="N5867"/>
      <c r="O5867"/>
      <c r="P5867"/>
      <c r="Q5867"/>
      <c r="R5867"/>
    </row>
    <row r="5868" spans="14:18" x14ac:dyDescent="0.25">
      <c r="N5868"/>
      <c r="O5868"/>
      <c r="P5868"/>
      <c r="Q5868"/>
      <c r="R5868"/>
    </row>
    <row r="5869" spans="14:18" x14ac:dyDescent="0.25">
      <c r="N5869"/>
      <c r="O5869"/>
      <c r="P5869"/>
      <c r="Q5869"/>
      <c r="R5869"/>
    </row>
    <row r="5870" spans="14:18" x14ac:dyDescent="0.25">
      <c r="N5870"/>
      <c r="O5870"/>
      <c r="P5870"/>
      <c r="Q5870"/>
      <c r="R5870"/>
    </row>
    <row r="5871" spans="14:18" x14ac:dyDescent="0.25">
      <c r="N5871"/>
      <c r="O5871"/>
      <c r="P5871"/>
      <c r="Q5871"/>
      <c r="R5871"/>
    </row>
    <row r="5872" spans="14:18" x14ac:dyDescent="0.25">
      <c r="N5872"/>
      <c r="O5872"/>
      <c r="P5872"/>
      <c r="Q5872"/>
      <c r="R5872"/>
    </row>
    <row r="5873" spans="14:18" x14ac:dyDescent="0.25">
      <c r="N5873"/>
      <c r="O5873"/>
      <c r="P5873"/>
      <c r="Q5873"/>
      <c r="R5873"/>
    </row>
    <row r="5874" spans="14:18" x14ac:dyDescent="0.25">
      <c r="N5874"/>
      <c r="O5874"/>
      <c r="P5874"/>
      <c r="Q5874"/>
      <c r="R5874"/>
    </row>
    <row r="5875" spans="14:18" x14ac:dyDescent="0.25">
      <c r="N5875"/>
      <c r="O5875"/>
      <c r="P5875"/>
      <c r="Q5875"/>
      <c r="R5875"/>
    </row>
    <row r="5876" spans="14:18" x14ac:dyDescent="0.25">
      <c r="N5876"/>
      <c r="O5876"/>
      <c r="P5876"/>
      <c r="Q5876"/>
      <c r="R5876"/>
    </row>
    <row r="5877" spans="14:18" x14ac:dyDescent="0.25">
      <c r="N5877"/>
      <c r="O5877"/>
      <c r="P5877"/>
      <c r="Q5877"/>
      <c r="R5877"/>
    </row>
    <row r="5878" spans="14:18" x14ac:dyDescent="0.25">
      <c r="N5878"/>
      <c r="O5878"/>
      <c r="P5878"/>
      <c r="Q5878"/>
      <c r="R5878"/>
    </row>
    <row r="5879" spans="14:18" x14ac:dyDescent="0.25">
      <c r="N5879"/>
      <c r="O5879"/>
      <c r="P5879"/>
      <c r="Q5879"/>
      <c r="R5879"/>
    </row>
    <row r="5880" spans="14:18" x14ac:dyDescent="0.25">
      <c r="N5880"/>
      <c r="O5880"/>
      <c r="P5880"/>
      <c r="Q5880"/>
      <c r="R5880"/>
    </row>
    <row r="5881" spans="14:18" x14ac:dyDescent="0.25">
      <c r="N5881"/>
      <c r="O5881"/>
      <c r="P5881"/>
      <c r="Q5881"/>
      <c r="R5881"/>
    </row>
    <row r="5882" spans="14:18" x14ac:dyDescent="0.25">
      <c r="N5882"/>
      <c r="O5882"/>
      <c r="P5882"/>
      <c r="Q5882"/>
      <c r="R5882"/>
    </row>
    <row r="5883" spans="14:18" x14ac:dyDescent="0.25">
      <c r="N5883"/>
      <c r="O5883"/>
      <c r="P5883"/>
      <c r="Q5883"/>
      <c r="R5883"/>
    </row>
    <row r="5884" spans="14:18" x14ac:dyDescent="0.25">
      <c r="N5884"/>
      <c r="O5884"/>
      <c r="P5884"/>
      <c r="Q5884"/>
      <c r="R5884"/>
    </row>
    <row r="5885" spans="14:18" x14ac:dyDescent="0.25">
      <c r="N5885"/>
      <c r="O5885"/>
      <c r="P5885"/>
      <c r="Q5885"/>
      <c r="R5885"/>
    </row>
    <row r="5886" spans="14:18" x14ac:dyDescent="0.25">
      <c r="N5886"/>
      <c r="O5886"/>
      <c r="P5886"/>
      <c r="Q5886"/>
      <c r="R5886"/>
    </row>
    <row r="5887" spans="14:18" x14ac:dyDescent="0.25">
      <c r="N5887"/>
      <c r="O5887"/>
      <c r="P5887"/>
      <c r="Q5887"/>
      <c r="R5887"/>
    </row>
    <row r="5888" spans="14:18" x14ac:dyDescent="0.25">
      <c r="N5888"/>
      <c r="O5888"/>
      <c r="P5888"/>
      <c r="Q5888"/>
      <c r="R5888"/>
    </row>
    <row r="5889" spans="14:18" x14ac:dyDescent="0.25">
      <c r="N5889"/>
      <c r="O5889"/>
      <c r="P5889"/>
      <c r="Q5889"/>
      <c r="R5889"/>
    </row>
    <row r="5890" spans="14:18" x14ac:dyDescent="0.25">
      <c r="N5890"/>
      <c r="O5890"/>
      <c r="P5890"/>
      <c r="Q5890"/>
      <c r="R5890"/>
    </row>
    <row r="5891" spans="14:18" x14ac:dyDescent="0.25">
      <c r="N5891"/>
      <c r="O5891"/>
      <c r="P5891"/>
      <c r="Q5891"/>
      <c r="R5891"/>
    </row>
    <row r="5892" spans="14:18" x14ac:dyDescent="0.25">
      <c r="N5892"/>
      <c r="O5892"/>
      <c r="P5892"/>
      <c r="Q5892"/>
      <c r="R5892"/>
    </row>
    <row r="5893" spans="14:18" x14ac:dyDescent="0.25">
      <c r="N5893"/>
      <c r="O5893"/>
      <c r="P5893"/>
      <c r="Q5893"/>
      <c r="R5893"/>
    </row>
    <row r="5894" spans="14:18" x14ac:dyDescent="0.25">
      <c r="N5894"/>
      <c r="O5894"/>
      <c r="P5894"/>
      <c r="Q5894"/>
      <c r="R5894"/>
    </row>
    <row r="5895" spans="14:18" x14ac:dyDescent="0.25">
      <c r="N5895"/>
      <c r="O5895"/>
      <c r="P5895"/>
      <c r="Q5895"/>
      <c r="R5895"/>
    </row>
    <row r="5896" spans="14:18" x14ac:dyDescent="0.25">
      <c r="N5896"/>
      <c r="O5896"/>
      <c r="P5896"/>
      <c r="Q5896"/>
      <c r="R5896"/>
    </row>
    <row r="5897" spans="14:18" x14ac:dyDescent="0.25">
      <c r="N5897"/>
      <c r="O5897"/>
      <c r="P5897"/>
      <c r="Q5897"/>
      <c r="R5897"/>
    </row>
    <row r="5898" spans="14:18" x14ac:dyDescent="0.25">
      <c r="N5898"/>
      <c r="O5898"/>
      <c r="P5898"/>
      <c r="Q5898"/>
      <c r="R5898"/>
    </row>
    <row r="5899" spans="14:18" x14ac:dyDescent="0.25">
      <c r="N5899"/>
      <c r="O5899"/>
      <c r="P5899"/>
      <c r="Q5899"/>
      <c r="R5899"/>
    </row>
    <row r="5900" spans="14:18" x14ac:dyDescent="0.25">
      <c r="N5900"/>
      <c r="O5900"/>
      <c r="P5900"/>
      <c r="Q5900"/>
      <c r="R5900"/>
    </row>
    <row r="5901" spans="14:18" x14ac:dyDescent="0.25">
      <c r="N5901"/>
      <c r="O5901"/>
      <c r="P5901"/>
      <c r="Q5901"/>
      <c r="R5901"/>
    </row>
    <row r="5902" spans="14:18" x14ac:dyDescent="0.25">
      <c r="N5902"/>
      <c r="O5902"/>
      <c r="P5902"/>
      <c r="Q5902"/>
      <c r="R5902"/>
    </row>
    <row r="5903" spans="14:18" x14ac:dyDescent="0.25">
      <c r="N5903"/>
      <c r="O5903"/>
      <c r="P5903"/>
      <c r="Q5903"/>
      <c r="R5903"/>
    </row>
    <row r="5904" spans="14:18" x14ac:dyDescent="0.25">
      <c r="N5904"/>
      <c r="O5904"/>
      <c r="P5904"/>
      <c r="Q5904"/>
      <c r="R5904"/>
    </row>
    <row r="5905" spans="14:18" x14ac:dyDescent="0.25">
      <c r="N5905"/>
      <c r="O5905"/>
      <c r="P5905"/>
      <c r="Q5905"/>
      <c r="R5905"/>
    </row>
    <row r="5906" spans="14:18" x14ac:dyDescent="0.25">
      <c r="N5906"/>
      <c r="O5906"/>
      <c r="P5906"/>
      <c r="Q5906"/>
      <c r="R5906"/>
    </row>
    <row r="5907" spans="14:18" x14ac:dyDescent="0.25">
      <c r="N5907"/>
      <c r="O5907"/>
      <c r="P5907"/>
      <c r="Q5907"/>
      <c r="R5907"/>
    </row>
    <row r="5908" spans="14:18" x14ac:dyDescent="0.25">
      <c r="N5908"/>
      <c r="O5908"/>
      <c r="P5908"/>
      <c r="Q5908"/>
      <c r="R5908"/>
    </row>
    <row r="5909" spans="14:18" x14ac:dyDescent="0.25">
      <c r="N5909"/>
      <c r="O5909"/>
      <c r="P5909"/>
      <c r="Q5909"/>
      <c r="R5909"/>
    </row>
    <row r="5910" spans="14:18" x14ac:dyDescent="0.25">
      <c r="N5910"/>
      <c r="O5910"/>
      <c r="P5910"/>
      <c r="Q5910"/>
      <c r="R5910"/>
    </row>
    <row r="5911" spans="14:18" x14ac:dyDescent="0.25">
      <c r="N5911"/>
      <c r="O5911"/>
      <c r="P5911"/>
      <c r="Q5911"/>
      <c r="R5911"/>
    </row>
    <row r="5912" spans="14:18" x14ac:dyDescent="0.25">
      <c r="N5912"/>
      <c r="O5912"/>
      <c r="P5912"/>
      <c r="Q5912"/>
      <c r="R5912"/>
    </row>
    <row r="5913" spans="14:18" x14ac:dyDescent="0.25">
      <c r="N5913"/>
      <c r="O5913"/>
      <c r="P5913"/>
      <c r="Q5913"/>
      <c r="R5913"/>
    </row>
    <row r="5914" spans="14:18" x14ac:dyDescent="0.25">
      <c r="N5914"/>
      <c r="O5914"/>
      <c r="P5914"/>
      <c r="Q5914"/>
      <c r="R5914"/>
    </row>
    <row r="5915" spans="14:18" x14ac:dyDescent="0.25">
      <c r="N5915"/>
      <c r="O5915"/>
      <c r="P5915"/>
      <c r="Q5915"/>
      <c r="R5915"/>
    </row>
    <row r="5916" spans="14:18" x14ac:dyDescent="0.25">
      <c r="N5916"/>
      <c r="O5916"/>
      <c r="P5916"/>
      <c r="Q5916"/>
      <c r="R5916"/>
    </row>
    <row r="5917" spans="14:18" x14ac:dyDescent="0.25">
      <c r="N5917"/>
      <c r="O5917"/>
      <c r="P5917"/>
      <c r="Q5917"/>
      <c r="R5917"/>
    </row>
    <row r="5918" spans="14:18" x14ac:dyDescent="0.25">
      <c r="N5918"/>
      <c r="O5918"/>
      <c r="P5918"/>
      <c r="Q5918"/>
      <c r="R5918"/>
    </row>
    <row r="5919" spans="14:18" x14ac:dyDescent="0.25">
      <c r="N5919"/>
      <c r="O5919"/>
      <c r="P5919"/>
      <c r="Q5919"/>
      <c r="R5919"/>
    </row>
    <row r="5920" spans="14:18" x14ac:dyDescent="0.25">
      <c r="N5920"/>
      <c r="O5920"/>
      <c r="P5920"/>
      <c r="Q5920"/>
      <c r="R5920"/>
    </row>
    <row r="5921" spans="14:18" x14ac:dyDescent="0.25">
      <c r="N5921"/>
      <c r="O5921"/>
      <c r="P5921"/>
      <c r="Q5921"/>
      <c r="R5921"/>
    </row>
    <row r="5922" spans="14:18" x14ac:dyDescent="0.25">
      <c r="N5922"/>
      <c r="O5922"/>
      <c r="P5922"/>
      <c r="Q5922"/>
      <c r="R5922"/>
    </row>
    <row r="5923" spans="14:18" x14ac:dyDescent="0.25">
      <c r="N5923"/>
      <c r="O5923"/>
      <c r="P5923"/>
      <c r="Q5923"/>
      <c r="R5923"/>
    </row>
    <row r="5924" spans="14:18" x14ac:dyDescent="0.25">
      <c r="N5924"/>
      <c r="O5924"/>
      <c r="P5924"/>
      <c r="Q5924"/>
      <c r="R5924"/>
    </row>
    <row r="5925" spans="14:18" x14ac:dyDescent="0.25">
      <c r="N5925"/>
      <c r="O5925"/>
      <c r="P5925"/>
      <c r="Q5925"/>
      <c r="R5925"/>
    </row>
    <row r="5926" spans="14:18" x14ac:dyDescent="0.25">
      <c r="N5926"/>
      <c r="O5926"/>
      <c r="P5926"/>
      <c r="Q5926"/>
      <c r="R5926"/>
    </row>
    <row r="5927" spans="14:18" x14ac:dyDescent="0.25">
      <c r="N5927"/>
      <c r="O5927"/>
      <c r="P5927"/>
      <c r="Q5927"/>
      <c r="R5927"/>
    </row>
    <row r="5928" spans="14:18" x14ac:dyDescent="0.25">
      <c r="N5928"/>
      <c r="O5928"/>
      <c r="P5928"/>
      <c r="Q5928"/>
      <c r="R5928"/>
    </row>
    <row r="5929" spans="14:18" x14ac:dyDescent="0.25">
      <c r="N5929"/>
      <c r="O5929"/>
      <c r="P5929"/>
      <c r="Q5929"/>
      <c r="R5929"/>
    </row>
    <row r="5930" spans="14:18" x14ac:dyDescent="0.25">
      <c r="N5930"/>
      <c r="O5930"/>
      <c r="P5930"/>
      <c r="Q5930"/>
      <c r="R5930"/>
    </row>
    <row r="5931" spans="14:18" x14ac:dyDescent="0.25">
      <c r="N5931"/>
      <c r="O5931"/>
      <c r="P5931"/>
      <c r="Q5931"/>
      <c r="R5931"/>
    </row>
    <row r="5932" spans="14:18" x14ac:dyDescent="0.25">
      <c r="N5932"/>
      <c r="O5932"/>
      <c r="P5932"/>
      <c r="Q5932"/>
      <c r="R5932"/>
    </row>
    <row r="5933" spans="14:18" x14ac:dyDescent="0.25">
      <c r="N5933"/>
      <c r="O5933"/>
      <c r="P5933"/>
      <c r="Q5933"/>
      <c r="R5933"/>
    </row>
    <row r="5934" spans="14:18" x14ac:dyDescent="0.25">
      <c r="N5934"/>
      <c r="O5934"/>
      <c r="P5934"/>
      <c r="Q5934"/>
      <c r="R5934"/>
    </row>
    <row r="5935" spans="14:18" x14ac:dyDescent="0.25">
      <c r="N5935"/>
      <c r="O5935"/>
      <c r="P5935"/>
      <c r="Q5935"/>
      <c r="R5935"/>
    </row>
    <row r="5936" spans="14:18" x14ac:dyDescent="0.25">
      <c r="N5936"/>
      <c r="O5936"/>
      <c r="P5936"/>
      <c r="Q5936"/>
      <c r="R5936"/>
    </row>
    <row r="5937" spans="14:18" x14ac:dyDescent="0.25">
      <c r="N5937"/>
      <c r="O5937"/>
      <c r="P5937"/>
      <c r="Q5937"/>
      <c r="R5937"/>
    </row>
    <row r="5938" spans="14:18" x14ac:dyDescent="0.25">
      <c r="N5938"/>
      <c r="O5938"/>
      <c r="P5938"/>
      <c r="Q5938"/>
      <c r="R5938"/>
    </row>
    <row r="5939" spans="14:18" x14ac:dyDescent="0.25">
      <c r="N5939"/>
      <c r="O5939"/>
      <c r="P5939"/>
      <c r="Q5939"/>
      <c r="R5939"/>
    </row>
    <row r="5940" spans="14:18" x14ac:dyDescent="0.25">
      <c r="N5940"/>
      <c r="O5940"/>
      <c r="P5940"/>
      <c r="Q5940"/>
      <c r="R5940"/>
    </row>
    <row r="5941" spans="14:18" x14ac:dyDescent="0.25">
      <c r="N5941"/>
      <c r="O5941"/>
      <c r="P5941"/>
      <c r="Q5941"/>
      <c r="R5941"/>
    </row>
    <row r="5942" spans="14:18" x14ac:dyDescent="0.25">
      <c r="N5942"/>
      <c r="O5942"/>
      <c r="P5942"/>
      <c r="Q5942"/>
      <c r="R5942"/>
    </row>
    <row r="5943" spans="14:18" x14ac:dyDescent="0.25">
      <c r="N5943"/>
      <c r="O5943"/>
      <c r="P5943"/>
      <c r="Q5943"/>
      <c r="R5943"/>
    </row>
    <row r="5944" spans="14:18" x14ac:dyDescent="0.25">
      <c r="N5944"/>
      <c r="O5944"/>
      <c r="P5944"/>
      <c r="Q5944"/>
      <c r="R5944"/>
    </row>
    <row r="5945" spans="14:18" x14ac:dyDescent="0.25">
      <c r="N5945"/>
      <c r="O5945"/>
      <c r="P5945"/>
      <c r="Q5945"/>
      <c r="R5945"/>
    </row>
    <row r="5946" spans="14:18" x14ac:dyDescent="0.25">
      <c r="N5946"/>
      <c r="O5946"/>
      <c r="P5946"/>
      <c r="Q5946"/>
      <c r="R5946"/>
    </row>
    <row r="5947" spans="14:18" x14ac:dyDescent="0.25">
      <c r="N5947"/>
      <c r="O5947"/>
      <c r="P5947"/>
      <c r="Q5947"/>
      <c r="R5947"/>
    </row>
    <row r="5948" spans="14:18" x14ac:dyDescent="0.25">
      <c r="N5948"/>
      <c r="O5948"/>
      <c r="P5948"/>
      <c r="Q5948"/>
      <c r="R5948"/>
    </row>
    <row r="5949" spans="14:18" x14ac:dyDescent="0.25">
      <c r="N5949"/>
      <c r="O5949"/>
      <c r="P5949"/>
      <c r="Q5949"/>
      <c r="R5949"/>
    </row>
    <row r="5950" spans="14:18" x14ac:dyDescent="0.25">
      <c r="N5950"/>
      <c r="O5950"/>
      <c r="P5950"/>
      <c r="Q5950"/>
      <c r="R5950"/>
    </row>
    <row r="5951" spans="14:18" x14ac:dyDescent="0.25">
      <c r="N5951"/>
      <c r="O5951"/>
      <c r="P5951"/>
      <c r="Q5951"/>
      <c r="R5951"/>
    </row>
    <row r="5952" spans="14:18" x14ac:dyDescent="0.25">
      <c r="N5952"/>
      <c r="O5952"/>
      <c r="P5952"/>
      <c r="Q5952"/>
      <c r="R5952"/>
    </row>
    <row r="5953" spans="14:18" x14ac:dyDescent="0.25">
      <c r="N5953"/>
      <c r="O5953"/>
      <c r="P5953"/>
      <c r="Q5953"/>
      <c r="R5953"/>
    </row>
    <row r="5954" spans="14:18" x14ac:dyDescent="0.25">
      <c r="N5954"/>
      <c r="O5954"/>
      <c r="P5954"/>
      <c r="Q5954"/>
      <c r="R5954"/>
    </row>
    <row r="5955" spans="14:18" x14ac:dyDescent="0.25">
      <c r="N5955"/>
      <c r="O5955"/>
      <c r="P5955"/>
      <c r="Q5955"/>
      <c r="R5955"/>
    </row>
    <row r="5956" spans="14:18" x14ac:dyDescent="0.25">
      <c r="N5956"/>
      <c r="O5956"/>
      <c r="P5956"/>
      <c r="Q5956"/>
      <c r="R5956"/>
    </row>
    <row r="5957" spans="14:18" x14ac:dyDescent="0.25">
      <c r="N5957"/>
      <c r="O5957"/>
      <c r="P5957"/>
      <c r="Q5957"/>
      <c r="R5957"/>
    </row>
    <row r="5958" spans="14:18" x14ac:dyDescent="0.25">
      <c r="N5958"/>
      <c r="O5958"/>
      <c r="P5958"/>
      <c r="Q5958"/>
      <c r="R5958"/>
    </row>
    <row r="5959" spans="14:18" x14ac:dyDescent="0.25">
      <c r="N5959"/>
      <c r="O5959"/>
      <c r="P5959"/>
      <c r="Q5959"/>
      <c r="R5959"/>
    </row>
    <row r="5960" spans="14:18" x14ac:dyDescent="0.25">
      <c r="N5960"/>
      <c r="O5960"/>
      <c r="P5960"/>
      <c r="Q5960"/>
      <c r="R5960"/>
    </row>
    <row r="5961" spans="14:18" x14ac:dyDescent="0.25">
      <c r="N5961"/>
      <c r="O5961"/>
      <c r="P5961"/>
      <c r="Q5961"/>
      <c r="R5961"/>
    </row>
    <row r="5962" spans="14:18" x14ac:dyDescent="0.25">
      <c r="N5962"/>
      <c r="O5962"/>
      <c r="P5962"/>
      <c r="Q5962"/>
      <c r="R5962"/>
    </row>
    <row r="5963" spans="14:18" x14ac:dyDescent="0.25">
      <c r="N5963"/>
      <c r="O5963"/>
      <c r="P5963"/>
      <c r="Q5963"/>
      <c r="R5963"/>
    </row>
    <row r="5964" spans="14:18" x14ac:dyDescent="0.25">
      <c r="N5964"/>
      <c r="O5964"/>
      <c r="P5964"/>
      <c r="Q5964"/>
      <c r="R5964"/>
    </row>
    <row r="5965" spans="14:18" x14ac:dyDescent="0.25">
      <c r="N5965"/>
      <c r="O5965"/>
      <c r="P5965"/>
      <c r="Q5965"/>
      <c r="R5965"/>
    </row>
    <row r="5966" spans="14:18" x14ac:dyDescent="0.25">
      <c r="N5966"/>
      <c r="O5966"/>
      <c r="P5966"/>
      <c r="Q5966"/>
      <c r="R5966"/>
    </row>
    <row r="5967" spans="14:18" x14ac:dyDescent="0.25">
      <c r="N5967"/>
      <c r="O5967"/>
      <c r="P5967"/>
      <c r="Q5967"/>
      <c r="R5967"/>
    </row>
    <row r="5968" spans="14:18" x14ac:dyDescent="0.25">
      <c r="N5968"/>
      <c r="O5968"/>
      <c r="P5968"/>
      <c r="Q5968"/>
      <c r="R5968"/>
    </row>
    <row r="5969" spans="14:18" x14ac:dyDescent="0.25">
      <c r="N5969"/>
      <c r="O5969"/>
      <c r="P5969"/>
      <c r="Q5969"/>
      <c r="R5969"/>
    </row>
    <row r="5970" spans="14:18" x14ac:dyDescent="0.25">
      <c r="N5970"/>
      <c r="O5970"/>
      <c r="P5970"/>
      <c r="Q5970"/>
      <c r="R5970"/>
    </row>
    <row r="5971" spans="14:18" x14ac:dyDescent="0.25">
      <c r="N5971"/>
      <c r="O5971"/>
      <c r="P5971"/>
      <c r="Q5971"/>
      <c r="R5971"/>
    </row>
    <row r="5972" spans="14:18" x14ac:dyDescent="0.25">
      <c r="N5972"/>
      <c r="O5972"/>
      <c r="P5972"/>
      <c r="Q5972"/>
      <c r="R5972"/>
    </row>
    <row r="5973" spans="14:18" x14ac:dyDescent="0.25">
      <c r="N5973"/>
      <c r="O5973"/>
      <c r="P5973"/>
      <c r="Q5973"/>
      <c r="R5973"/>
    </row>
    <row r="5974" spans="14:18" x14ac:dyDescent="0.25">
      <c r="N5974"/>
      <c r="O5974"/>
      <c r="P5974"/>
      <c r="Q5974"/>
      <c r="R5974"/>
    </row>
    <row r="5975" spans="14:18" x14ac:dyDescent="0.25">
      <c r="N5975"/>
      <c r="O5975"/>
      <c r="P5975"/>
      <c r="Q5975"/>
      <c r="R5975"/>
    </row>
    <row r="5976" spans="14:18" x14ac:dyDescent="0.25">
      <c r="N5976"/>
      <c r="O5976"/>
      <c r="P5976"/>
      <c r="Q5976"/>
      <c r="R5976"/>
    </row>
    <row r="5977" spans="14:18" x14ac:dyDescent="0.25">
      <c r="N5977"/>
      <c r="O5977"/>
      <c r="P5977"/>
      <c r="Q5977"/>
      <c r="R5977"/>
    </row>
    <row r="5978" spans="14:18" x14ac:dyDescent="0.25">
      <c r="N5978"/>
      <c r="O5978"/>
      <c r="P5978"/>
      <c r="Q5978"/>
      <c r="R5978"/>
    </row>
    <row r="5979" spans="14:18" x14ac:dyDescent="0.25">
      <c r="N5979"/>
      <c r="O5979"/>
      <c r="P5979"/>
      <c r="Q5979"/>
      <c r="R5979"/>
    </row>
    <row r="5980" spans="14:18" x14ac:dyDescent="0.25">
      <c r="N5980"/>
      <c r="O5980"/>
      <c r="P5980"/>
      <c r="Q5980"/>
      <c r="R5980"/>
    </row>
    <row r="5981" spans="14:18" x14ac:dyDescent="0.25">
      <c r="N5981"/>
      <c r="O5981"/>
      <c r="P5981"/>
      <c r="Q5981"/>
      <c r="R5981"/>
    </row>
    <row r="5982" spans="14:18" x14ac:dyDescent="0.25">
      <c r="N5982"/>
      <c r="O5982"/>
      <c r="P5982"/>
      <c r="Q5982"/>
      <c r="R5982"/>
    </row>
    <row r="5983" spans="14:18" x14ac:dyDescent="0.25">
      <c r="N5983"/>
      <c r="O5983"/>
      <c r="P5983"/>
      <c r="Q5983"/>
      <c r="R5983"/>
    </row>
    <row r="5984" spans="14:18" x14ac:dyDescent="0.25">
      <c r="N5984"/>
      <c r="O5984"/>
      <c r="P5984"/>
      <c r="Q5984"/>
      <c r="R5984"/>
    </row>
    <row r="5985" spans="14:18" x14ac:dyDescent="0.25">
      <c r="N5985"/>
      <c r="O5985"/>
      <c r="P5985"/>
      <c r="Q5985"/>
      <c r="R5985"/>
    </row>
    <row r="5986" spans="14:18" x14ac:dyDescent="0.25">
      <c r="N5986"/>
      <c r="O5986"/>
      <c r="P5986"/>
      <c r="Q5986"/>
      <c r="R5986"/>
    </row>
    <row r="5987" spans="14:18" x14ac:dyDescent="0.25">
      <c r="N5987"/>
      <c r="O5987"/>
      <c r="P5987"/>
      <c r="Q5987"/>
      <c r="R5987"/>
    </row>
    <row r="5988" spans="14:18" x14ac:dyDescent="0.25">
      <c r="N5988"/>
      <c r="O5988"/>
      <c r="P5988"/>
      <c r="Q5988"/>
      <c r="R5988"/>
    </row>
    <row r="5989" spans="14:18" x14ac:dyDescent="0.25">
      <c r="N5989"/>
      <c r="O5989"/>
      <c r="P5989"/>
      <c r="Q5989"/>
      <c r="R5989"/>
    </row>
    <row r="5990" spans="14:18" x14ac:dyDescent="0.25">
      <c r="N5990"/>
      <c r="O5990"/>
      <c r="P5990"/>
      <c r="Q5990"/>
      <c r="R5990"/>
    </row>
    <row r="5991" spans="14:18" x14ac:dyDescent="0.25">
      <c r="N5991"/>
      <c r="O5991"/>
      <c r="P5991"/>
      <c r="Q5991"/>
      <c r="R5991"/>
    </row>
    <row r="5992" spans="14:18" x14ac:dyDescent="0.25">
      <c r="N5992"/>
      <c r="O5992"/>
      <c r="P5992"/>
      <c r="Q5992"/>
      <c r="R5992"/>
    </row>
    <row r="5993" spans="14:18" x14ac:dyDescent="0.25">
      <c r="N5993"/>
      <c r="O5993"/>
      <c r="P5993"/>
      <c r="Q5993"/>
      <c r="R5993"/>
    </row>
    <row r="5994" spans="14:18" x14ac:dyDescent="0.25">
      <c r="N5994"/>
      <c r="O5994"/>
      <c r="P5994"/>
      <c r="Q5994"/>
      <c r="R5994"/>
    </row>
    <row r="5995" spans="14:18" x14ac:dyDescent="0.25">
      <c r="N5995"/>
      <c r="O5995"/>
      <c r="P5995"/>
      <c r="Q5995"/>
      <c r="R5995"/>
    </row>
    <row r="5996" spans="14:18" x14ac:dyDescent="0.25">
      <c r="N5996"/>
      <c r="O5996"/>
      <c r="P5996"/>
      <c r="Q5996"/>
      <c r="R5996"/>
    </row>
    <row r="5997" spans="14:18" x14ac:dyDescent="0.25">
      <c r="N5997"/>
      <c r="O5997"/>
      <c r="P5997"/>
      <c r="Q5997"/>
      <c r="R5997"/>
    </row>
    <row r="5998" spans="14:18" x14ac:dyDescent="0.25">
      <c r="N5998"/>
      <c r="O5998"/>
      <c r="P5998"/>
      <c r="Q5998"/>
      <c r="R5998"/>
    </row>
    <row r="5999" spans="14:18" x14ac:dyDescent="0.25">
      <c r="N5999"/>
      <c r="O5999"/>
      <c r="P5999"/>
      <c r="Q5999"/>
      <c r="R5999"/>
    </row>
    <row r="6000" spans="14:18" x14ac:dyDescent="0.25">
      <c r="N6000"/>
      <c r="O6000"/>
      <c r="P6000"/>
      <c r="Q6000"/>
      <c r="R6000"/>
    </row>
    <row r="6001" spans="14:18" x14ac:dyDescent="0.25">
      <c r="N6001"/>
      <c r="O6001"/>
      <c r="P6001"/>
      <c r="Q6001"/>
      <c r="R6001"/>
    </row>
    <row r="6002" spans="14:18" x14ac:dyDescent="0.25">
      <c r="N6002"/>
      <c r="O6002"/>
      <c r="P6002"/>
      <c r="Q6002"/>
      <c r="R6002"/>
    </row>
    <row r="6003" spans="14:18" x14ac:dyDescent="0.25">
      <c r="N6003"/>
      <c r="O6003"/>
      <c r="P6003"/>
      <c r="Q6003"/>
      <c r="R6003"/>
    </row>
    <row r="6004" spans="14:18" x14ac:dyDescent="0.25">
      <c r="N6004"/>
      <c r="O6004"/>
      <c r="P6004"/>
      <c r="Q6004"/>
      <c r="R6004"/>
    </row>
    <row r="6005" spans="14:18" x14ac:dyDescent="0.25">
      <c r="N6005"/>
      <c r="O6005"/>
      <c r="P6005"/>
      <c r="Q6005"/>
      <c r="R6005"/>
    </row>
    <row r="6006" spans="14:18" x14ac:dyDescent="0.25">
      <c r="N6006"/>
      <c r="O6006"/>
      <c r="P6006"/>
      <c r="Q6006"/>
      <c r="R6006"/>
    </row>
    <row r="6007" spans="14:18" x14ac:dyDescent="0.25">
      <c r="N6007"/>
      <c r="O6007"/>
      <c r="P6007"/>
      <c r="Q6007"/>
      <c r="R6007"/>
    </row>
    <row r="6008" spans="14:18" x14ac:dyDescent="0.25">
      <c r="N6008"/>
      <c r="O6008"/>
      <c r="P6008"/>
      <c r="Q6008"/>
      <c r="R6008"/>
    </row>
    <row r="6009" spans="14:18" x14ac:dyDescent="0.25">
      <c r="N6009"/>
      <c r="O6009"/>
      <c r="P6009"/>
      <c r="Q6009"/>
      <c r="R6009"/>
    </row>
    <row r="6010" spans="14:18" x14ac:dyDescent="0.25">
      <c r="N6010"/>
      <c r="O6010"/>
      <c r="P6010"/>
      <c r="Q6010"/>
      <c r="R6010"/>
    </row>
    <row r="6011" spans="14:18" x14ac:dyDescent="0.25">
      <c r="N6011"/>
      <c r="O6011"/>
      <c r="P6011"/>
      <c r="Q6011"/>
      <c r="R6011"/>
    </row>
    <row r="6012" spans="14:18" x14ac:dyDescent="0.25">
      <c r="N6012"/>
      <c r="O6012"/>
      <c r="P6012"/>
      <c r="Q6012"/>
      <c r="R6012"/>
    </row>
    <row r="6013" spans="14:18" x14ac:dyDescent="0.25">
      <c r="N6013"/>
      <c r="O6013"/>
      <c r="P6013"/>
      <c r="Q6013"/>
      <c r="R6013"/>
    </row>
    <row r="6014" spans="14:18" x14ac:dyDescent="0.25">
      <c r="N6014"/>
      <c r="O6014"/>
      <c r="P6014"/>
      <c r="Q6014"/>
      <c r="R6014"/>
    </row>
    <row r="6015" spans="14:18" x14ac:dyDescent="0.25">
      <c r="N6015"/>
      <c r="O6015"/>
      <c r="P6015"/>
      <c r="Q6015"/>
      <c r="R6015"/>
    </row>
    <row r="6016" spans="14:18" x14ac:dyDescent="0.25">
      <c r="N6016"/>
      <c r="O6016"/>
      <c r="P6016"/>
      <c r="Q6016"/>
      <c r="R6016"/>
    </row>
    <row r="6017" spans="14:18" x14ac:dyDescent="0.25">
      <c r="N6017"/>
      <c r="O6017"/>
      <c r="P6017"/>
      <c r="Q6017"/>
      <c r="R6017"/>
    </row>
    <row r="6018" spans="14:18" x14ac:dyDescent="0.25">
      <c r="N6018"/>
      <c r="O6018"/>
      <c r="P6018"/>
      <c r="Q6018"/>
      <c r="R6018"/>
    </row>
    <row r="6019" spans="14:18" x14ac:dyDescent="0.25">
      <c r="N6019"/>
      <c r="O6019"/>
      <c r="P6019"/>
      <c r="Q6019"/>
      <c r="R6019"/>
    </row>
    <row r="6020" spans="14:18" x14ac:dyDescent="0.25">
      <c r="N6020"/>
      <c r="O6020"/>
      <c r="P6020"/>
      <c r="Q6020"/>
      <c r="R6020"/>
    </row>
    <row r="6021" spans="14:18" x14ac:dyDescent="0.25">
      <c r="N6021"/>
      <c r="O6021"/>
      <c r="P6021"/>
      <c r="Q6021"/>
      <c r="R6021"/>
    </row>
    <row r="6022" spans="14:18" x14ac:dyDescent="0.25">
      <c r="N6022"/>
      <c r="O6022"/>
      <c r="P6022"/>
      <c r="Q6022"/>
      <c r="R6022"/>
    </row>
    <row r="6023" spans="14:18" x14ac:dyDescent="0.25">
      <c r="N6023"/>
      <c r="O6023"/>
      <c r="P6023"/>
      <c r="Q6023"/>
      <c r="R6023"/>
    </row>
    <row r="6024" spans="14:18" x14ac:dyDescent="0.25">
      <c r="N6024"/>
      <c r="O6024"/>
      <c r="P6024"/>
      <c r="Q6024"/>
      <c r="R6024"/>
    </row>
    <row r="6025" spans="14:18" x14ac:dyDescent="0.25">
      <c r="N6025"/>
      <c r="O6025"/>
      <c r="P6025"/>
      <c r="Q6025"/>
      <c r="R6025"/>
    </row>
    <row r="6026" spans="14:18" x14ac:dyDescent="0.25">
      <c r="N6026"/>
      <c r="O6026"/>
      <c r="P6026"/>
      <c r="Q6026"/>
      <c r="R6026"/>
    </row>
    <row r="6027" spans="14:18" x14ac:dyDescent="0.25">
      <c r="N6027"/>
      <c r="O6027"/>
      <c r="P6027"/>
      <c r="Q6027"/>
      <c r="R6027"/>
    </row>
    <row r="6028" spans="14:18" x14ac:dyDescent="0.25">
      <c r="N6028"/>
      <c r="O6028"/>
      <c r="P6028"/>
      <c r="Q6028"/>
      <c r="R6028"/>
    </row>
    <row r="6029" spans="14:18" x14ac:dyDescent="0.25">
      <c r="N6029"/>
      <c r="O6029"/>
      <c r="P6029"/>
      <c r="Q6029"/>
      <c r="R6029"/>
    </row>
    <row r="6030" spans="14:18" x14ac:dyDescent="0.25">
      <c r="N6030"/>
      <c r="O6030"/>
      <c r="P6030"/>
      <c r="Q6030"/>
      <c r="R6030"/>
    </row>
    <row r="6031" spans="14:18" x14ac:dyDescent="0.25">
      <c r="N6031"/>
      <c r="O6031"/>
      <c r="P6031"/>
      <c r="Q6031"/>
      <c r="R6031"/>
    </row>
    <row r="6032" spans="14:18" x14ac:dyDescent="0.25">
      <c r="N6032"/>
      <c r="O6032"/>
      <c r="P6032"/>
      <c r="Q6032"/>
      <c r="R6032"/>
    </row>
    <row r="6033" spans="14:18" x14ac:dyDescent="0.25">
      <c r="N6033"/>
      <c r="O6033"/>
      <c r="P6033"/>
      <c r="Q6033"/>
      <c r="R6033"/>
    </row>
    <row r="6034" spans="14:18" x14ac:dyDescent="0.25">
      <c r="N6034"/>
      <c r="O6034"/>
      <c r="P6034"/>
      <c r="Q6034"/>
      <c r="R6034"/>
    </row>
    <row r="6035" spans="14:18" x14ac:dyDescent="0.25">
      <c r="N6035"/>
      <c r="O6035"/>
      <c r="P6035"/>
      <c r="Q6035"/>
      <c r="R6035"/>
    </row>
    <row r="6036" spans="14:18" x14ac:dyDescent="0.25">
      <c r="N6036"/>
      <c r="O6036"/>
      <c r="P6036"/>
      <c r="Q6036"/>
      <c r="R6036"/>
    </row>
    <row r="6037" spans="14:18" x14ac:dyDescent="0.25">
      <c r="N6037"/>
      <c r="O6037"/>
      <c r="P6037"/>
      <c r="Q6037"/>
      <c r="R6037"/>
    </row>
    <row r="6038" spans="14:18" x14ac:dyDescent="0.25">
      <c r="N6038"/>
      <c r="O6038"/>
      <c r="P6038"/>
      <c r="Q6038"/>
      <c r="R6038"/>
    </row>
    <row r="6039" spans="14:18" x14ac:dyDescent="0.25">
      <c r="N6039"/>
      <c r="O6039"/>
      <c r="P6039"/>
      <c r="Q6039"/>
      <c r="R6039"/>
    </row>
    <row r="6040" spans="14:18" x14ac:dyDescent="0.25">
      <c r="N6040"/>
      <c r="O6040"/>
      <c r="P6040"/>
      <c r="Q6040"/>
      <c r="R6040"/>
    </row>
    <row r="6041" spans="14:18" x14ac:dyDescent="0.25">
      <c r="N6041"/>
      <c r="O6041"/>
      <c r="P6041"/>
      <c r="Q6041"/>
      <c r="R6041"/>
    </row>
    <row r="6042" spans="14:18" x14ac:dyDescent="0.25">
      <c r="N6042"/>
      <c r="O6042"/>
      <c r="P6042"/>
      <c r="Q6042"/>
      <c r="R6042"/>
    </row>
    <row r="6043" spans="14:18" x14ac:dyDescent="0.25">
      <c r="N6043"/>
      <c r="O6043"/>
      <c r="P6043"/>
      <c r="Q6043"/>
      <c r="R6043"/>
    </row>
    <row r="6044" spans="14:18" x14ac:dyDescent="0.25">
      <c r="N6044"/>
      <c r="O6044"/>
      <c r="P6044"/>
      <c r="Q6044"/>
      <c r="R6044"/>
    </row>
    <row r="6045" spans="14:18" x14ac:dyDescent="0.25">
      <c r="N6045"/>
      <c r="O6045"/>
      <c r="P6045"/>
      <c r="Q6045"/>
      <c r="R6045"/>
    </row>
    <row r="6046" spans="14:18" x14ac:dyDescent="0.25">
      <c r="N6046"/>
      <c r="O6046"/>
      <c r="P6046"/>
      <c r="Q6046"/>
      <c r="R6046"/>
    </row>
    <row r="6047" spans="14:18" x14ac:dyDescent="0.25">
      <c r="N6047"/>
      <c r="O6047"/>
      <c r="P6047"/>
      <c r="Q6047"/>
      <c r="R6047"/>
    </row>
    <row r="6048" spans="14:18" x14ac:dyDescent="0.25">
      <c r="N6048"/>
      <c r="O6048"/>
      <c r="P6048"/>
      <c r="Q6048"/>
      <c r="R6048"/>
    </row>
    <row r="6049" spans="14:18" x14ac:dyDescent="0.25">
      <c r="N6049"/>
      <c r="O6049"/>
      <c r="P6049"/>
      <c r="Q6049"/>
      <c r="R6049"/>
    </row>
    <row r="6050" spans="14:18" x14ac:dyDescent="0.25">
      <c r="N6050"/>
      <c r="O6050"/>
      <c r="P6050"/>
      <c r="Q6050"/>
      <c r="R6050"/>
    </row>
    <row r="6051" spans="14:18" x14ac:dyDescent="0.25">
      <c r="N6051"/>
      <c r="O6051"/>
      <c r="P6051"/>
      <c r="Q6051"/>
      <c r="R6051"/>
    </row>
    <row r="6052" spans="14:18" x14ac:dyDescent="0.25">
      <c r="N6052"/>
      <c r="O6052"/>
      <c r="P6052"/>
      <c r="Q6052"/>
      <c r="R6052"/>
    </row>
    <row r="6053" spans="14:18" x14ac:dyDescent="0.25">
      <c r="N6053"/>
      <c r="O6053"/>
      <c r="P6053"/>
      <c r="Q6053"/>
      <c r="R6053"/>
    </row>
    <row r="6054" spans="14:18" x14ac:dyDescent="0.25">
      <c r="N6054"/>
      <c r="O6054"/>
      <c r="P6054"/>
      <c r="Q6054"/>
      <c r="R6054"/>
    </row>
    <row r="6055" spans="14:18" x14ac:dyDescent="0.25">
      <c r="N6055"/>
      <c r="O6055"/>
      <c r="P6055"/>
      <c r="Q6055"/>
      <c r="R6055"/>
    </row>
    <row r="6056" spans="14:18" x14ac:dyDescent="0.25">
      <c r="N6056"/>
      <c r="O6056"/>
      <c r="P6056"/>
      <c r="Q6056"/>
      <c r="R6056"/>
    </row>
    <row r="6057" spans="14:18" x14ac:dyDescent="0.25">
      <c r="N6057"/>
      <c r="O6057"/>
      <c r="P6057"/>
      <c r="Q6057"/>
      <c r="R6057"/>
    </row>
    <row r="6058" spans="14:18" x14ac:dyDescent="0.25">
      <c r="N6058"/>
      <c r="O6058"/>
      <c r="P6058"/>
      <c r="Q6058"/>
      <c r="R6058"/>
    </row>
    <row r="6059" spans="14:18" x14ac:dyDescent="0.25">
      <c r="N6059"/>
      <c r="O6059"/>
      <c r="P6059"/>
      <c r="Q6059"/>
      <c r="R6059"/>
    </row>
    <row r="6060" spans="14:18" x14ac:dyDescent="0.25">
      <c r="N6060"/>
      <c r="O6060"/>
      <c r="P6060"/>
      <c r="Q6060"/>
      <c r="R6060"/>
    </row>
    <row r="6061" spans="14:18" x14ac:dyDescent="0.25">
      <c r="N6061"/>
      <c r="O6061"/>
      <c r="P6061"/>
      <c r="Q6061"/>
      <c r="R6061"/>
    </row>
    <row r="6062" spans="14:18" x14ac:dyDescent="0.25">
      <c r="N6062"/>
      <c r="O6062"/>
      <c r="P6062"/>
      <c r="Q6062"/>
      <c r="R6062"/>
    </row>
    <row r="6063" spans="14:18" x14ac:dyDescent="0.25">
      <c r="N6063"/>
      <c r="O6063"/>
      <c r="P6063"/>
      <c r="Q6063"/>
      <c r="R6063"/>
    </row>
    <row r="6064" spans="14:18" x14ac:dyDescent="0.25">
      <c r="N6064"/>
      <c r="O6064"/>
      <c r="P6064"/>
      <c r="Q6064"/>
      <c r="R6064"/>
    </row>
    <row r="6065" spans="14:18" x14ac:dyDescent="0.25">
      <c r="N6065"/>
      <c r="O6065"/>
      <c r="P6065"/>
      <c r="Q6065"/>
      <c r="R6065"/>
    </row>
    <row r="6066" spans="14:18" x14ac:dyDescent="0.25">
      <c r="N6066"/>
      <c r="O6066"/>
      <c r="P6066"/>
      <c r="Q6066"/>
      <c r="R6066"/>
    </row>
    <row r="6067" spans="14:18" x14ac:dyDescent="0.25">
      <c r="N6067"/>
      <c r="O6067"/>
      <c r="P6067"/>
      <c r="Q6067"/>
      <c r="R6067"/>
    </row>
    <row r="6068" spans="14:18" x14ac:dyDescent="0.25">
      <c r="N6068"/>
      <c r="O6068"/>
      <c r="P6068"/>
      <c r="Q6068"/>
      <c r="R6068"/>
    </row>
    <row r="6069" spans="14:18" x14ac:dyDescent="0.25">
      <c r="N6069"/>
      <c r="O6069"/>
      <c r="P6069"/>
      <c r="Q6069"/>
      <c r="R6069"/>
    </row>
    <row r="6070" spans="14:18" x14ac:dyDescent="0.25">
      <c r="N6070"/>
      <c r="O6070"/>
      <c r="P6070"/>
      <c r="Q6070"/>
      <c r="R6070"/>
    </row>
    <row r="6071" spans="14:18" x14ac:dyDescent="0.25">
      <c r="N6071"/>
      <c r="O6071"/>
      <c r="P6071"/>
      <c r="Q6071"/>
      <c r="R6071"/>
    </row>
    <row r="6072" spans="14:18" x14ac:dyDescent="0.25">
      <c r="N6072"/>
      <c r="O6072"/>
      <c r="P6072"/>
      <c r="Q6072"/>
      <c r="R6072"/>
    </row>
    <row r="6073" spans="14:18" x14ac:dyDescent="0.25">
      <c r="N6073"/>
      <c r="O6073"/>
      <c r="P6073"/>
      <c r="Q6073"/>
      <c r="R6073"/>
    </row>
    <row r="6074" spans="14:18" x14ac:dyDescent="0.25">
      <c r="N6074"/>
      <c r="O6074"/>
      <c r="P6074"/>
      <c r="Q6074"/>
      <c r="R6074"/>
    </row>
    <row r="6075" spans="14:18" x14ac:dyDescent="0.25">
      <c r="N6075"/>
      <c r="O6075"/>
      <c r="P6075"/>
      <c r="Q6075"/>
      <c r="R6075"/>
    </row>
    <row r="6076" spans="14:18" x14ac:dyDescent="0.25">
      <c r="N6076"/>
      <c r="O6076"/>
      <c r="P6076"/>
      <c r="Q6076"/>
      <c r="R6076"/>
    </row>
    <row r="6077" spans="14:18" x14ac:dyDescent="0.25">
      <c r="N6077"/>
      <c r="O6077"/>
      <c r="P6077"/>
      <c r="Q6077"/>
      <c r="R6077"/>
    </row>
    <row r="6078" spans="14:18" x14ac:dyDescent="0.25">
      <c r="N6078"/>
      <c r="O6078"/>
      <c r="P6078"/>
      <c r="Q6078"/>
      <c r="R6078"/>
    </row>
    <row r="6079" spans="14:18" x14ac:dyDescent="0.25">
      <c r="N6079"/>
      <c r="O6079"/>
      <c r="P6079"/>
      <c r="Q6079"/>
      <c r="R6079"/>
    </row>
    <row r="6080" spans="14:18" x14ac:dyDescent="0.25">
      <c r="N6080"/>
      <c r="O6080"/>
      <c r="P6080"/>
      <c r="Q6080"/>
      <c r="R6080"/>
    </row>
    <row r="6081" spans="14:18" x14ac:dyDescent="0.25">
      <c r="N6081"/>
      <c r="O6081"/>
      <c r="P6081"/>
      <c r="Q6081"/>
      <c r="R6081"/>
    </row>
    <row r="6082" spans="14:18" x14ac:dyDescent="0.25">
      <c r="N6082"/>
      <c r="O6082"/>
      <c r="P6082"/>
      <c r="Q6082"/>
      <c r="R6082"/>
    </row>
    <row r="6083" spans="14:18" x14ac:dyDescent="0.25">
      <c r="N6083"/>
      <c r="O6083"/>
      <c r="P6083"/>
      <c r="Q6083"/>
      <c r="R6083"/>
    </row>
    <row r="6084" spans="14:18" x14ac:dyDescent="0.25">
      <c r="N6084"/>
      <c r="O6084"/>
      <c r="P6084"/>
      <c r="Q6084"/>
      <c r="R6084"/>
    </row>
    <row r="6085" spans="14:18" x14ac:dyDescent="0.25">
      <c r="N6085"/>
      <c r="O6085"/>
      <c r="P6085"/>
      <c r="Q6085"/>
      <c r="R6085"/>
    </row>
    <row r="6086" spans="14:18" x14ac:dyDescent="0.25">
      <c r="N6086"/>
      <c r="O6086"/>
      <c r="P6086"/>
      <c r="Q6086"/>
      <c r="R6086"/>
    </row>
    <row r="6087" spans="14:18" x14ac:dyDescent="0.25">
      <c r="N6087"/>
      <c r="O6087"/>
      <c r="P6087"/>
      <c r="Q6087"/>
      <c r="R6087"/>
    </row>
    <row r="6088" spans="14:18" x14ac:dyDescent="0.25">
      <c r="N6088"/>
      <c r="O6088"/>
      <c r="P6088"/>
      <c r="Q6088"/>
      <c r="R6088"/>
    </row>
    <row r="6089" spans="14:18" x14ac:dyDescent="0.25">
      <c r="N6089"/>
      <c r="O6089"/>
      <c r="P6089"/>
      <c r="Q6089"/>
      <c r="R6089"/>
    </row>
    <row r="6090" spans="14:18" x14ac:dyDescent="0.25">
      <c r="N6090"/>
      <c r="O6090"/>
      <c r="P6090"/>
      <c r="Q6090"/>
      <c r="R6090"/>
    </row>
    <row r="6091" spans="14:18" x14ac:dyDescent="0.25">
      <c r="N6091"/>
      <c r="O6091"/>
      <c r="P6091"/>
      <c r="Q6091"/>
      <c r="R6091"/>
    </row>
    <row r="6092" spans="14:18" x14ac:dyDescent="0.25">
      <c r="N6092"/>
      <c r="O6092"/>
      <c r="P6092"/>
      <c r="Q6092"/>
      <c r="R6092"/>
    </row>
    <row r="6093" spans="14:18" x14ac:dyDescent="0.25">
      <c r="N6093"/>
      <c r="O6093"/>
      <c r="P6093"/>
      <c r="Q6093"/>
      <c r="R6093"/>
    </row>
    <row r="6094" spans="14:18" x14ac:dyDescent="0.25">
      <c r="N6094"/>
      <c r="O6094"/>
      <c r="P6094"/>
      <c r="Q6094"/>
      <c r="R6094"/>
    </row>
    <row r="6095" spans="14:18" x14ac:dyDescent="0.25">
      <c r="N6095"/>
      <c r="O6095"/>
      <c r="P6095"/>
      <c r="Q6095"/>
      <c r="R6095"/>
    </row>
    <row r="6096" spans="14:18" x14ac:dyDescent="0.25">
      <c r="N6096"/>
      <c r="O6096"/>
      <c r="P6096"/>
      <c r="Q6096"/>
      <c r="R6096"/>
    </row>
    <row r="6097" spans="14:18" x14ac:dyDescent="0.25">
      <c r="N6097"/>
      <c r="O6097"/>
      <c r="P6097"/>
      <c r="Q6097"/>
      <c r="R6097"/>
    </row>
    <row r="6098" spans="14:18" x14ac:dyDescent="0.25">
      <c r="N6098"/>
      <c r="O6098"/>
      <c r="P6098"/>
      <c r="Q6098"/>
      <c r="R6098"/>
    </row>
    <row r="6099" spans="14:18" x14ac:dyDescent="0.25">
      <c r="N6099"/>
      <c r="O6099"/>
      <c r="P6099"/>
      <c r="Q6099"/>
      <c r="R6099"/>
    </row>
    <row r="6100" spans="14:18" x14ac:dyDescent="0.25">
      <c r="N6100"/>
      <c r="O6100"/>
      <c r="P6100"/>
      <c r="Q6100"/>
      <c r="R6100"/>
    </row>
    <row r="6101" spans="14:18" x14ac:dyDescent="0.25">
      <c r="N6101"/>
      <c r="O6101"/>
      <c r="P6101"/>
      <c r="Q6101"/>
      <c r="R6101"/>
    </row>
    <row r="6102" spans="14:18" x14ac:dyDescent="0.25">
      <c r="N6102"/>
      <c r="O6102"/>
      <c r="P6102"/>
      <c r="Q6102"/>
      <c r="R6102"/>
    </row>
    <row r="6103" spans="14:18" x14ac:dyDescent="0.25">
      <c r="N6103"/>
      <c r="O6103"/>
      <c r="P6103"/>
      <c r="Q6103"/>
      <c r="R6103"/>
    </row>
    <row r="6104" spans="14:18" x14ac:dyDescent="0.25">
      <c r="N6104"/>
      <c r="O6104"/>
      <c r="P6104"/>
      <c r="Q6104"/>
      <c r="R6104"/>
    </row>
    <row r="6105" spans="14:18" x14ac:dyDescent="0.25">
      <c r="N6105"/>
      <c r="O6105"/>
      <c r="P6105"/>
      <c r="Q6105"/>
      <c r="R6105"/>
    </row>
    <row r="6106" spans="14:18" x14ac:dyDescent="0.25">
      <c r="N6106"/>
      <c r="O6106"/>
      <c r="P6106"/>
      <c r="Q6106"/>
      <c r="R6106"/>
    </row>
    <row r="6107" spans="14:18" x14ac:dyDescent="0.25">
      <c r="N6107"/>
      <c r="O6107"/>
      <c r="P6107"/>
      <c r="Q6107"/>
      <c r="R6107"/>
    </row>
    <row r="6108" spans="14:18" x14ac:dyDescent="0.25">
      <c r="N6108"/>
      <c r="O6108"/>
      <c r="P6108"/>
      <c r="Q6108"/>
      <c r="R6108"/>
    </row>
    <row r="6109" spans="14:18" x14ac:dyDescent="0.25">
      <c r="N6109"/>
      <c r="O6109"/>
      <c r="P6109"/>
      <c r="Q6109"/>
      <c r="R6109"/>
    </row>
    <row r="6110" spans="14:18" x14ac:dyDescent="0.25">
      <c r="N6110"/>
      <c r="O6110"/>
      <c r="P6110"/>
      <c r="Q6110"/>
      <c r="R6110"/>
    </row>
    <row r="6111" spans="14:18" x14ac:dyDescent="0.25">
      <c r="N6111"/>
      <c r="O6111"/>
      <c r="P6111"/>
      <c r="Q6111"/>
      <c r="R6111"/>
    </row>
    <row r="6112" spans="14:18" x14ac:dyDescent="0.25">
      <c r="N6112"/>
      <c r="O6112"/>
      <c r="P6112"/>
      <c r="Q6112"/>
      <c r="R6112"/>
    </row>
    <row r="6113" spans="14:18" x14ac:dyDescent="0.25">
      <c r="N6113"/>
      <c r="O6113"/>
      <c r="P6113"/>
      <c r="Q6113"/>
      <c r="R6113"/>
    </row>
    <row r="6114" spans="14:18" x14ac:dyDescent="0.25">
      <c r="N6114"/>
      <c r="O6114"/>
      <c r="P6114"/>
      <c r="Q6114"/>
      <c r="R6114"/>
    </row>
    <row r="6115" spans="14:18" x14ac:dyDescent="0.25">
      <c r="N6115"/>
      <c r="O6115"/>
      <c r="P6115"/>
      <c r="Q6115"/>
      <c r="R6115"/>
    </row>
    <row r="6116" spans="14:18" x14ac:dyDescent="0.25">
      <c r="N6116"/>
      <c r="O6116"/>
      <c r="P6116"/>
      <c r="Q6116"/>
      <c r="R6116"/>
    </row>
    <row r="6117" spans="14:18" x14ac:dyDescent="0.25">
      <c r="N6117"/>
      <c r="O6117"/>
      <c r="P6117"/>
      <c r="Q6117"/>
      <c r="R6117"/>
    </row>
    <row r="6118" spans="14:18" x14ac:dyDescent="0.25">
      <c r="N6118"/>
      <c r="O6118"/>
      <c r="P6118"/>
      <c r="Q6118"/>
      <c r="R6118"/>
    </row>
    <row r="6119" spans="14:18" x14ac:dyDescent="0.25">
      <c r="N6119"/>
      <c r="O6119"/>
      <c r="P6119"/>
      <c r="Q6119"/>
      <c r="R6119"/>
    </row>
    <row r="6120" spans="14:18" x14ac:dyDescent="0.25">
      <c r="N6120"/>
      <c r="O6120"/>
      <c r="P6120"/>
      <c r="Q6120"/>
      <c r="R6120"/>
    </row>
    <row r="6121" spans="14:18" x14ac:dyDescent="0.25">
      <c r="N6121"/>
      <c r="O6121"/>
      <c r="P6121"/>
      <c r="Q6121"/>
      <c r="R6121"/>
    </row>
    <row r="6122" spans="14:18" x14ac:dyDescent="0.25">
      <c r="N6122"/>
      <c r="O6122"/>
      <c r="P6122"/>
      <c r="Q6122"/>
      <c r="R6122"/>
    </row>
    <row r="6123" spans="14:18" x14ac:dyDescent="0.25">
      <c r="N6123"/>
      <c r="O6123"/>
      <c r="P6123"/>
      <c r="Q6123"/>
      <c r="R6123"/>
    </row>
    <row r="6124" spans="14:18" x14ac:dyDescent="0.25">
      <c r="N6124"/>
      <c r="O6124"/>
      <c r="P6124"/>
      <c r="Q6124"/>
      <c r="R6124"/>
    </row>
    <row r="6125" spans="14:18" x14ac:dyDescent="0.25">
      <c r="N6125"/>
      <c r="O6125"/>
      <c r="P6125"/>
      <c r="Q6125"/>
      <c r="R6125"/>
    </row>
    <row r="6126" spans="14:18" x14ac:dyDescent="0.25">
      <c r="N6126"/>
      <c r="O6126"/>
      <c r="P6126"/>
      <c r="Q6126"/>
      <c r="R6126"/>
    </row>
    <row r="6127" spans="14:18" x14ac:dyDescent="0.25">
      <c r="N6127"/>
      <c r="O6127"/>
      <c r="P6127"/>
      <c r="Q6127"/>
      <c r="R6127"/>
    </row>
    <row r="6128" spans="14:18" x14ac:dyDescent="0.25">
      <c r="N6128"/>
      <c r="O6128"/>
      <c r="P6128"/>
      <c r="Q6128"/>
      <c r="R6128"/>
    </row>
    <row r="6129" spans="14:18" x14ac:dyDescent="0.25">
      <c r="N6129"/>
      <c r="O6129"/>
      <c r="P6129"/>
      <c r="Q6129"/>
      <c r="R6129"/>
    </row>
    <row r="6130" spans="14:18" x14ac:dyDescent="0.25">
      <c r="N6130"/>
      <c r="O6130"/>
      <c r="P6130"/>
      <c r="Q6130"/>
      <c r="R6130"/>
    </row>
    <row r="6131" spans="14:18" x14ac:dyDescent="0.25">
      <c r="N6131"/>
      <c r="O6131"/>
      <c r="P6131"/>
      <c r="Q6131"/>
      <c r="R6131"/>
    </row>
    <row r="6132" spans="14:18" x14ac:dyDescent="0.25">
      <c r="N6132"/>
      <c r="O6132"/>
      <c r="P6132"/>
      <c r="Q6132"/>
      <c r="R6132"/>
    </row>
    <row r="6133" spans="14:18" x14ac:dyDescent="0.25">
      <c r="N6133"/>
      <c r="O6133"/>
      <c r="P6133"/>
      <c r="Q6133"/>
      <c r="R6133"/>
    </row>
    <row r="6134" spans="14:18" x14ac:dyDescent="0.25">
      <c r="N6134"/>
      <c r="O6134"/>
      <c r="P6134"/>
      <c r="Q6134"/>
      <c r="R6134"/>
    </row>
    <row r="6135" spans="14:18" x14ac:dyDescent="0.25">
      <c r="N6135"/>
      <c r="O6135"/>
      <c r="P6135"/>
      <c r="Q6135"/>
      <c r="R6135"/>
    </row>
    <row r="6136" spans="14:18" x14ac:dyDescent="0.25">
      <c r="N6136"/>
      <c r="O6136"/>
      <c r="P6136"/>
      <c r="Q6136"/>
      <c r="R6136"/>
    </row>
    <row r="6137" spans="14:18" x14ac:dyDescent="0.25">
      <c r="N6137"/>
      <c r="O6137"/>
      <c r="P6137"/>
      <c r="Q6137"/>
      <c r="R6137"/>
    </row>
    <row r="6138" spans="14:18" x14ac:dyDescent="0.25">
      <c r="N6138"/>
      <c r="O6138"/>
      <c r="P6138"/>
      <c r="Q6138"/>
      <c r="R6138"/>
    </row>
    <row r="6139" spans="14:18" x14ac:dyDescent="0.25">
      <c r="N6139"/>
      <c r="O6139"/>
      <c r="P6139"/>
      <c r="Q6139"/>
      <c r="R6139"/>
    </row>
    <row r="6140" spans="14:18" x14ac:dyDescent="0.25">
      <c r="N6140"/>
      <c r="O6140"/>
      <c r="P6140"/>
      <c r="Q6140"/>
      <c r="R6140"/>
    </row>
    <row r="6141" spans="14:18" x14ac:dyDescent="0.25">
      <c r="N6141"/>
      <c r="O6141"/>
      <c r="P6141"/>
      <c r="Q6141"/>
      <c r="R6141"/>
    </row>
    <row r="6142" spans="14:18" x14ac:dyDescent="0.25">
      <c r="N6142"/>
      <c r="O6142"/>
      <c r="P6142"/>
      <c r="Q6142"/>
      <c r="R6142"/>
    </row>
    <row r="6143" spans="14:18" x14ac:dyDescent="0.25">
      <c r="N6143"/>
      <c r="O6143"/>
      <c r="P6143"/>
      <c r="Q6143"/>
      <c r="R6143"/>
    </row>
    <row r="6144" spans="14:18" x14ac:dyDescent="0.25">
      <c r="N6144"/>
      <c r="O6144"/>
      <c r="P6144"/>
      <c r="Q6144"/>
      <c r="R6144"/>
    </row>
    <row r="6145" spans="14:18" x14ac:dyDescent="0.25">
      <c r="N6145"/>
      <c r="O6145"/>
      <c r="P6145"/>
      <c r="Q6145"/>
      <c r="R6145"/>
    </row>
    <row r="6146" spans="14:18" x14ac:dyDescent="0.25">
      <c r="N6146"/>
      <c r="O6146"/>
      <c r="P6146"/>
      <c r="Q6146"/>
      <c r="R6146"/>
    </row>
    <row r="6147" spans="14:18" x14ac:dyDescent="0.25">
      <c r="N6147"/>
      <c r="O6147"/>
      <c r="P6147"/>
      <c r="Q6147"/>
      <c r="R6147"/>
    </row>
    <row r="6148" spans="14:18" x14ac:dyDescent="0.25">
      <c r="N6148"/>
      <c r="O6148"/>
      <c r="P6148"/>
      <c r="Q6148"/>
      <c r="R6148"/>
    </row>
    <row r="6149" spans="14:18" x14ac:dyDescent="0.25">
      <c r="N6149"/>
      <c r="O6149"/>
      <c r="P6149"/>
      <c r="Q6149"/>
      <c r="R6149"/>
    </row>
    <row r="6150" spans="14:18" x14ac:dyDescent="0.25">
      <c r="N6150"/>
      <c r="O6150"/>
      <c r="P6150"/>
      <c r="Q6150"/>
      <c r="R6150"/>
    </row>
    <row r="6151" spans="14:18" x14ac:dyDescent="0.25">
      <c r="N6151"/>
      <c r="O6151"/>
      <c r="P6151"/>
      <c r="Q6151"/>
      <c r="R6151"/>
    </row>
    <row r="6152" spans="14:18" x14ac:dyDescent="0.25">
      <c r="N6152"/>
      <c r="O6152"/>
      <c r="P6152"/>
      <c r="Q6152"/>
      <c r="R6152"/>
    </row>
    <row r="6153" spans="14:18" x14ac:dyDescent="0.25">
      <c r="N6153"/>
      <c r="O6153"/>
      <c r="P6153"/>
      <c r="Q6153"/>
      <c r="R6153"/>
    </row>
    <row r="6154" spans="14:18" x14ac:dyDescent="0.25">
      <c r="N6154"/>
      <c r="O6154"/>
      <c r="P6154"/>
      <c r="Q6154"/>
      <c r="R6154"/>
    </row>
    <row r="6155" spans="14:18" x14ac:dyDescent="0.25">
      <c r="N6155"/>
      <c r="O6155"/>
      <c r="P6155"/>
      <c r="Q6155"/>
      <c r="R6155"/>
    </row>
    <row r="6156" spans="14:18" x14ac:dyDescent="0.25">
      <c r="N6156"/>
      <c r="O6156"/>
      <c r="P6156"/>
      <c r="Q6156"/>
      <c r="R6156"/>
    </row>
    <row r="6157" spans="14:18" x14ac:dyDescent="0.25">
      <c r="N6157"/>
      <c r="O6157"/>
      <c r="P6157"/>
      <c r="Q6157"/>
      <c r="R6157"/>
    </row>
    <row r="6158" spans="14:18" x14ac:dyDescent="0.25">
      <c r="N6158"/>
      <c r="O6158"/>
      <c r="P6158"/>
      <c r="Q6158"/>
      <c r="R6158"/>
    </row>
    <row r="6159" spans="14:18" x14ac:dyDescent="0.25">
      <c r="N6159"/>
      <c r="O6159"/>
      <c r="P6159"/>
      <c r="Q6159"/>
      <c r="R6159"/>
    </row>
    <row r="6160" spans="14:18" x14ac:dyDescent="0.25">
      <c r="N6160"/>
      <c r="O6160"/>
      <c r="P6160"/>
      <c r="Q6160"/>
      <c r="R6160"/>
    </row>
    <row r="6161" spans="14:18" x14ac:dyDescent="0.25">
      <c r="N6161"/>
      <c r="O6161"/>
      <c r="P6161"/>
      <c r="Q6161"/>
      <c r="R6161"/>
    </row>
    <row r="6162" spans="14:18" x14ac:dyDescent="0.25">
      <c r="N6162"/>
      <c r="O6162"/>
      <c r="P6162"/>
      <c r="Q6162"/>
      <c r="R6162"/>
    </row>
    <row r="6163" spans="14:18" x14ac:dyDescent="0.25">
      <c r="N6163"/>
      <c r="O6163"/>
      <c r="P6163"/>
      <c r="Q6163"/>
      <c r="R6163"/>
    </row>
    <row r="6164" spans="14:18" x14ac:dyDescent="0.25">
      <c r="N6164"/>
      <c r="O6164"/>
      <c r="P6164"/>
      <c r="Q6164"/>
      <c r="R6164"/>
    </row>
    <row r="6165" spans="14:18" x14ac:dyDescent="0.25">
      <c r="N6165"/>
      <c r="O6165"/>
      <c r="P6165"/>
      <c r="Q6165"/>
      <c r="R6165"/>
    </row>
    <row r="6166" spans="14:18" x14ac:dyDescent="0.25">
      <c r="N6166"/>
      <c r="O6166"/>
      <c r="P6166"/>
      <c r="Q6166"/>
      <c r="R6166"/>
    </row>
    <row r="6167" spans="14:18" x14ac:dyDescent="0.25">
      <c r="N6167"/>
      <c r="O6167"/>
      <c r="P6167"/>
      <c r="Q6167"/>
      <c r="R6167"/>
    </row>
    <row r="6168" spans="14:18" x14ac:dyDescent="0.25">
      <c r="N6168"/>
      <c r="O6168"/>
      <c r="P6168"/>
      <c r="Q6168"/>
      <c r="R6168"/>
    </row>
    <row r="6169" spans="14:18" x14ac:dyDescent="0.25">
      <c r="N6169"/>
      <c r="O6169"/>
      <c r="P6169"/>
      <c r="Q6169"/>
      <c r="R6169"/>
    </row>
    <row r="6170" spans="14:18" x14ac:dyDescent="0.25">
      <c r="N6170"/>
      <c r="O6170"/>
      <c r="P6170"/>
      <c r="Q6170"/>
      <c r="R6170"/>
    </row>
    <row r="6171" spans="14:18" x14ac:dyDescent="0.25">
      <c r="N6171"/>
      <c r="O6171"/>
      <c r="P6171"/>
      <c r="Q6171"/>
      <c r="R6171"/>
    </row>
    <row r="6172" spans="14:18" x14ac:dyDescent="0.25">
      <c r="N6172"/>
      <c r="O6172"/>
      <c r="P6172"/>
      <c r="Q6172"/>
      <c r="R6172"/>
    </row>
    <row r="6173" spans="14:18" x14ac:dyDescent="0.25">
      <c r="N6173"/>
      <c r="O6173"/>
      <c r="P6173"/>
      <c r="Q6173"/>
      <c r="R6173"/>
    </row>
    <row r="6174" spans="14:18" x14ac:dyDescent="0.25">
      <c r="N6174"/>
      <c r="O6174"/>
      <c r="P6174"/>
      <c r="Q6174"/>
      <c r="R6174"/>
    </row>
    <row r="6175" spans="14:18" x14ac:dyDescent="0.25">
      <c r="N6175"/>
      <c r="O6175"/>
      <c r="P6175"/>
      <c r="Q6175"/>
      <c r="R6175"/>
    </row>
    <row r="6176" spans="14:18" x14ac:dyDescent="0.25">
      <c r="N6176"/>
      <c r="O6176"/>
      <c r="P6176"/>
      <c r="Q6176"/>
      <c r="R6176"/>
    </row>
    <row r="6177" spans="14:18" x14ac:dyDescent="0.25">
      <c r="N6177"/>
      <c r="O6177"/>
      <c r="P6177"/>
      <c r="Q6177"/>
      <c r="R6177"/>
    </row>
    <row r="6178" spans="14:18" x14ac:dyDescent="0.25">
      <c r="N6178"/>
      <c r="O6178"/>
      <c r="P6178"/>
      <c r="Q6178"/>
      <c r="R6178"/>
    </row>
    <row r="6179" spans="14:18" x14ac:dyDescent="0.25">
      <c r="N6179"/>
      <c r="O6179"/>
      <c r="P6179"/>
      <c r="Q6179"/>
      <c r="R6179"/>
    </row>
    <row r="6180" spans="14:18" x14ac:dyDescent="0.25">
      <c r="N6180"/>
      <c r="O6180"/>
      <c r="P6180"/>
      <c r="Q6180"/>
      <c r="R6180"/>
    </row>
    <row r="6181" spans="14:18" x14ac:dyDescent="0.25">
      <c r="N6181"/>
      <c r="O6181"/>
      <c r="P6181"/>
      <c r="Q6181"/>
      <c r="R6181"/>
    </row>
    <row r="6182" spans="14:18" x14ac:dyDescent="0.25">
      <c r="N6182"/>
      <c r="O6182"/>
      <c r="P6182"/>
      <c r="Q6182"/>
      <c r="R6182"/>
    </row>
    <row r="6183" spans="14:18" x14ac:dyDescent="0.25">
      <c r="N6183"/>
      <c r="O6183"/>
      <c r="P6183"/>
      <c r="Q6183"/>
      <c r="R6183"/>
    </row>
    <row r="6184" spans="14:18" x14ac:dyDescent="0.25">
      <c r="N6184"/>
      <c r="O6184"/>
      <c r="P6184"/>
      <c r="Q6184"/>
      <c r="R6184"/>
    </row>
    <row r="6185" spans="14:18" x14ac:dyDescent="0.25">
      <c r="N6185"/>
      <c r="O6185"/>
      <c r="P6185"/>
      <c r="Q6185"/>
      <c r="R6185"/>
    </row>
    <row r="6186" spans="14:18" x14ac:dyDescent="0.25">
      <c r="N6186"/>
      <c r="O6186"/>
      <c r="P6186"/>
      <c r="Q6186"/>
      <c r="R6186"/>
    </row>
    <row r="6187" spans="14:18" x14ac:dyDescent="0.25">
      <c r="N6187"/>
      <c r="O6187"/>
      <c r="P6187"/>
      <c r="Q6187"/>
      <c r="R6187"/>
    </row>
    <row r="6188" spans="14:18" x14ac:dyDescent="0.25">
      <c r="N6188"/>
      <c r="O6188"/>
      <c r="P6188"/>
      <c r="Q6188"/>
      <c r="R6188"/>
    </row>
    <row r="6189" spans="14:18" x14ac:dyDescent="0.25">
      <c r="N6189"/>
      <c r="O6189"/>
      <c r="P6189"/>
      <c r="Q6189"/>
      <c r="R6189"/>
    </row>
    <row r="6190" spans="14:18" x14ac:dyDescent="0.25">
      <c r="N6190"/>
      <c r="O6190"/>
      <c r="P6190"/>
      <c r="Q6190"/>
      <c r="R6190"/>
    </row>
    <row r="6191" spans="14:18" x14ac:dyDescent="0.25">
      <c r="N6191"/>
      <c r="O6191"/>
      <c r="P6191"/>
      <c r="Q6191"/>
      <c r="R6191"/>
    </row>
    <row r="6192" spans="14:18" x14ac:dyDescent="0.25">
      <c r="N6192"/>
      <c r="O6192"/>
      <c r="P6192"/>
      <c r="Q6192"/>
      <c r="R6192"/>
    </row>
    <row r="6193" spans="14:18" x14ac:dyDescent="0.25">
      <c r="N6193"/>
      <c r="O6193"/>
      <c r="P6193"/>
      <c r="Q6193"/>
      <c r="R6193"/>
    </row>
    <row r="6194" spans="14:18" x14ac:dyDescent="0.25">
      <c r="N6194"/>
      <c r="O6194"/>
      <c r="P6194"/>
      <c r="Q6194"/>
      <c r="R6194"/>
    </row>
    <row r="6195" spans="14:18" x14ac:dyDescent="0.25">
      <c r="N6195"/>
      <c r="O6195"/>
      <c r="P6195"/>
      <c r="Q6195"/>
      <c r="R6195"/>
    </row>
    <row r="6196" spans="14:18" x14ac:dyDescent="0.25">
      <c r="N6196"/>
      <c r="O6196"/>
      <c r="P6196"/>
      <c r="Q6196"/>
      <c r="R6196"/>
    </row>
    <row r="6197" spans="14:18" x14ac:dyDescent="0.25">
      <c r="N6197"/>
      <c r="O6197"/>
      <c r="P6197"/>
      <c r="Q6197"/>
      <c r="R6197"/>
    </row>
    <row r="6198" spans="14:18" x14ac:dyDescent="0.25">
      <c r="N6198"/>
      <c r="O6198"/>
      <c r="P6198"/>
      <c r="Q6198"/>
      <c r="R6198"/>
    </row>
    <row r="6199" spans="14:18" x14ac:dyDescent="0.25">
      <c r="N6199"/>
      <c r="O6199"/>
      <c r="P6199"/>
      <c r="Q6199"/>
      <c r="R6199"/>
    </row>
    <row r="6200" spans="14:18" x14ac:dyDescent="0.25">
      <c r="N6200"/>
      <c r="O6200"/>
      <c r="P6200"/>
      <c r="Q6200"/>
      <c r="R6200"/>
    </row>
    <row r="6201" spans="14:18" x14ac:dyDescent="0.25">
      <c r="N6201"/>
      <c r="O6201"/>
      <c r="P6201"/>
      <c r="Q6201"/>
      <c r="R6201"/>
    </row>
    <row r="6202" spans="14:18" x14ac:dyDescent="0.25">
      <c r="N6202"/>
      <c r="O6202"/>
      <c r="P6202"/>
      <c r="Q6202"/>
      <c r="R6202"/>
    </row>
    <row r="6203" spans="14:18" x14ac:dyDescent="0.25">
      <c r="N6203"/>
      <c r="O6203"/>
      <c r="P6203"/>
      <c r="Q6203"/>
      <c r="R6203"/>
    </row>
    <row r="6204" spans="14:18" x14ac:dyDescent="0.25">
      <c r="N6204"/>
      <c r="O6204"/>
      <c r="P6204"/>
      <c r="Q6204"/>
      <c r="R6204"/>
    </row>
    <row r="6205" spans="14:18" x14ac:dyDescent="0.25">
      <c r="N6205"/>
      <c r="O6205"/>
      <c r="P6205"/>
      <c r="Q6205"/>
      <c r="R6205"/>
    </row>
    <row r="6206" spans="14:18" x14ac:dyDescent="0.25">
      <c r="N6206"/>
      <c r="O6206"/>
      <c r="P6206"/>
      <c r="Q6206"/>
      <c r="R6206"/>
    </row>
    <row r="6207" spans="14:18" x14ac:dyDescent="0.25">
      <c r="N6207"/>
      <c r="O6207"/>
      <c r="P6207"/>
      <c r="Q6207"/>
      <c r="R6207"/>
    </row>
    <row r="6208" spans="14:18" x14ac:dyDescent="0.25">
      <c r="N6208"/>
      <c r="O6208"/>
      <c r="P6208"/>
      <c r="Q6208"/>
      <c r="R6208"/>
    </row>
    <row r="6209" spans="14:18" x14ac:dyDescent="0.25">
      <c r="N6209"/>
      <c r="O6209"/>
      <c r="P6209"/>
      <c r="Q6209"/>
      <c r="R6209"/>
    </row>
    <row r="6210" spans="14:18" x14ac:dyDescent="0.25">
      <c r="N6210"/>
      <c r="O6210"/>
      <c r="P6210"/>
      <c r="Q6210"/>
      <c r="R6210"/>
    </row>
    <row r="6211" spans="14:18" x14ac:dyDescent="0.25">
      <c r="N6211"/>
      <c r="O6211"/>
      <c r="P6211"/>
      <c r="Q6211"/>
      <c r="R6211"/>
    </row>
    <row r="6212" spans="14:18" x14ac:dyDescent="0.25">
      <c r="N6212"/>
      <c r="O6212"/>
      <c r="P6212"/>
      <c r="Q6212"/>
      <c r="R6212"/>
    </row>
    <row r="6213" spans="14:18" x14ac:dyDescent="0.25">
      <c r="N6213"/>
      <c r="O6213"/>
      <c r="P6213"/>
      <c r="Q6213"/>
      <c r="R6213"/>
    </row>
    <row r="6214" spans="14:18" x14ac:dyDescent="0.25">
      <c r="N6214"/>
      <c r="O6214"/>
      <c r="P6214"/>
      <c r="Q6214"/>
      <c r="R6214"/>
    </row>
    <row r="6215" spans="14:18" x14ac:dyDescent="0.25">
      <c r="N6215"/>
      <c r="O6215"/>
      <c r="P6215"/>
      <c r="Q6215"/>
      <c r="R6215"/>
    </row>
    <row r="6216" spans="14:18" x14ac:dyDescent="0.25">
      <c r="N6216"/>
      <c r="O6216"/>
      <c r="P6216"/>
      <c r="Q6216"/>
      <c r="R6216"/>
    </row>
    <row r="6217" spans="14:18" x14ac:dyDescent="0.25">
      <c r="N6217"/>
      <c r="O6217"/>
      <c r="P6217"/>
      <c r="Q6217"/>
      <c r="R6217"/>
    </row>
    <row r="6218" spans="14:18" x14ac:dyDescent="0.25">
      <c r="N6218"/>
      <c r="O6218"/>
      <c r="P6218"/>
      <c r="Q6218"/>
      <c r="R6218"/>
    </row>
    <row r="6219" spans="14:18" x14ac:dyDescent="0.25">
      <c r="N6219"/>
      <c r="O6219"/>
      <c r="P6219"/>
      <c r="Q6219"/>
      <c r="R6219"/>
    </row>
    <row r="6220" spans="14:18" x14ac:dyDescent="0.25">
      <c r="N6220"/>
      <c r="O6220"/>
      <c r="P6220"/>
      <c r="Q6220"/>
      <c r="R6220"/>
    </row>
    <row r="6221" spans="14:18" x14ac:dyDescent="0.25">
      <c r="N6221"/>
      <c r="O6221"/>
      <c r="P6221"/>
      <c r="Q6221"/>
      <c r="R6221"/>
    </row>
    <row r="6222" spans="14:18" x14ac:dyDescent="0.25">
      <c r="N6222"/>
      <c r="O6222"/>
      <c r="P6222"/>
      <c r="Q6222"/>
      <c r="R6222"/>
    </row>
    <row r="6223" spans="14:18" x14ac:dyDescent="0.25">
      <c r="N6223"/>
      <c r="O6223"/>
      <c r="P6223"/>
      <c r="Q6223"/>
      <c r="R6223"/>
    </row>
    <row r="6224" spans="14:18" x14ac:dyDescent="0.25">
      <c r="N6224"/>
      <c r="O6224"/>
      <c r="P6224"/>
      <c r="Q6224"/>
      <c r="R6224"/>
    </row>
    <row r="6225" spans="14:18" x14ac:dyDescent="0.25">
      <c r="N6225"/>
      <c r="O6225"/>
      <c r="P6225"/>
      <c r="Q6225"/>
      <c r="R6225"/>
    </row>
    <row r="6226" spans="14:18" x14ac:dyDescent="0.25">
      <c r="N6226"/>
      <c r="O6226"/>
      <c r="P6226"/>
      <c r="Q6226"/>
      <c r="R6226"/>
    </row>
    <row r="6227" spans="14:18" x14ac:dyDescent="0.25">
      <c r="N6227"/>
      <c r="O6227"/>
      <c r="P6227"/>
      <c r="Q6227"/>
      <c r="R6227"/>
    </row>
    <row r="6228" spans="14:18" x14ac:dyDescent="0.25">
      <c r="N6228"/>
      <c r="O6228"/>
      <c r="P6228"/>
      <c r="Q6228"/>
      <c r="R6228"/>
    </row>
    <row r="6229" spans="14:18" x14ac:dyDescent="0.25">
      <c r="N6229"/>
      <c r="O6229"/>
      <c r="P6229"/>
      <c r="Q6229"/>
      <c r="R6229"/>
    </row>
    <row r="6230" spans="14:18" x14ac:dyDescent="0.25">
      <c r="N6230"/>
      <c r="O6230"/>
      <c r="P6230"/>
      <c r="Q6230"/>
      <c r="R6230"/>
    </row>
    <row r="6231" spans="14:18" x14ac:dyDescent="0.25">
      <c r="N6231"/>
      <c r="O6231"/>
      <c r="P6231"/>
      <c r="Q6231"/>
      <c r="R6231"/>
    </row>
    <row r="6232" spans="14:18" x14ac:dyDescent="0.25">
      <c r="N6232"/>
      <c r="O6232"/>
      <c r="P6232"/>
      <c r="Q6232"/>
      <c r="R6232"/>
    </row>
    <row r="6233" spans="14:18" x14ac:dyDescent="0.25">
      <c r="N6233"/>
      <c r="O6233"/>
      <c r="P6233"/>
      <c r="Q6233"/>
      <c r="R6233"/>
    </row>
    <row r="6234" spans="14:18" x14ac:dyDescent="0.25">
      <c r="N6234"/>
      <c r="O6234"/>
      <c r="P6234"/>
      <c r="Q6234"/>
      <c r="R6234"/>
    </row>
    <row r="6235" spans="14:18" x14ac:dyDescent="0.25">
      <c r="N6235"/>
      <c r="O6235"/>
      <c r="P6235"/>
      <c r="Q6235"/>
      <c r="R6235"/>
    </row>
    <row r="6236" spans="14:18" x14ac:dyDescent="0.25">
      <c r="N6236"/>
      <c r="O6236"/>
      <c r="P6236"/>
      <c r="Q6236"/>
      <c r="R6236"/>
    </row>
    <row r="6237" spans="14:18" x14ac:dyDescent="0.25">
      <c r="N6237"/>
      <c r="O6237"/>
      <c r="P6237"/>
      <c r="Q6237"/>
      <c r="R6237"/>
    </row>
    <row r="6238" spans="14:18" x14ac:dyDescent="0.25">
      <c r="N6238"/>
      <c r="O6238"/>
      <c r="P6238"/>
      <c r="Q6238"/>
      <c r="R6238"/>
    </row>
    <row r="6239" spans="14:18" x14ac:dyDescent="0.25">
      <c r="N6239"/>
      <c r="O6239"/>
      <c r="P6239"/>
      <c r="Q6239"/>
      <c r="R6239"/>
    </row>
    <row r="6240" spans="14:18" x14ac:dyDescent="0.25">
      <c r="N6240"/>
      <c r="O6240"/>
      <c r="P6240"/>
      <c r="Q6240"/>
      <c r="R6240"/>
    </row>
    <row r="6241" spans="14:18" x14ac:dyDescent="0.25">
      <c r="N6241"/>
      <c r="O6241"/>
      <c r="P6241"/>
      <c r="Q6241"/>
      <c r="R6241"/>
    </row>
    <row r="6242" spans="14:18" x14ac:dyDescent="0.25">
      <c r="N6242"/>
      <c r="O6242"/>
      <c r="P6242"/>
      <c r="Q6242"/>
      <c r="R6242"/>
    </row>
    <row r="6243" spans="14:18" x14ac:dyDescent="0.25">
      <c r="N6243"/>
      <c r="O6243"/>
      <c r="P6243"/>
      <c r="Q6243"/>
      <c r="R6243"/>
    </row>
    <row r="6244" spans="14:18" x14ac:dyDescent="0.25">
      <c r="N6244"/>
      <c r="O6244"/>
      <c r="P6244"/>
      <c r="Q6244"/>
      <c r="R6244"/>
    </row>
    <row r="6245" spans="14:18" x14ac:dyDescent="0.25">
      <c r="N6245"/>
      <c r="O6245"/>
      <c r="P6245"/>
      <c r="Q6245"/>
      <c r="R6245"/>
    </row>
    <row r="6246" spans="14:18" x14ac:dyDescent="0.25">
      <c r="N6246"/>
      <c r="O6246"/>
      <c r="P6246"/>
      <c r="Q6246"/>
      <c r="R6246"/>
    </row>
    <row r="6247" spans="14:18" x14ac:dyDescent="0.25">
      <c r="N6247"/>
      <c r="O6247"/>
      <c r="P6247"/>
      <c r="Q6247"/>
      <c r="R6247"/>
    </row>
    <row r="6248" spans="14:18" x14ac:dyDescent="0.25">
      <c r="N6248"/>
      <c r="O6248"/>
      <c r="P6248"/>
      <c r="Q6248"/>
      <c r="R6248"/>
    </row>
    <row r="6249" spans="14:18" x14ac:dyDescent="0.25">
      <c r="N6249"/>
      <c r="O6249"/>
      <c r="P6249"/>
      <c r="Q6249"/>
      <c r="R6249"/>
    </row>
    <row r="6250" spans="14:18" x14ac:dyDescent="0.25">
      <c r="N6250"/>
      <c r="O6250"/>
      <c r="P6250"/>
      <c r="Q6250"/>
      <c r="R6250"/>
    </row>
    <row r="6251" spans="14:18" x14ac:dyDescent="0.25">
      <c r="N6251"/>
      <c r="O6251"/>
      <c r="P6251"/>
      <c r="Q6251"/>
      <c r="R6251"/>
    </row>
    <row r="6252" spans="14:18" x14ac:dyDescent="0.25">
      <c r="N6252"/>
      <c r="O6252"/>
      <c r="P6252"/>
      <c r="Q6252"/>
      <c r="R6252"/>
    </row>
    <row r="6253" spans="14:18" x14ac:dyDescent="0.25">
      <c r="N6253"/>
      <c r="O6253"/>
      <c r="P6253"/>
      <c r="Q6253"/>
      <c r="R6253"/>
    </row>
    <row r="6254" spans="14:18" x14ac:dyDescent="0.25">
      <c r="N6254"/>
      <c r="O6254"/>
      <c r="P6254"/>
      <c r="Q6254"/>
      <c r="R6254"/>
    </row>
    <row r="6255" spans="14:18" x14ac:dyDescent="0.25">
      <c r="N6255"/>
      <c r="O6255"/>
      <c r="P6255"/>
      <c r="Q6255"/>
      <c r="R6255"/>
    </row>
    <row r="6256" spans="14:18" x14ac:dyDescent="0.25">
      <c r="N6256"/>
      <c r="O6256"/>
      <c r="P6256"/>
      <c r="Q6256"/>
      <c r="R6256"/>
    </row>
    <row r="6257" spans="14:18" x14ac:dyDescent="0.25">
      <c r="N6257"/>
      <c r="O6257"/>
      <c r="P6257"/>
      <c r="Q6257"/>
      <c r="R6257"/>
    </row>
    <row r="6258" spans="14:18" x14ac:dyDescent="0.25">
      <c r="N6258"/>
      <c r="O6258"/>
      <c r="P6258"/>
      <c r="Q6258"/>
      <c r="R6258"/>
    </row>
    <row r="6259" spans="14:18" x14ac:dyDescent="0.25">
      <c r="N6259"/>
      <c r="O6259"/>
      <c r="P6259"/>
      <c r="Q6259"/>
      <c r="R6259"/>
    </row>
    <row r="6260" spans="14:18" x14ac:dyDescent="0.25">
      <c r="N6260"/>
      <c r="O6260"/>
      <c r="P6260"/>
      <c r="Q6260"/>
      <c r="R6260"/>
    </row>
    <row r="6261" spans="14:18" x14ac:dyDescent="0.25">
      <c r="N6261"/>
      <c r="O6261"/>
      <c r="P6261"/>
      <c r="Q6261"/>
      <c r="R6261"/>
    </row>
    <row r="6262" spans="14:18" x14ac:dyDescent="0.25">
      <c r="N6262"/>
      <c r="O6262"/>
      <c r="P6262"/>
      <c r="Q6262"/>
      <c r="R6262"/>
    </row>
    <row r="6263" spans="14:18" x14ac:dyDescent="0.25">
      <c r="N6263"/>
      <c r="O6263"/>
      <c r="P6263"/>
      <c r="Q6263"/>
      <c r="R6263"/>
    </row>
    <row r="6264" spans="14:18" x14ac:dyDescent="0.25">
      <c r="N6264"/>
      <c r="O6264"/>
      <c r="P6264"/>
      <c r="Q6264"/>
      <c r="R6264"/>
    </row>
    <row r="6265" spans="14:18" x14ac:dyDescent="0.25">
      <c r="N6265"/>
      <c r="O6265"/>
      <c r="P6265"/>
      <c r="Q6265"/>
      <c r="R6265"/>
    </row>
    <row r="6266" spans="14:18" x14ac:dyDescent="0.25">
      <c r="N6266"/>
      <c r="O6266"/>
      <c r="P6266"/>
      <c r="Q6266"/>
      <c r="R6266"/>
    </row>
    <row r="6267" spans="14:18" x14ac:dyDescent="0.25">
      <c r="N6267"/>
      <c r="O6267"/>
      <c r="P6267"/>
      <c r="Q6267"/>
      <c r="R6267"/>
    </row>
    <row r="6268" spans="14:18" x14ac:dyDescent="0.25">
      <c r="N6268"/>
      <c r="O6268"/>
      <c r="P6268"/>
      <c r="Q6268"/>
      <c r="R6268"/>
    </row>
    <row r="6269" spans="14:18" x14ac:dyDescent="0.25">
      <c r="N6269"/>
      <c r="O6269"/>
      <c r="P6269"/>
      <c r="Q6269"/>
      <c r="R6269"/>
    </row>
    <row r="6270" spans="14:18" x14ac:dyDescent="0.25">
      <c r="N6270"/>
      <c r="O6270"/>
      <c r="P6270"/>
      <c r="Q6270"/>
      <c r="R6270"/>
    </row>
    <row r="6271" spans="14:18" x14ac:dyDescent="0.25">
      <c r="N6271"/>
      <c r="O6271"/>
      <c r="P6271"/>
      <c r="Q6271"/>
      <c r="R6271"/>
    </row>
    <row r="6272" spans="14:18" x14ac:dyDescent="0.25">
      <c r="N6272"/>
      <c r="O6272"/>
      <c r="P6272"/>
      <c r="Q6272"/>
      <c r="R6272"/>
    </row>
    <row r="6273" spans="14:18" x14ac:dyDescent="0.25">
      <c r="N6273"/>
      <c r="O6273"/>
      <c r="P6273"/>
      <c r="Q6273"/>
      <c r="R6273"/>
    </row>
    <row r="6274" spans="14:18" x14ac:dyDescent="0.25">
      <c r="N6274"/>
      <c r="O6274"/>
      <c r="P6274"/>
      <c r="Q6274"/>
      <c r="R6274"/>
    </row>
    <row r="6275" spans="14:18" x14ac:dyDescent="0.25">
      <c r="N6275"/>
      <c r="O6275"/>
      <c r="P6275"/>
      <c r="Q6275"/>
      <c r="R6275"/>
    </row>
    <row r="6276" spans="14:18" x14ac:dyDescent="0.25">
      <c r="N6276"/>
      <c r="O6276"/>
      <c r="P6276"/>
      <c r="Q6276"/>
      <c r="R6276"/>
    </row>
    <row r="6277" spans="14:18" x14ac:dyDescent="0.25">
      <c r="N6277"/>
      <c r="O6277"/>
      <c r="P6277"/>
      <c r="Q6277"/>
      <c r="R6277"/>
    </row>
    <row r="6278" spans="14:18" x14ac:dyDescent="0.25">
      <c r="N6278"/>
      <c r="O6278"/>
      <c r="P6278"/>
      <c r="Q6278"/>
      <c r="R6278"/>
    </row>
    <row r="6279" spans="14:18" x14ac:dyDescent="0.25">
      <c r="N6279"/>
      <c r="O6279"/>
      <c r="P6279"/>
      <c r="Q6279"/>
      <c r="R6279"/>
    </row>
    <row r="6280" spans="14:18" x14ac:dyDescent="0.25">
      <c r="N6280"/>
      <c r="O6280"/>
      <c r="P6280"/>
      <c r="Q6280"/>
      <c r="R6280"/>
    </row>
    <row r="6281" spans="14:18" x14ac:dyDescent="0.25">
      <c r="N6281"/>
      <c r="O6281"/>
      <c r="P6281"/>
      <c r="Q6281"/>
      <c r="R6281"/>
    </row>
    <row r="6282" spans="14:18" x14ac:dyDescent="0.25">
      <c r="N6282"/>
      <c r="O6282"/>
      <c r="P6282"/>
      <c r="Q6282"/>
      <c r="R6282"/>
    </row>
    <row r="6283" spans="14:18" x14ac:dyDescent="0.25">
      <c r="N6283"/>
      <c r="O6283"/>
      <c r="P6283"/>
      <c r="Q6283"/>
      <c r="R6283"/>
    </row>
    <row r="6284" spans="14:18" x14ac:dyDescent="0.25">
      <c r="N6284"/>
      <c r="O6284"/>
      <c r="P6284"/>
      <c r="Q6284"/>
      <c r="R6284"/>
    </row>
    <row r="6285" spans="14:18" x14ac:dyDescent="0.25">
      <c r="N6285"/>
      <c r="O6285"/>
      <c r="P6285"/>
      <c r="Q6285"/>
      <c r="R6285"/>
    </row>
    <row r="6286" spans="14:18" x14ac:dyDescent="0.25">
      <c r="N6286"/>
      <c r="O6286"/>
      <c r="P6286"/>
      <c r="Q6286"/>
      <c r="R6286"/>
    </row>
    <row r="6287" spans="14:18" x14ac:dyDescent="0.25">
      <c r="N6287"/>
      <c r="O6287"/>
      <c r="P6287"/>
      <c r="Q6287"/>
      <c r="R6287"/>
    </row>
    <row r="6288" spans="14:18" x14ac:dyDescent="0.25">
      <c r="N6288"/>
      <c r="O6288"/>
      <c r="P6288"/>
      <c r="Q6288"/>
      <c r="R6288"/>
    </row>
    <row r="6289" spans="14:18" x14ac:dyDescent="0.25">
      <c r="N6289"/>
      <c r="O6289"/>
      <c r="P6289"/>
      <c r="Q6289"/>
      <c r="R6289"/>
    </row>
    <row r="6290" spans="14:18" x14ac:dyDescent="0.25">
      <c r="N6290"/>
      <c r="O6290"/>
      <c r="P6290"/>
      <c r="Q6290"/>
      <c r="R6290"/>
    </row>
    <row r="6291" spans="14:18" x14ac:dyDescent="0.25">
      <c r="N6291"/>
      <c r="O6291"/>
      <c r="P6291"/>
      <c r="Q6291"/>
      <c r="R6291"/>
    </row>
    <row r="6292" spans="14:18" x14ac:dyDescent="0.25">
      <c r="N6292"/>
      <c r="O6292"/>
      <c r="P6292"/>
      <c r="Q6292"/>
      <c r="R6292"/>
    </row>
    <row r="6293" spans="14:18" x14ac:dyDescent="0.25">
      <c r="N6293"/>
      <c r="O6293"/>
      <c r="P6293"/>
      <c r="Q6293"/>
      <c r="R6293"/>
    </row>
    <row r="6294" spans="14:18" x14ac:dyDescent="0.25">
      <c r="N6294"/>
      <c r="O6294"/>
      <c r="P6294"/>
      <c r="Q6294"/>
      <c r="R6294"/>
    </row>
    <row r="6295" spans="14:18" x14ac:dyDescent="0.25">
      <c r="N6295"/>
      <c r="O6295"/>
      <c r="P6295"/>
      <c r="Q6295"/>
      <c r="R6295"/>
    </row>
    <row r="6296" spans="14:18" x14ac:dyDescent="0.25">
      <c r="N6296"/>
      <c r="O6296"/>
      <c r="P6296"/>
      <c r="Q6296"/>
      <c r="R6296"/>
    </row>
    <row r="6297" spans="14:18" x14ac:dyDescent="0.25">
      <c r="N6297"/>
      <c r="O6297"/>
      <c r="P6297"/>
      <c r="Q6297"/>
      <c r="R6297"/>
    </row>
    <row r="6298" spans="14:18" x14ac:dyDescent="0.25">
      <c r="N6298"/>
      <c r="O6298"/>
      <c r="P6298"/>
      <c r="Q6298"/>
      <c r="R6298"/>
    </row>
    <row r="6299" spans="14:18" x14ac:dyDescent="0.25">
      <c r="N6299"/>
      <c r="O6299"/>
      <c r="P6299"/>
      <c r="Q6299"/>
      <c r="R6299"/>
    </row>
    <row r="6300" spans="14:18" x14ac:dyDescent="0.25">
      <c r="N6300"/>
      <c r="O6300"/>
      <c r="P6300"/>
      <c r="Q6300"/>
      <c r="R6300"/>
    </row>
    <row r="6301" spans="14:18" x14ac:dyDescent="0.25">
      <c r="N6301"/>
      <c r="O6301"/>
      <c r="P6301"/>
      <c r="Q6301"/>
      <c r="R6301"/>
    </row>
    <row r="6302" spans="14:18" x14ac:dyDescent="0.25">
      <c r="N6302"/>
      <c r="O6302"/>
      <c r="P6302"/>
      <c r="Q6302"/>
      <c r="R6302"/>
    </row>
    <row r="6303" spans="14:18" x14ac:dyDescent="0.25">
      <c r="N6303"/>
      <c r="O6303"/>
      <c r="P6303"/>
      <c r="Q6303"/>
      <c r="R6303"/>
    </row>
    <row r="6304" spans="14:18" x14ac:dyDescent="0.25">
      <c r="N6304"/>
      <c r="O6304"/>
      <c r="P6304"/>
      <c r="Q6304"/>
      <c r="R6304"/>
    </row>
    <row r="6305" spans="14:18" x14ac:dyDescent="0.25">
      <c r="N6305"/>
      <c r="O6305"/>
      <c r="P6305"/>
      <c r="Q6305"/>
      <c r="R6305"/>
    </row>
    <row r="6306" spans="14:18" x14ac:dyDescent="0.25">
      <c r="N6306"/>
      <c r="O6306"/>
      <c r="P6306"/>
      <c r="Q6306"/>
      <c r="R6306"/>
    </row>
    <row r="6307" spans="14:18" x14ac:dyDescent="0.25">
      <c r="N6307"/>
      <c r="O6307"/>
      <c r="P6307"/>
      <c r="Q6307"/>
      <c r="R6307"/>
    </row>
    <row r="6308" spans="14:18" x14ac:dyDescent="0.25">
      <c r="N6308"/>
      <c r="O6308"/>
      <c r="P6308"/>
      <c r="Q6308"/>
      <c r="R6308"/>
    </row>
    <row r="6309" spans="14:18" x14ac:dyDescent="0.25">
      <c r="N6309"/>
      <c r="O6309"/>
      <c r="P6309"/>
      <c r="Q6309"/>
      <c r="R6309"/>
    </row>
    <row r="6310" spans="14:18" x14ac:dyDescent="0.25">
      <c r="N6310"/>
      <c r="O6310"/>
      <c r="P6310"/>
      <c r="Q6310"/>
      <c r="R6310"/>
    </row>
    <row r="6311" spans="14:18" x14ac:dyDescent="0.25">
      <c r="N6311"/>
      <c r="O6311"/>
      <c r="P6311"/>
      <c r="Q6311"/>
      <c r="R6311"/>
    </row>
    <row r="6312" spans="14:18" x14ac:dyDescent="0.25">
      <c r="N6312"/>
      <c r="O6312"/>
      <c r="P6312"/>
      <c r="Q6312"/>
      <c r="R6312"/>
    </row>
    <row r="6313" spans="14:18" x14ac:dyDescent="0.25">
      <c r="N6313"/>
      <c r="O6313"/>
      <c r="P6313"/>
      <c r="Q6313"/>
      <c r="R6313"/>
    </row>
    <row r="6314" spans="14:18" x14ac:dyDescent="0.25">
      <c r="N6314"/>
      <c r="O6314"/>
      <c r="P6314"/>
      <c r="Q6314"/>
      <c r="R6314"/>
    </row>
    <row r="6315" spans="14:18" x14ac:dyDescent="0.25">
      <c r="N6315"/>
      <c r="O6315"/>
      <c r="P6315"/>
      <c r="Q6315"/>
      <c r="R6315"/>
    </row>
    <row r="6316" spans="14:18" x14ac:dyDescent="0.25">
      <c r="N6316"/>
      <c r="O6316"/>
      <c r="P6316"/>
      <c r="Q6316"/>
      <c r="R6316"/>
    </row>
    <row r="6317" spans="14:18" x14ac:dyDescent="0.25">
      <c r="N6317"/>
      <c r="O6317"/>
      <c r="P6317"/>
      <c r="Q6317"/>
      <c r="R6317"/>
    </row>
    <row r="6318" spans="14:18" x14ac:dyDescent="0.25">
      <c r="N6318"/>
      <c r="O6318"/>
      <c r="P6318"/>
      <c r="Q6318"/>
      <c r="R6318"/>
    </row>
    <row r="6319" spans="14:18" x14ac:dyDescent="0.25">
      <c r="N6319"/>
      <c r="O6319"/>
      <c r="P6319"/>
      <c r="Q6319"/>
      <c r="R6319"/>
    </row>
    <row r="6320" spans="14:18" x14ac:dyDescent="0.25">
      <c r="N6320"/>
      <c r="O6320"/>
      <c r="P6320"/>
      <c r="Q6320"/>
      <c r="R6320"/>
    </row>
    <row r="6321" spans="14:18" x14ac:dyDescent="0.25">
      <c r="N6321"/>
      <c r="O6321"/>
      <c r="P6321"/>
      <c r="Q6321"/>
      <c r="R6321"/>
    </row>
    <row r="6322" spans="14:18" x14ac:dyDescent="0.25">
      <c r="N6322"/>
      <c r="O6322"/>
      <c r="P6322"/>
      <c r="Q6322"/>
      <c r="R6322"/>
    </row>
    <row r="6323" spans="14:18" x14ac:dyDescent="0.25">
      <c r="N6323"/>
      <c r="O6323"/>
      <c r="P6323"/>
      <c r="Q6323"/>
      <c r="R6323"/>
    </row>
    <row r="6324" spans="14:18" x14ac:dyDescent="0.25">
      <c r="N6324"/>
      <c r="O6324"/>
      <c r="P6324"/>
      <c r="Q6324"/>
      <c r="R6324"/>
    </row>
    <row r="6325" spans="14:18" x14ac:dyDescent="0.25">
      <c r="N6325"/>
      <c r="O6325"/>
      <c r="P6325"/>
      <c r="Q6325"/>
      <c r="R6325"/>
    </row>
    <row r="6326" spans="14:18" x14ac:dyDescent="0.25">
      <c r="N6326"/>
      <c r="O6326"/>
      <c r="P6326"/>
      <c r="Q6326"/>
      <c r="R6326"/>
    </row>
    <row r="6327" spans="14:18" x14ac:dyDescent="0.25">
      <c r="N6327"/>
      <c r="O6327"/>
      <c r="P6327"/>
      <c r="Q6327"/>
      <c r="R6327"/>
    </row>
    <row r="6328" spans="14:18" x14ac:dyDescent="0.25">
      <c r="N6328"/>
      <c r="O6328"/>
      <c r="P6328"/>
      <c r="Q6328"/>
      <c r="R6328"/>
    </row>
    <row r="6329" spans="14:18" x14ac:dyDescent="0.25">
      <c r="N6329"/>
      <c r="O6329"/>
      <c r="P6329"/>
      <c r="Q6329"/>
      <c r="R6329"/>
    </row>
    <row r="6330" spans="14:18" x14ac:dyDescent="0.25">
      <c r="N6330"/>
      <c r="O6330"/>
      <c r="P6330"/>
      <c r="Q6330"/>
      <c r="R6330"/>
    </row>
    <row r="6331" spans="14:18" x14ac:dyDescent="0.25">
      <c r="N6331"/>
      <c r="O6331"/>
      <c r="P6331"/>
      <c r="Q6331"/>
      <c r="R6331"/>
    </row>
    <row r="6332" spans="14:18" x14ac:dyDescent="0.25">
      <c r="N6332"/>
      <c r="O6332"/>
      <c r="P6332"/>
      <c r="Q6332"/>
      <c r="R6332"/>
    </row>
    <row r="6333" spans="14:18" x14ac:dyDescent="0.25">
      <c r="N6333"/>
      <c r="O6333"/>
      <c r="P6333"/>
      <c r="Q6333"/>
      <c r="R6333"/>
    </row>
    <row r="6334" spans="14:18" x14ac:dyDescent="0.25">
      <c r="N6334"/>
      <c r="O6334"/>
      <c r="P6334"/>
      <c r="Q6334"/>
      <c r="R6334"/>
    </row>
    <row r="6335" spans="14:18" x14ac:dyDescent="0.25">
      <c r="N6335"/>
      <c r="O6335"/>
      <c r="P6335"/>
      <c r="Q6335"/>
      <c r="R6335"/>
    </row>
    <row r="6336" spans="14:18" x14ac:dyDescent="0.25">
      <c r="N6336"/>
      <c r="O6336"/>
      <c r="P6336"/>
      <c r="Q6336"/>
      <c r="R6336"/>
    </row>
    <row r="6337" spans="14:18" x14ac:dyDescent="0.25">
      <c r="N6337"/>
      <c r="O6337"/>
      <c r="P6337"/>
      <c r="Q6337"/>
      <c r="R6337"/>
    </row>
    <row r="6338" spans="14:18" x14ac:dyDescent="0.25">
      <c r="N6338"/>
      <c r="O6338"/>
      <c r="P6338"/>
      <c r="Q6338"/>
      <c r="R6338"/>
    </row>
    <row r="6339" spans="14:18" x14ac:dyDescent="0.25">
      <c r="N6339"/>
      <c r="O6339"/>
      <c r="P6339"/>
      <c r="Q6339"/>
      <c r="R6339"/>
    </row>
    <row r="6340" spans="14:18" x14ac:dyDescent="0.25">
      <c r="N6340"/>
      <c r="O6340"/>
      <c r="P6340"/>
      <c r="Q6340"/>
      <c r="R6340"/>
    </row>
    <row r="6341" spans="14:18" x14ac:dyDescent="0.25">
      <c r="N6341"/>
      <c r="O6341"/>
      <c r="P6341"/>
      <c r="Q6341"/>
      <c r="R6341"/>
    </row>
    <row r="6342" spans="14:18" x14ac:dyDescent="0.25">
      <c r="N6342"/>
      <c r="O6342"/>
      <c r="P6342"/>
      <c r="Q6342"/>
      <c r="R6342"/>
    </row>
    <row r="6343" spans="14:18" x14ac:dyDescent="0.25">
      <c r="N6343"/>
      <c r="O6343"/>
      <c r="P6343"/>
      <c r="Q6343"/>
      <c r="R6343"/>
    </row>
    <row r="6344" spans="14:18" x14ac:dyDescent="0.25">
      <c r="N6344"/>
      <c r="O6344"/>
      <c r="P6344"/>
      <c r="Q6344"/>
      <c r="R6344"/>
    </row>
    <row r="6345" spans="14:18" x14ac:dyDescent="0.25">
      <c r="N6345"/>
      <c r="O6345"/>
      <c r="P6345"/>
      <c r="Q6345"/>
      <c r="R6345"/>
    </row>
    <row r="6346" spans="14:18" x14ac:dyDescent="0.25">
      <c r="N6346"/>
      <c r="O6346"/>
      <c r="P6346"/>
      <c r="Q6346"/>
      <c r="R6346"/>
    </row>
    <row r="6347" spans="14:18" x14ac:dyDescent="0.25">
      <c r="N6347"/>
      <c r="O6347"/>
      <c r="P6347"/>
      <c r="Q6347"/>
      <c r="R6347"/>
    </row>
    <row r="6348" spans="14:18" x14ac:dyDescent="0.25">
      <c r="N6348"/>
      <c r="O6348"/>
      <c r="P6348"/>
      <c r="Q6348"/>
      <c r="R6348"/>
    </row>
    <row r="6349" spans="14:18" x14ac:dyDescent="0.25">
      <c r="N6349"/>
      <c r="O6349"/>
      <c r="P6349"/>
      <c r="Q6349"/>
      <c r="R6349"/>
    </row>
    <row r="6350" spans="14:18" x14ac:dyDescent="0.25">
      <c r="N6350"/>
      <c r="O6350"/>
      <c r="P6350"/>
      <c r="Q6350"/>
      <c r="R6350"/>
    </row>
    <row r="6351" spans="14:18" x14ac:dyDescent="0.25">
      <c r="N6351"/>
      <c r="O6351"/>
      <c r="P6351"/>
      <c r="Q6351"/>
      <c r="R6351"/>
    </row>
    <row r="6352" spans="14:18" x14ac:dyDescent="0.25">
      <c r="N6352"/>
      <c r="O6352"/>
      <c r="P6352"/>
      <c r="Q6352"/>
      <c r="R6352"/>
    </row>
    <row r="6353" spans="14:18" x14ac:dyDescent="0.25">
      <c r="N6353"/>
      <c r="O6353"/>
      <c r="P6353"/>
      <c r="Q6353"/>
      <c r="R6353"/>
    </row>
    <row r="6354" spans="14:18" x14ac:dyDescent="0.25">
      <c r="N6354"/>
      <c r="O6354"/>
      <c r="P6354"/>
      <c r="Q6354"/>
      <c r="R6354"/>
    </row>
    <row r="6355" spans="14:18" x14ac:dyDescent="0.25">
      <c r="N6355"/>
      <c r="O6355"/>
      <c r="P6355"/>
      <c r="Q6355"/>
      <c r="R6355"/>
    </row>
    <row r="6356" spans="14:18" x14ac:dyDescent="0.25">
      <c r="N6356"/>
      <c r="O6356"/>
      <c r="P6356"/>
      <c r="Q6356"/>
      <c r="R6356"/>
    </row>
    <row r="6357" spans="14:18" x14ac:dyDescent="0.25">
      <c r="N6357"/>
      <c r="O6357"/>
      <c r="P6357"/>
      <c r="Q6357"/>
      <c r="R6357"/>
    </row>
    <row r="6358" spans="14:18" x14ac:dyDescent="0.25">
      <c r="N6358"/>
      <c r="O6358"/>
      <c r="P6358"/>
      <c r="Q6358"/>
      <c r="R6358"/>
    </row>
    <row r="6359" spans="14:18" x14ac:dyDescent="0.25">
      <c r="N6359"/>
      <c r="O6359"/>
      <c r="P6359"/>
      <c r="Q6359"/>
      <c r="R6359"/>
    </row>
    <row r="6360" spans="14:18" x14ac:dyDescent="0.25">
      <c r="N6360"/>
      <c r="O6360"/>
      <c r="P6360"/>
      <c r="Q6360"/>
      <c r="R6360"/>
    </row>
    <row r="6361" spans="14:18" x14ac:dyDescent="0.25">
      <c r="N6361"/>
      <c r="O6361"/>
      <c r="P6361"/>
      <c r="Q6361"/>
      <c r="R6361"/>
    </row>
    <row r="6362" spans="14:18" x14ac:dyDescent="0.25">
      <c r="N6362"/>
      <c r="O6362"/>
      <c r="P6362"/>
      <c r="Q6362"/>
      <c r="R6362"/>
    </row>
    <row r="6363" spans="14:18" x14ac:dyDescent="0.25">
      <c r="N6363"/>
      <c r="O6363"/>
      <c r="P6363"/>
      <c r="Q6363"/>
      <c r="R6363"/>
    </row>
    <row r="6364" spans="14:18" x14ac:dyDescent="0.25">
      <c r="N6364"/>
      <c r="O6364"/>
      <c r="P6364"/>
      <c r="Q6364"/>
      <c r="R6364"/>
    </row>
    <row r="6365" spans="14:18" x14ac:dyDescent="0.25">
      <c r="N6365"/>
      <c r="O6365"/>
      <c r="P6365"/>
      <c r="Q6365"/>
      <c r="R6365"/>
    </row>
    <row r="6366" spans="14:18" x14ac:dyDescent="0.25">
      <c r="N6366"/>
      <c r="O6366"/>
      <c r="P6366"/>
      <c r="Q6366"/>
      <c r="R6366"/>
    </row>
    <row r="6367" spans="14:18" x14ac:dyDescent="0.25">
      <c r="N6367"/>
      <c r="O6367"/>
      <c r="P6367"/>
      <c r="Q6367"/>
      <c r="R6367"/>
    </row>
    <row r="6368" spans="14:18" x14ac:dyDescent="0.25">
      <c r="N6368"/>
      <c r="O6368"/>
      <c r="P6368"/>
      <c r="Q6368"/>
      <c r="R6368"/>
    </row>
    <row r="6369" spans="14:18" x14ac:dyDescent="0.25">
      <c r="N6369"/>
      <c r="O6369"/>
      <c r="P6369"/>
      <c r="Q6369"/>
      <c r="R6369"/>
    </row>
    <row r="6370" spans="14:18" x14ac:dyDescent="0.25">
      <c r="N6370"/>
      <c r="O6370"/>
      <c r="P6370"/>
      <c r="Q6370"/>
      <c r="R6370"/>
    </row>
    <row r="6371" spans="14:18" x14ac:dyDescent="0.25">
      <c r="N6371"/>
      <c r="O6371"/>
      <c r="P6371"/>
      <c r="Q6371"/>
      <c r="R6371"/>
    </row>
    <row r="6372" spans="14:18" x14ac:dyDescent="0.25">
      <c r="N6372"/>
      <c r="O6372"/>
      <c r="P6372"/>
      <c r="Q6372"/>
      <c r="R6372"/>
    </row>
    <row r="6373" spans="14:18" x14ac:dyDescent="0.25">
      <c r="N6373"/>
      <c r="O6373"/>
      <c r="P6373"/>
      <c r="Q6373"/>
      <c r="R6373"/>
    </row>
    <row r="6374" spans="14:18" x14ac:dyDescent="0.25">
      <c r="N6374"/>
      <c r="O6374"/>
      <c r="P6374"/>
      <c r="Q6374"/>
      <c r="R6374"/>
    </row>
    <row r="6375" spans="14:18" x14ac:dyDescent="0.25">
      <c r="N6375"/>
      <c r="O6375"/>
      <c r="P6375"/>
      <c r="Q6375"/>
      <c r="R6375"/>
    </row>
    <row r="6376" spans="14:18" x14ac:dyDescent="0.25">
      <c r="N6376"/>
      <c r="O6376"/>
      <c r="P6376"/>
      <c r="Q6376"/>
      <c r="R6376"/>
    </row>
    <row r="6377" spans="14:18" x14ac:dyDescent="0.25">
      <c r="N6377"/>
      <c r="O6377"/>
      <c r="P6377"/>
      <c r="Q6377"/>
      <c r="R6377"/>
    </row>
    <row r="6378" spans="14:18" x14ac:dyDescent="0.25">
      <c r="N6378"/>
      <c r="O6378"/>
      <c r="P6378"/>
      <c r="Q6378"/>
      <c r="R6378"/>
    </row>
    <row r="6379" spans="14:18" x14ac:dyDescent="0.25">
      <c r="N6379"/>
      <c r="O6379"/>
      <c r="P6379"/>
      <c r="Q6379"/>
      <c r="R6379"/>
    </row>
    <row r="6380" spans="14:18" x14ac:dyDescent="0.25">
      <c r="N6380"/>
      <c r="O6380"/>
      <c r="P6380"/>
      <c r="Q6380"/>
      <c r="R6380"/>
    </row>
    <row r="6381" spans="14:18" x14ac:dyDescent="0.25">
      <c r="N6381"/>
      <c r="O6381"/>
      <c r="P6381"/>
      <c r="Q6381"/>
      <c r="R6381"/>
    </row>
    <row r="6382" spans="14:18" x14ac:dyDescent="0.25">
      <c r="N6382"/>
      <c r="O6382"/>
      <c r="P6382"/>
      <c r="Q6382"/>
      <c r="R6382"/>
    </row>
    <row r="6383" spans="14:18" x14ac:dyDescent="0.25">
      <c r="N6383"/>
      <c r="O6383"/>
      <c r="P6383"/>
      <c r="Q6383"/>
      <c r="R6383"/>
    </row>
    <row r="6384" spans="14:18" x14ac:dyDescent="0.25">
      <c r="N6384"/>
      <c r="O6384"/>
      <c r="P6384"/>
      <c r="Q6384"/>
      <c r="R6384"/>
    </row>
    <row r="6385" spans="14:18" x14ac:dyDescent="0.25">
      <c r="N6385"/>
      <c r="O6385"/>
      <c r="P6385"/>
      <c r="Q6385"/>
      <c r="R6385"/>
    </row>
    <row r="6386" spans="14:18" x14ac:dyDescent="0.25">
      <c r="N6386"/>
      <c r="O6386"/>
      <c r="P6386"/>
      <c r="Q6386"/>
      <c r="R6386"/>
    </row>
    <row r="6387" spans="14:18" x14ac:dyDescent="0.25">
      <c r="N6387"/>
      <c r="O6387"/>
      <c r="P6387"/>
      <c r="Q6387"/>
      <c r="R6387"/>
    </row>
    <row r="6388" spans="14:18" x14ac:dyDescent="0.25">
      <c r="N6388"/>
      <c r="O6388"/>
      <c r="P6388"/>
      <c r="Q6388"/>
      <c r="R6388"/>
    </row>
    <row r="6389" spans="14:18" x14ac:dyDescent="0.25">
      <c r="N6389"/>
      <c r="O6389"/>
      <c r="P6389"/>
      <c r="Q6389"/>
      <c r="R6389"/>
    </row>
    <row r="6390" spans="14:18" x14ac:dyDescent="0.25">
      <c r="N6390"/>
      <c r="O6390"/>
      <c r="P6390"/>
      <c r="Q6390"/>
      <c r="R6390"/>
    </row>
    <row r="6391" spans="14:18" x14ac:dyDescent="0.25">
      <c r="N6391"/>
      <c r="O6391"/>
      <c r="P6391"/>
      <c r="Q6391"/>
      <c r="R6391"/>
    </row>
    <row r="6392" spans="14:18" x14ac:dyDescent="0.25">
      <c r="N6392"/>
      <c r="O6392"/>
      <c r="P6392"/>
      <c r="Q6392"/>
      <c r="R6392"/>
    </row>
    <row r="6393" spans="14:18" x14ac:dyDescent="0.25">
      <c r="N6393"/>
      <c r="O6393"/>
      <c r="P6393"/>
      <c r="Q6393"/>
      <c r="R6393"/>
    </row>
    <row r="6394" spans="14:18" x14ac:dyDescent="0.25">
      <c r="N6394"/>
      <c r="O6394"/>
      <c r="P6394"/>
      <c r="Q6394"/>
      <c r="R6394"/>
    </row>
    <row r="6395" spans="14:18" x14ac:dyDescent="0.25">
      <c r="N6395"/>
      <c r="O6395"/>
      <c r="P6395"/>
      <c r="Q6395"/>
      <c r="R6395"/>
    </row>
    <row r="6396" spans="14:18" x14ac:dyDescent="0.25">
      <c r="N6396"/>
      <c r="O6396"/>
      <c r="P6396"/>
      <c r="Q6396"/>
      <c r="R6396"/>
    </row>
    <row r="6397" spans="14:18" x14ac:dyDescent="0.25">
      <c r="N6397"/>
      <c r="O6397"/>
      <c r="P6397"/>
      <c r="Q6397"/>
      <c r="R6397"/>
    </row>
    <row r="6398" spans="14:18" x14ac:dyDescent="0.25">
      <c r="N6398"/>
      <c r="O6398"/>
      <c r="P6398"/>
      <c r="Q6398"/>
      <c r="R6398"/>
    </row>
    <row r="6399" spans="14:18" x14ac:dyDescent="0.25">
      <c r="N6399"/>
      <c r="O6399"/>
      <c r="P6399"/>
      <c r="Q6399"/>
      <c r="R6399"/>
    </row>
    <row r="6400" spans="14:18" x14ac:dyDescent="0.25">
      <c r="N6400"/>
      <c r="O6400"/>
      <c r="P6400"/>
      <c r="Q6400"/>
      <c r="R6400"/>
    </row>
    <row r="6401" spans="14:18" x14ac:dyDescent="0.25">
      <c r="N6401"/>
      <c r="O6401"/>
      <c r="P6401"/>
      <c r="Q6401"/>
      <c r="R6401"/>
    </row>
    <row r="6402" spans="14:18" x14ac:dyDescent="0.25">
      <c r="N6402"/>
      <c r="O6402"/>
      <c r="P6402"/>
      <c r="Q6402"/>
      <c r="R6402"/>
    </row>
    <row r="6403" spans="14:18" x14ac:dyDescent="0.25">
      <c r="N6403"/>
      <c r="O6403"/>
      <c r="P6403"/>
      <c r="Q6403"/>
      <c r="R6403"/>
    </row>
    <row r="6404" spans="14:18" x14ac:dyDescent="0.25">
      <c r="N6404"/>
      <c r="O6404"/>
      <c r="P6404"/>
      <c r="Q6404"/>
      <c r="R6404"/>
    </row>
    <row r="6405" spans="14:18" x14ac:dyDescent="0.25">
      <c r="N6405"/>
      <c r="O6405"/>
      <c r="P6405"/>
      <c r="Q6405"/>
      <c r="R6405"/>
    </row>
    <row r="6406" spans="14:18" x14ac:dyDescent="0.25">
      <c r="N6406"/>
      <c r="O6406"/>
      <c r="P6406"/>
      <c r="Q6406"/>
      <c r="R6406"/>
    </row>
    <row r="6407" spans="14:18" x14ac:dyDescent="0.25">
      <c r="N6407"/>
      <c r="O6407"/>
      <c r="P6407"/>
      <c r="Q6407"/>
      <c r="R6407"/>
    </row>
    <row r="6408" spans="14:18" x14ac:dyDescent="0.25">
      <c r="N6408"/>
      <c r="O6408"/>
      <c r="P6408"/>
      <c r="Q6408"/>
      <c r="R6408"/>
    </row>
    <row r="6409" spans="14:18" x14ac:dyDescent="0.25">
      <c r="N6409"/>
      <c r="O6409"/>
      <c r="P6409"/>
      <c r="Q6409"/>
      <c r="R6409"/>
    </row>
    <row r="6410" spans="14:18" x14ac:dyDescent="0.25">
      <c r="N6410"/>
      <c r="O6410"/>
      <c r="P6410"/>
      <c r="Q6410"/>
      <c r="R6410"/>
    </row>
    <row r="6411" spans="14:18" x14ac:dyDescent="0.25">
      <c r="N6411"/>
      <c r="O6411"/>
      <c r="P6411"/>
      <c r="Q6411"/>
      <c r="R6411"/>
    </row>
    <row r="6412" spans="14:18" x14ac:dyDescent="0.25">
      <c r="N6412"/>
      <c r="O6412"/>
      <c r="P6412"/>
      <c r="Q6412"/>
      <c r="R6412"/>
    </row>
    <row r="6413" spans="14:18" x14ac:dyDescent="0.25">
      <c r="N6413"/>
      <c r="O6413"/>
      <c r="P6413"/>
      <c r="Q6413"/>
      <c r="R6413"/>
    </row>
    <row r="6414" spans="14:18" x14ac:dyDescent="0.25">
      <c r="N6414"/>
      <c r="O6414"/>
      <c r="P6414"/>
      <c r="Q6414"/>
      <c r="R6414"/>
    </row>
    <row r="6415" spans="14:18" x14ac:dyDescent="0.25">
      <c r="N6415"/>
      <c r="O6415"/>
      <c r="P6415"/>
      <c r="Q6415"/>
      <c r="R6415"/>
    </row>
    <row r="6416" spans="14:18" x14ac:dyDescent="0.25">
      <c r="N6416"/>
      <c r="O6416"/>
      <c r="P6416"/>
      <c r="Q6416"/>
      <c r="R6416"/>
    </row>
    <row r="6417" spans="14:18" x14ac:dyDescent="0.25">
      <c r="N6417"/>
      <c r="O6417"/>
      <c r="P6417"/>
      <c r="Q6417"/>
      <c r="R6417"/>
    </row>
    <row r="6418" spans="14:18" x14ac:dyDescent="0.25">
      <c r="N6418"/>
      <c r="O6418"/>
      <c r="P6418"/>
      <c r="Q6418"/>
      <c r="R6418"/>
    </row>
    <row r="6419" spans="14:18" x14ac:dyDescent="0.25">
      <c r="N6419"/>
      <c r="O6419"/>
      <c r="P6419"/>
      <c r="Q6419"/>
      <c r="R6419"/>
    </row>
    <row r="6420" spans="14:18" x14ac:dyDescent="0.25">
      <c r="N6420"/>
      <c r="O6420"/>
      <c r="P6420"/>
      <c r="Q6420"/>
      <c r="R6420"/>
    </row>
    <row r="6421" spans="14:18" x14ac:dyDescent="0.25">
      <c r="N6421"/>
      <c r="O6421"/>
      <c r="P6421"/>
      <c r="Q6421"/>
      <c r="R6421"/>
    </row>
    <row r="6422" spans="14:18" x14ac:dyDescent="0.25">
      <c r="N6422"/>
      <c r="O6422"/>
      <c r="P6422"/>
      <c r="Q6422"/>
      <c r="R6422"/>
    </row>
    <row r="6423" spans="14:18" x14ac:dyDescent="0.25">
      <c r="N6423"/>
      <c r="O6423"/>
      <c r="P6423"/>
      <c r="Q6423"/>
      <c r="R6423"/>
    </row>
    <row r="6424" spans="14:18" x14ac:dyDescent="0.25">
      <c r="N6424"/>
      <c r="O6424"/>
      <c r="P6424"/>
      <c r="Q6424"/>
      <c r="R6424"/>
    </row>
    <row r="6425" spans="14:18" x14ac:dyDescent="0.25">
      <c r="N6425"/>
      <c r="O6425"/>
      <c r="P6425"/>
      <c r="Q6425"/>
      <c r="R6425"/>
    </row>
    <row r="6426" spans="14:18" x14ac:dyDescent="0.25">
      <c r="N6426"/>
      <c r="O6426"/>
      <c r="P6426"/>
      <c r="Q6426"/>
      <c r="R6426"/>
    </row>
    <row r="6427" spans="14:18" x14ac:dyDescent="0.25">
      <c r="N6427"/>
      <c r="O6427"/>
      <c r="P6427"/>
      <c r="Q6427"/>
      <c r="R6427"/>
    </row>
    <row r="6428" spans="14:18" x14ac:dyDescent="0.25">
      <c r="N6428"/>
      <c r="O6428"/>
      <c r="P6428"/>
      <c r="Q6428"/>
      <c r="R6428"/>
    </row>
    <row r="6429" spans="14:18" x14ac:dyDescent="0.25">
      <c r="N6429"/>
      <c r="O6429"/>
      <c r="P6429"/>
      <c r="Q6429"/>
      <c r="R6429"/>
    </row>
    <row r="6430" spans="14:18" x14ac:dyDescent="0.25">
      <c r="N6430"/>
      <c r="O6430"/>
      <c r="P6430"/>
      <c r="Q6430"/>
      <c r="R6430"/>
    </row>
    <row r="6431" spans="14:18" x14ac:dyDescent="0.25">
      <c r="N6431"/>
      <c r="O6431"/>
      <c r="P6431"/>
      <c r="Q6431"/>
      <c r="R6431"/>
    </row>
    <row r="6432" spans="14:18" x14ac:dyDescent="0.25">
      <c r="N6432"/>
      <c r="O6432"/>
      <c r="P6432"/>
      <c r="Q6432"/>
      <c r="R6432"/>
    </row>
    <row r="6433" spans="14:18" x14ac:dyDescent="0.25">
      <c r="N6433"/>
      <c r="O6433"/>
      <c r="P6433"/>
      <c r="Q6433"/>
      <c r="R6433"/>
    </row>
    <row r="6434" spans="14:18" x14ac:dyDescent="0.25">
      <c r="N6434"/>
      <c r="O6434"/>
      <c r="P6434"/>
      <c r="Q6434"/>
      <c r="R6434"/>
    </row>
    <row r="6435" spans="14:18" x14ac:dyDescent="0.25">
      <c r="N6435"/>
      <c r="O6435"/>
      <c r="P6435"/>
      <c r="Q6435"/>
      <c r="R6435"/>
    </row>
    <row r="6436" spans="14:18" x14ac:dyDescent="0.25">
      <c r="N6436"/>
      <c r="O6436"/>
      <c r="P6436"/>
      <c r="Q6436"/>
      <c r="R6436"/>
    </row>
    <row r="6437" spans="14:18" x14ac:dyDescent="0.25">
      <c r="N6437"/>
      <c r="O6437"/>
      <c r="P6437"/>
      <c r="Q6437"/>
      <c r="R6437"/>
    </row>
    <row r="6438" spans="14:18" x14ac:dyDescent="0.25">
      <c r="N6438"/>
      <c r="O6438"/>
      <c r="P6438"/>
      <c r="Q6438"/>
      <c r="R6438"/>
    </row>
    <row r="6439" spans="14:18" x14ac:dyDescent="0.25">
      <c r="N6439"/>
      <c r="O6439"/>
      <c r="P6439"/>
      <c r="Q6439"/>
      <c r="R6439"/>
    </row>
    <row r="6440" spans="14:18" x14ac:dyDescent="0.25">
      <c r="N6440"/>
      <c r="O6440"/>
      <c r="P6440"/>
      <c r="Q6440"/>
      <c r="R6440"/>
    </row>
    <row r="6441" spans="14:18" x14ac:dyDescent="0.25">
      <c r="N6441"/>
      <c r="O6441"/>
      <c r="P6441"/>
      <c r="Q6441"/>
      <c r="R6441"/>
    </row>
    <row r="6442" spans="14:18" x14ac:dyDescent="0.25">
      <c r="N6442"/>
      <c r="O6442"/>
      <c r="P6442"/>
      <c r="Q6442"/>
      <c r="R6442"/>
    </row>
    <row r="6443" spans="14:18" x14ac:dyDescent="0.25">
      <c r="N6443"/>
      <c r="O6443"/>
      <c r="P6443"/>
      <c r="Q6443"/>
      <c r="R6443"/>
    </row>
    <row r="6444" spans="14:18" x14ac:dyDescent="0.25">
      <c r="N6444"/>
      <c r="O6444"/>
      <c r="P6444"/>
      <c r="Q6444"/>
      <c r="R6444"/>
    </row>
    <row r="6445" spans="14:18" x14ac:dyDescent="0.25">
      <c r="N6445"/>
      <c r="O6445"/>
      <c r="P6445"/>
      <c r="Q6445"/>
      <c r="R6445"/>
    </row>
    <row r="6446" spans="14:18" x14ac:dyDescent="0.25">
      <c r="N6446"/>
      <c r="O6446"/>
      <c r="P6446"/>
      <c r="Q6446"/>
      <c r="R6446"/>
    </row>
    <row r="6447" spans="14:18" x14ac:dyDescent="0.25">
      <c r="N6447"/>
      <c r="O6447"/>
      <c r="P6447"/>
      <c r="Q6447"/>
      <c r="R6447"/>
    </row>
    <row r="6448" spans="14:18" x14ac:dyDescent="0.25">
      <c r="N6448"/>
      <c r="O6448"/>
      <c r="P6448"/>
      <c r="Q6448"/>
      <c r="R6448"/>
    </row>
    <row r="6449" spans="14:18" x14ac:dyDescent="0.25">
      <c r="N6449"/>
      <c r="O6449"/>
      <c r="P6449"/>
      <c r="Q6449"/>
      <c r="R6449"/>
    </row>
    <row r="6450" spans="14:18" x14ac:dyDescent="0.25">
      <c r="N6450"/>
      <c r="O6450"/>
      <c r="P6450"/>
      <c r="Q6450"/>
      <c r="R6450"/>
    </row>
    <row r="6451" spans="14:18" x14ac:dyDescent="0.25">
      <c r="N6451"/>
      <c r="O6451"/>
      <c r="P6451"/>
      <c r="Q6451"/>
      <c r="R6451"/>
    </row>
    <row r="6452" spans="14:18" x14ac:dyDescent="0.25">
      <c r="N6452"/>
      <c r="O6452"/>
      <c r="P6452"/>
      <c r="Q6452"/>
      <c r="R6452"/>
    </row>
    <row r="6453" spans="14:18" x14ac:dyDescent="0.25">
      <c r="N6453"/>
      <c r="O6453"/>
      <c r="P6453"/>
      <c r="Q6453"/>
      <c r="R6453"/>
    </row>
    <row r="6454" spans="14:18" x14ac:dyDescent="0.25">
      <c r="N6454"/>
      <c r="O6454"/>
      <c r="P6454"/>
      <c r="Q6454"/>
      <c r="R6454"/>
    </row>
    <row r="6455" spans="14:18" x14ac:dyDescent="0.25">
      <c r="N6455"/>
      <c r="O6455"/>
      <c r="P6455"/>
      <c r="Q6455"/>
      <c r="R6455"/>
    </row>
    <row r="6456" spans="14:18" x14ac:dyDescent="0.25">
      <c r="N6456"/>
      <c r="O6456"/>
      <c r="P6456"/>
      <c r="Q6456"/>
      <c r="R6456"/>
    </row>
    <row r="6457" spans="14:18" x14ac:dyDescent="0.25">
      <c r="N6457"/>
      <c r="O6457"/>
      <c r="P6457"/>
      <c r="Q6457"/>
      <c r="R6457"/>
    </row>
    <row r="6458" spans="14:18" x14ac:dyDescent="0.25">
      <c r="N6458"/>
      <c r="O6458"/>
      <c r="P6458"/>
      <c r="Q6458"/>
      <c r="R6458"/>
    </row>
    <row r="6459" spans="14:18" x14ac:dyDescent="0.25">
      <c r="N6459"/>
      <c r="O6459"/>
      <c r="P6459"/>
      <c r="Q6459"/>
      <c r="R6459"/>
    </row>
    <row r="6460" spans="14:18" x14ac:dyDescent="0.25">
      <c r="N6460"/>
      <c r="O6460"/>
      <c r="P6460"/>
      <c r="Q6460"/>
      <c r="R6460"/>
    </row>
    <row r="6461" spans="14:18" x14ac:dyDescent="0.25">
      <c r="N6461"/>
      <c r="O6461"/>
      <c r="P6461"/>
      <c r="Q6461"/>
      <c r="R6461"/>
    </row>
    <row r="6462" spans="14:18" x14ac:dyDescent="0.25">
      <c r="N6462"/>
      <c r="O6462"/>
      <c r="P6462"/>
      <c r="Q6462"/>
      <c r="R6462"/>
    </row>
    <row r="6463" spans="14:18" x14ac:dyDescent="0.25">
      <c r="N6463"/>
      <c r="O6463"/>
      <c r="P6463"/>
      <c r="Q6463"/>
      <c r="R6463"/>
    </row>
    <row r="6464" spans="14:18" x14ac:dyDescent="0.25">
      <c r="N6464"/>
      <c r="O6464"/>
      <c r="P6464"/>
      <c r="Q6464"/>
      <c r="R6464"/>
    </row>
    <row r="6465" spans="14:18" x14ac:dyDescent="0.25">
      <c r="N6465"/>
      <c r="O6465"/>
      <c r="P6465"/>
      <c r="Q6465"/>
      <c r="R6465"/>
    </row>
    <row r="6466" spans="14:18" x14ac:dyDescent="0.25">
      <c r="N6466"/>
      <c r="O6466"/>
      <c r="P6466"/>
      <c r="Q6466"/>
      <c r="R6466"/>
    </row>
    <row r="6467" spans="14:18" x14ac:dyDescent="0.25">
      <c r="N6467"/>
      <c r="O6467"/>
      <c r="P6467"/>
      <c r="Q6467"/>
      <c r="R6467"/>
    </row>
    <row r="6468" spans="14:18" x14ac:dyDescent="0.25">
      <c r="N6468"/>
      <c r="O6468"/>
      <c r="P6468"/>
      <c r="Q6468"/>
      <c r="R6468"/>
    </row>
    <row r="6469" spans="14:18" x14ac:dyDescent="0.25">
      <c r="N6469"/>
      <c r="O6469"/>
      <c r="P6469"/>
      <c r="Q6469"/>
      <c r="R6469"/>
    </row>
    <row r="6470" spans="14:18" x14ac:dyDescent="0.25">
      <c r="N6470"/>
      <c r="O6470"/>
      <c r="P6470"/>
      <c r="Q6470"/>
      <c r="R6470"/>
    </row>
    <row r="6471" spans="14:18" x14ac:dyDescent="0.25">
      <c r="N6471"/>
      <c r="O6471"/>
      <c r="P6471"/>
      <c r="Q6471"/>
      <c r="R6471"/>
    </row>
    <row r="6472" spans="14:18" x14ac:dyDescent="0.25">
      <c r="N6472"/>
      <c r="O6472"/>
      <c r="P6472"/>
      <c r="Q6472"/>
      <c r="R6472"/>
    </row>
    <row r="6473" spans="14:18" x14ac:dyDescent="0.25">
      <c r="N6473"/>
      <c r="O6473"/>
      <c r="P6473"/>
      <c r="Q6473"/>
      <c r="R6473"/>
    </row>
    <row r="6474" spans="14:18" x14ac:dyDescent="0.25">
      <c r="N6474"/>
      <c r="O6474"/>
      <c r="P6474"/>
      <c r="Q6474"/>
      <c r="R6474"/>
    </row>
    <row r="6475" spans="14:18" x14ac:dyDescent="0.25">
      <c r="N6475"/>
      <c r="O6475"/>
      <c r="P6475"/>
      <c r="Q6475"/>
      <c r="R6475"/>
    </row>
    <row r="6476" spans="14:18" x14ac:dyDescent="0.25">
      <c r="N6476"/>
      <c r="O6476"/>
      <c r="P6476"/>
      <c r="Q6476"/>
      <c r="R6476"/>
    </row>
    <row r="6477" spans="14:18" x14ac:dyDescent="0.25">
      <c r="N6477"/>
      <c r="O6477"/>
      <c r="P6477"/>
      <c r="Q6477"/>
      <c r="R6477"/>
    </row>
    <row r="6478" spans="14:18" x14ac:dyDescent="0.25">
      <c r="N6478"/>
      <c r="O6478"/>
      <c r="P6478"/>
      <c r="Q6478"/>
      <c r="R6478"/>
    </row>
    <row r="6479" spans="14:18" x14ac:dyDescent="0.25">
      <c r="N6479"/>
      <c r="O6479"/>
      <c r="P6479"/>
      <c r="Q6479"/>
      <c r="R6479"/>
    </row>
    <row r="6480" spans="14:18" x14ac:dyDescent="0.25">
      <c r="N6480"/>
      <c r="O6480"/>
      <c r="P6480"/>
      <c r="Q6480"/>
      <c r="R6480"/>
    </row>
    <row r="6481" spans="14:18" x14ac:dyDescent="0.25">
      <c r="N6481"/>
      <c r="O6481"/>
      <c r="P6481"/>
      <c r="Q6481"/>
      <c r="R6481"/>
    </row>
    <row r="6482" spans="14:18" x14ac:dyDescent="0.25">
      <c r="N6482"/>
      <c r="O6482"/>
      <c r="P6482"/>
      <c r="Q6482"/>
      <c r="R6482"/>
    </row>
    <row r="6483" spans="14:18" x14ac:dyDescent="0.25">
      <c r="N6483"/>
      <c r="O6483"/>
      <c r="P6483"/>
      <c r="Q6483"/>
      <c r="R6483"/>
    </row>
    <row r="6484" spans="14:18" x14ac:dyDescent="0.25">
      <c r="N6484"/>
      <c r="O6484"/>
      <c r="P6484"/>
      <c r="Q6484"/>
      <c r="R6484"/>
    </row>
    <row r="6485" spans="14:18" x14ac:dyDescent="0.25">
      <c r="N6485"/>
      <c r="O6485"/>
      <c r="P6485"/>
      <c r="Q6485"/>
      <c r="R6485"/>
    </row>
    <row r="6486" spans="14:18" x14ac:dyDescent="0.25">
      <c r="N6486"/>
      <c r="O6486"/>
      <c r="P6486"/>
      <c r="Q6486"/>
      <c r="R6486"/>
    </row>
    <row r="6487" spans="14:18" x14ac:dyDescent="0.25">
      <c r="N6487"/>
      <c r="O6487"/>
      <c r="P6487"/>
      <c r="Q6487"/>
      <c r="R6487"/>
    </row>
    <row r="6488" spans="14:18" x14ac:dyDescent="0.25">
      <c r="N6488"/>
      <c r="O6488"/>
      <c r="P6488"/>
      <c r="Q6488"/>
      <c r="R6488"/>
    </row>
    <row r="6489" spans="14:18" x14ac:dyDescent="0.25">
      <c r="N6489"/>
      <c r="O6489"/>
      <c r="P6489"/>
      <c r="Q6489"/>
      <c r="R6489"/>
    </row>
    <row r="6490" spans="14:18" x14ac:dyDescent="0.25">
      <c r="N6490"/>
      <c r="O6490"/>
      <c r="P6490"/>
      <c r="Q6490"/>
      <c r="R6490"/>
    </row>
    <row r="6491" spans="14:18" x14ac:dyDescent="0.25">
      <c r="N6491"/>
      <c r="O6491"/>
      <c r="P6491"/>
      <c r="Q6491"/>
      <c r="R6491"/>
    </row>
    <row r="6492" spans="14:18" x14ac:dyDescent="0.25">
      <c r="N6492"/>
      <c r="O6492"/>
      <c r="P6492"/>
      <c r="Q6492"/>
      <c r="R6492"/>
    </row>
    <row r="6493" spans="14:18" x14ac:dyDescent="0.25">
      <c r="N6493"/>
      <c r="O6493"/>
      <c r="P6493"/>
      <c r="Q6493"/>
      <c r="R6493"/>
    </row>
    <row r="6494" spans="14:18" x14ac:dyDescent="0.25">
      <c r="N6494"/>
      <c r="O6494"/>
      <c r="P6494"/>
      <c r="Q6494"/>
      <c r="R6494"/>
    </row>
    <row r="6495" spans="14:18" x14ac:dyDescent="0.25">
      <c r="N6495"/>
      <c r="O6495"/>
      <c r="P6495"/>
      <c r="Q6495"/>
      <c r="R6495"/>
    </row>
    <row r="6496" spans="14:18" x14ac:dyDescent="0.25">
      <c r="N6496"/>
      <c r="O6496"/>
      <c r="P6496"/>
      <c r="Q6496"/>
      <c r="R6496"/>
    </row>
    <row r="6497" spans="14:18" x14ac:dyDescent="0.25">
      <c r="N6497"/>
      <c r="O6497"/>
      <c r="P6497"/>
      <c r="Q6497"/>
      <c r="R6497"/>
    </row>
    <row r="6498" spans="14:18" x14ac:dyDescent="0.25">
      <c r="N6498"/>
      <c r="O6498"/>
      <c r="P6498"/>
      <c r="Q6498"/>
      <c r="R6498"/>
    </row>
    <row r="6499" spans="14:18" x14ac:dyDescent="0.25">
      <c r="N6499"/>
      <c r="O6499"/>
      <c r="P6499"/>
      <c r="Q6499"/>
      <c r="R6499"/>
    </row>
    <row r="6500" spans="14:18" x14ac:dyDescent="0.25">
      <c r="N6500"/>
      <c r="O6500"/>
      <c r="P6500"/>
      <c r="Q6500"/>
      <c r="R6500"/>
    </row>
    <row r="6501" spans="14:18" x14ac:dyDescent="0.25">
      <c r="N6501"/>
      <c r="O6501"/>
      <c r="P6501"/>
      <c r="Q6501"/>
      <c r="R6501"/>
    </row>
    <row r="6502" spans="14:18" x14ac:dyDescent="0.25">
      <c r="N6502"/>
      <c r="O6502"/>
      <c r="P6502"/>
      <c r="Q6502"/>
      <c r="R6502"/>
    </row>
    <row r="6503" spans="14:18" x14ac:dyDescent="0.25">
      <c r="N6503"/>
      <c r="O6503"/>
      <c r="P6503"/>
      <c r="Q6503"/>
      <c r="R6503"/>
    </row>
    <row r="6504" spans="14:18" x14ac:dyDescent="0.25">
      <c r="N6504"/>
      <c r="O6504"/>
      <c r="P6504"/>
      <c r="Q6504"/>
      <c r="R6504"/>
    </row>
    <row r="6505" spans="14:18" x14ac:dyDescent="0.25">
      <c r="N6505"/>
      <c r="O6505"/>
      <c r="P6505"/>
      <c r="Q6505"/>
      <c r="R6505"/>
    </row>
    <row r="6506" spans="14:18" x14ac:dyDescent="0.25">
      <c r="N6506"/>
      <c r="O6506"/>
      <c r="P6506"/>
      <c r="Q6506"/>
      <c r="R6506"/>
    </row>
    <row r="6507" spans="14:18" x14ac:dyDescent="0.25">
      <c r="N6507"/>
      <c r="O6507"/>
      <c r="P6507"/>
      <c r="Q6507"/>
      <c r="R6507"/>
    </row>
    <row r="6508" spans="14:18" x14ac:dyDescent="0.25">
      <c r="N6508"/>
      <c r="O6508"/>
      <c r="P6508"/>
      <c r="Q6508"/>
      <c r="R6508"/>
    </row>
    <row r="6509" spans="14:18" x14ac:dyDescent="0.25">
      <c r="N6509"/>
      <c r="O6509"/>
      <c r="P6509"/>
      <c r="Q6509"/>
      <c r="R6509"/>
    </row>
    <row r="6510" spans="14:18" x14ac:dyDescent="0.25">
      <c r="N6510"/>
      <c r="O6510"/>
      <c r="P6510"/>
      <c r="Q6510"/>
      <c r="R6510"/>
    </row>
    <row r="6511" spans="14:18" x14ac:dyDescent="0.25">
      <c r="N6511"/>
      <c r="O6511"/>
      <c r="P6511"/>
      <c r="Q6511"/>
      <c r="R6511"/>
    </row>
    <row r="6512" spans="14:18" x14ac:dyDescent="0.25">
      <c r="N6512"/>
      <c r="O6512"/>
      <c r="P6512"/>
      <c r="Q6512"/>
      <c r="R6512"/>
    </row>
    <row r="6513" spans="14:18" x14ac:dyDescent="0.25">
      <c r="N6513"/>
      <c r="O6513"/>
      <c r="P6513"/>
      <c r="Q6513"/>
      <c r="R6513"/>
    </row>
    <row r="6514" spans="14:18" x14ac:dyDescent="0.25">
      <c r="N6514"/>
      <c r="O6514"/>
      <c r="P6514"/>
      <c r="Q6514"/>
      <c r="R6514"/>
    </row>
    <row r="6515" spans="14:18" x14ac:dyDescent="0.25">
      <c r="N6515"/>
      <c r="O6515"/>
      <c r="P6515"/>
      <c r="Q6515"/>
      <c r="R6515"/>
    </row>
    <row r="6516" spans="14:18" x14ac:dyDescent="0.25">
      <c r="N6516"/>
      <c r="O6516"/>
      <c r="P6516"/>
      <c r="Q6516"/>
      <c r="R6516"/>
    </row>
    <row r="6517" spans="14:18" x14ac:dyDescent="0.25">
      <c r="N6517"/>
      <c r="O6517"/>
      <c r="P6517"/>
      <c r="Q6517"/>
      <c r="R6517"/>
    </row>
    <row r="6518" spans="14:18" x14ac:dyDescent="0.25">
      <c r="N6518"/>
      <c r="O6518"/>
      <c r="P6518"/>
      <c r="Q6518"/>
      <c r="R6518"/>
    </row>
    <row r="6519" spans="14:18" x14ac:dyDescent="0.25">
      <c r="N6519"/>
      <c r="O6519"/>
      <c r="P6519"/>
      <c r="Q6519"/>
      <c r="R6519"/>
    </row>
    <row r="6520" spans="14:18" x14ac:dyDescent="0.25">
      <c r="N6520"/>
      <c r="O6520"/>
      <c r="P6520"/>
      <c r="Q6520"/>
      <c r="R6520"/>
    </row>
    <row r="6521" spans="14:18" x14ac:dyDescent="0.25">
      <c r="N6521"/>
      <c r="O6521"/>
      <c r="P6521"/>
      <c r="Q6521"/>
      <c r="R6521"/>
    </row>
    <row r="6522" spans="14:18" x14ac:dyDescent="0.25">
      <c r="N6522"/>
      <c r="O6522"/>
      <c r="P6522"/>
      <c r="Q6522"/>
      <c r="R6522"/>
    </row>
    <row r="6523" spans="14:18" x14ac:dyDescent="0.25">
      <c r="N6523"/>
      <c r="O6523"/>
      <c r="P6523"/>
      <c r="Q6523"/>
      <c r="R6523"/>
    </row>
    <row r="6524" spans="14:18" x14ac:dyDescent="0.25">
      <c r="N6524"/>
      <c r="O6524"/>
      <c r="P6524"/>
      <c r="Q6524"/>
      <c r="R6524"/>
    </row>
    <row r="6525" spans="14:18" x14ac:dyDescent="0.25">
      <c r="N6525"/>
      <c r="O6525"/>
      <c r="P6525"/>
      <c r="Q6525"/>
      <c r="R6525"/>
    </row>
    <row r="6526" spans="14:18" x14ac:dyDescent="0.25">
      <c r="N6526"/>
      <c r="O6526"/>
      <c r="P6526"/>
      <c r="Q6526"/>
      <c r="R6526"/>
    </row>
    <row r="6527" spans="14:18" x14ac:dyDescent="0.25">
      <c r="N6527"/>
      <c r="O6527"/>
      <c r="P6527"/>
      <c r="Q6527"/>
      <c r="R6527"/>
    </row>
    <row r="6528" spans="14:18" x14ac:dyDescent="0.25">
      <c r="N6528"/>
      <c r="O6528"/>
      <c r="P6528"/>
      <c r="Q6528"/>
      <c r="R6528"/>
    </row>
    <row r="6529" spans="14:18" x14ac:dyDescent="0.25">
      <c r="N6529"/>
      <c r="O6529"/>
      <c r="P6529"/>
      <c r="Q6529"/>
      <c r="R6529"/>
    </row>
    <row r="6530" spans="14:18" x14ac:dyDescent="0.25">
      <c r="N6530"/>
      <c r="O6530"/>
      <c r="P6530"/>
      <c r="Q6530"/>
      <c r="R6530"/>
    </row>
    <row r="6531" spans="14:18" x14ac:dyDescent="0.25">
      <c r="N6531"/>
      <c r="O6531"/>
      <c r="P6531"/>
      <c r="Q6531"/>
      <c r="R6531"/>
    </row>
    <row r="6532" spans="14:18" x14ac:dyDescent="0.25">
      <c r="N6532"/>
      <c r="O6532"/>
      <c r="P6532"/>
      <c r="Q6532"/>
      <c r="R6532"/>
    </row>
    <row r="6533" spans="14:18" x14ac:dyDescent="0.25">
      <c r="N6533"/>
      <c r="O6533"/>
      <c r="P6533"/>
      <c r="Q6533"/>
      <c r="R6533"/>
    </row>
    <row r="6534" spans="14:18" x14ac:dyDescent="0.25">
      <c r="N6534"/>
      <c r="O6534"/>
      <c r="P6534"/>
      <c r="Q6534"/>
      <c r="R6534"/>
    </row>
    <row r="6535" spans="14:18" x14ac:dyDescent="0.25">
      <c r="N6535"/>
      <c r="O6535"/>
      <c r="P6535"/>
      <c r="Q6535"/>
      <c r="R6535"/>
    </row>
    <row r="6536" spans="14:18" x14ac:dyDescent="0.25">
      <c r="N6536"/>
      <c r="O6536"/>
      <c r="P6536"/>
      <c r="Q6536"/>
      <c r="R6536"/>
    </row>
    <row r="6537" spans="14:18" x14ac:dyDescent="0.25">
      <c r="N6537"/>
      <c r="O6537"/>
      <c r="P6537"/>
      <c r="Q6537"/>
      <c r="R6537"/>
    </row>
    <row r="6538" spans="14:18" x14ac:dyDescent="0.25">
      <c r="N6538"/>
      <c r="O6538"/>
      <c r="P6538"/>
      <c r="Q6538"/>
      <c r="R6538"/>
    </row>
    <row r="6539" spans="14:18" x14ac:dyDescent="0.25">
      <c r="N6539"/>
      <c r="O6539"/>
      <c r="P6539"/>
      <c r="Q6539"/>
      <c r="R6539"/>
    </row>
    <row r="6540" spans="14:18" x14ac:dyDescent="0.25">
      <c r="N6540"/>
      <c r="O6540"/>
      <c r="P6540"/>
      <c r="Q6540"/>
      <c r="R6540"/>
    </row>
    <row r="6541" spans="14:18" x14ac:dyDescent="0.25">
      <c r="N6541"/>
      <c r="O6541"/>
      <c r="P6541"/>
      <c r="Q6541"/>
      <c r="R6541"/>
    </row>
    <row r="6542" spans="14:18" x14ac:dyDescent="0.25">
      <c r="N6542"/>
      <c r="O6542"/>
      <c r="P6542"/>
      <c r="Q6542"/>
      <c r="R6542"/>
    </row>
    <row r="6543" spans="14:18" x14ac:dyDescent="0.25">
      <c r="N6543"/>
      <c r="O6543"/>
      <c r="P6543"/>
      <c r="Q6543"/>
      <c r="R6543"/>
    </row>
    <row r="6544" spans="14:18" x14ac:dyDescent="0.25">
      <c r="N6544"/>
      <c r="O6544"/>
      <c r="P6544"/>
      <c r="Q6544"/>
      <c r="R6544"/>
    </row>
    <row r="6545" spans="14:18" x14ac:dyDescent="0.25">
      <c r="N6545"/>
      <c r="O6545"/>
      <c r="P6545"/>
      <c r="Q6545"/>
      <c r="R6545"/>
    </row>
    <row r="6546" spans="14:18" x14ac:dyDescent="0.25">
      <c r="N6546"/>
      <c r="O6546"/>
      <c r="P6546"/>
      <c r="Q6546"/>
      <c r="R6546"/>
    </row>
    <row r="6547" spans="14:18" x14ac:dyDescent="0.25">
      <c r="N6547"/>
      <c r="O6547"/>
      <c r="P6547"/>
      <c r="Q6547"/>
      <c r="R6547"/>
    </row>
    <row r="6548" spans="14:18" x14ac:dyDescent="0.25">
      <c r="N6548"/>
      <c r="O6548"/>
      <c r="P6548"/>
      <c r="Q6548"/>
      <c r="R6548"/>
    </row>
    <row r="6549" spans="14:18" x14ac:dyDescent="0.25">
      <c r="N6549"/>
      <c r="O6549"/>
      <c r="P6549"/>
      <c r="Q6549"/>
      <c r="R6549"/>
    </row>
    <row r="6550" spans="14:18" x14ac:dyDescent="0.25">
      <c r="N6550"/>
      <c r="O6550"/>
      <c r="P6550"/>
      <c r="Q6550"/>
      <c r="R6550"/>
    </row>
    <row r="6551" spans="14:18" x14ac:dyDescent="0.25">
      <c r="N6551"/>
      <c r="O6551"/>
      <c r="P6551"/>
      <c r="Q6551"/>
      <c r="R6551"/>
    </row>
    <row r="6552" spans="14:18" x14ac:dyDescent="0.25">
      <c r="N6552"/>
      <c r="O6552"/>
      <c r="P6552"/>
      <c r="Q6552"/>
      <c r="R6552"/>
    </row>
    <row r="6553" spans="14:18" x14ac:dyDescent="0.25">
      <c r="N6553"/>
      <c r="O6553"/>
      <c r="P6553"/>
      <c r="Q6553"/>
      <c r="R6553"/>
    </row>
    <row r="6554" spans="14:18" x14ac:dyDescent="0.25">
      <c r="N6554"/>
      <c r="O6554"/>
      <c r="P6554"/>
      <c r="Q6554"/>
      <c r="R6554"/>
    </row>
    <row r="6555" spans="14:18" x14ac:dyDescent="0.25">
      <c r="N6555"/>
      <c r="O6555"/>
      <c r="P6555"/>
      <c r="Q6555"/>
      <c r="R6555"/>
    </row>
    <row r="6556" spans="14:18" x14ac:dyDescent="0.25">
      <c r="N6556"/>
      <c r="O6556"/>
      <c r="P6556"/>
      <c r="Q6556"/>
      <c r="R6556"/>
    </row>
    <row r="6557" spans="14:18" x14ac:dyDescent="0.25">
      <c r="N6557"/>
      <c r="O6557"/>
      <c r="P6557"/>
      <c r="Q6557"/>
      <c r="R6557"/>
    </row>
    <row r="6558" spans="14:18" x14ac:dyDescent="0.25">
      <c r="N6558"/>
      <c r="O6558"/>
      <c r="P6558"/>
      <c r="Q6558"/>
      <c r="R6558"/>
    </row>
    <row r="6559" spans="14:18" x14ac:dyDescent="0.25">
      <c r="N6559"/>
      <c r="O6559"/>
      <c r="P6559"/>
      <c r="Q6559"/>
      <c r="R6559"/>
    </row>
    <row r="6560" spans="14:18" x14ac:dyDescent="0.25">
      <c r="N6560"/>
      <c r="O6560"/>
      <c r="P6560"/>
      <c r="Q6560"/>
      <c r="R6560"/>
    </row>
    <row r="6561" spans="14:18" x14ac:dyDescent="0.25">
      <c r="N6561"/>
      <c r="O6561"/>
      <c r="P6561"/>
      <c r="Q6561"/>
      <c r="R6561"/>
    </row>
    <row r="6562" spans="14:18" x14ac:dyDescent="0.25">
      <c r="N6562"/>
      <c r="O6562"/>
      <c r="P6562"/>
      <c r="Q6562"/>
      <c r="R6562"/>
    </row>
    <row r="6563" spans="14:18" x14ac:dyDescent="0.25">
      <c r="N6563"/>
      <c r="O6563"/>
      <c r="P6563"/>
      <c r="Q6563"/>
      <c r="R6563"/>
    </row>
    <row r="6564" spans="14:18" x14ac:dyDescent="0.25">
      <c r="N6564"/>
      <c r="O6564"/>
      <c r="P6564"/>
      <c r="Q6564"/>
      <c r="R6564"/>
    </row>
    <row r="6565" spans="14:18" x14ac:dyDescent="0.25">
      <c r="N6565"/>
      <c r="O6565"/>
      <c r="P6565"/>
      <c r="Q6565"/>
      <c r="R6565"/>
    </row>
    <row r="6566" spans="14:18" x14ac:dyDescent="0.25">
      <c r="N6566"/>
      <c r="O6566"/>
      <c r="P6566"/>
      <c r="Q6566"/>
      <c r="R6566"/>
    </row>
    <row r="6567" spans="14:18" x14ac:dyDescent="0.25">
      <c r="N6567"/>
      <c r="O6567"/>
      <c r="P6567"/>
      <c r="Q6567"/>
      <c r="R6567"/>
    </row>
    <row r="6568" spans="14:18" x14ac:dyDescent="0.25">
      <c r="N6568"/>
      <c r="O6568"/>
      <c r="P6568"/>
      <c r="Q6568"/>
      <c r="R6568"/>
    </row>
    <row r="6569" spans="14:18" x14ac:dyDescent="0.25">
      <c r="N6569"/>
      <c r="O6569"/>
      <c r="P6569"/>
      <c r="Q6569"/>
      <c r="R6569"/>
    </row>
    <row r="6570" spans="14:18" x14ac:dyDescent="0.25">
      <c r="N6570"/>
      <c r="O6570"/>
      <c r="P6570"/>
      <c r="Q6570"/>
      <c r="R6570"/>
    </row>
    <row r="6571" spans="14:18" x14ac:dyDescent="0.25">
      <c r="N6571"/>
      <c r="O6571"/>
      <c r="P6571"/>
      <c r="Q6571"/>
      <c r="R6571"/>
    </row>
    <row r="6572" spans="14:18" x14ac:dyDescent="0.25">
      <c r="N6572"/>
      <c r="O6572"/>
      <c r="P6572"/>
      <c r="Q6572"/>
      <c r="R6572"/>
    </row>
    <row r="6573" spans="14:18" x14ac:dyDescent="0.25">
      <c r="N6573"/>
      <c r="O6573"/>
      <c r="P6573"/>
      <c r="Q6573"/>
      <c r="R6573"/>
    </row>
    <row r="6574" spans="14:18" x14ac:dyDescent="0.25">
      <c r="N6574"/>
      <c r="O6574"/>
      <c r="P6574"/>
      <c r="Q6574"/>
      <c r="R6574"/>
    </row>
    <row r="6575" spans="14:18" x14ac:dyDescent="0.25">
      <c r="N6575"/>
      <c r="O6575"/>
      <c r="P6575"/>
      <c r="Q6575"/>
      <c r="R6575"/>
    </row>
    <row r="6576" spans="14:18" x14ac:dyDescent="0.25">
      <c r="N6576"/>
      <c r="O6576"/>
      <c r="P6576"/>
      <c r="Q6576"/>
      <c r="R6576"/>
    </row>
    <row r="6577" spans="14:18" x14ac:dyDescent="0.25">
      <c r="N6577"/>
      <c r="O6577"/>
      <c r="P6577"/>
      <c r="Q6577"/>
      <c r="R6577"/>
    </row>
    <row r="6578" spans="14:18" x14ac:dyDescent="0.25">
      <c r="N6578"/>
      <c r="O6578"/>
      <c r="P6578"/>
      <c r="Q6578"/>
      <c r="R6578"/>
    </row>
    <row r="6579" spans="14:18" x14ac:dyDescent="0.25">
      <c r="N6579"/>
      <c r="O6579"/>
      <c r="P6579"/>
      <c r="Q6579"/>
      <c r="R6579"/>
    </row>
    <row r="6580" spans="14:18" x14ac:dyDescent="0.25">
      <c r="N6580"/>
      <c r="O6580"/>
      <c r="P6580"/>
      <c r="Q6580"/>
      <c r="R6580"/>
    </row>
    <row r="6581" spans="14:18" x14ac:dyDescent="0.25">
      <c r="N6581"/>
      <c r="O6581"/>
      <c r="P6581"/>
      <c r="Q6581"/>
      <c r="R6581"/>
    </row>
    <row r="6582" spans="14:18" x14ac:dyDescent="0.25">
      <c r="N6582"/>
      <c r="O6582"/>
      <c r="P6582"/>
      <c r="Q6582"/>
      <c r="R6582"/>
    </row>
    <row r="6583" spans="14:18" x14ac:dyDescent="0.25">
      <c r="N6583"/>
      <c r="O6583"/>
      <c r="P6583"/>
      <c r="Q6583"/>
      <c r="R6583"/>
    </row>
    <row r="6584" spans="14:18" x14ac:dyDescent="0.25">
      <c r="N6584"/>
      <c r="O6584"/>
      <c r="P6584"/>
      <c r="Q6584"/>
      <c r="R6584"/>
    </row>
    <row r="6585" spans="14:18" x14ac:dyDescent="0.25">
      <c r="N6585"/>
      <c r="O6585"/>
      <c r="P6585"/>
      <c r="Q6585"/>
      <c r="R6585"/>
    </row>
    <row r="6586" spans="14:18" x14ac:dyDescent="0.25">
      <c r="N6586"/>
      <c r="O6586"/>
      <c r="P6586"/>
      <c r="Q6586"/>
      <c r="R6586"/>
    </row>
    <row r="6587" spans="14:18" x14ac:dyDescent="0.25">
      <c r="N6587"/>
      <c r="O6587"/>
      <c r="P6587"/>
      <c r="Q6587"/>
      <c r="R6587"/>
    </row>
    <row r="6588" spans="14:18" x14ac:dyDescent="0.25">
      <c r="N6588"/>
      <c r="O6588"/>
      <c r="P6588"/>
      <c r="Q6588"/>
      <c r="R6588"/>
    </row>
    <row r="6589" spans="14:18" x14ac:dyDescent="0.25">
      <c r="N6589"/>
      <c r="O6589"/>
      <c r="P6589"/>
      <c r="Q6589"/>
      <c r="R6589"/>
    </row>
    <row r="6590" spans="14:18" x14ac:dyDescent="0.25">
      <c r="N6590"/>
      <c r="O6590"/>
      <c r="P6590"/>
      <c r="Q6590"/>
      <c r="R6590"/>
    </row>
    <row r="6591" spans="14:18" x14ac:dyDescent="0.25">
      <c r="N6591"/>
      <c r="O6591"/>
      <c r="P6591"/>
      <c r="Q6591"/>
      <c r="R6591"/>
    </row>
    <row r="6592" spans="14:18" x14ac:dyDescent="0.25">
      <c r="N6592"/>
      <c r="O6592"/>
      <c r="P6592"/>
      <c r="Q6592"/>
      <c r="R6592"/>
    </row>
    <row r="6593" spans="14:18" x14ac:dyDescent="0.25">
      <c r="N6593"/>
      <c r="O6593"/>
      <c r="P6593"/>
      <c r="Q6593"/>
      <c r="R6593"/>
    </row>
    <row r="6594" spans="14:18" x14ac:dyDescent="0.25">
      <c r="N6594"/>
      <c r="O6594"/>
      <c r="P6594"/>
      <c r="Q6594"/>
      <c r="R6594"/>
    </row>
    <row r="6595" spans="14:18" x14ac:dyDescent="0.25">
      <c r="N6595"/>
      <c r="O6595"/>
      <c r="P6595"/>
      <c r="Q6595"/>
      <c r="R6595"/>
    </row>
    <row r="6596" spans="14:18" x14ac:dyDescent="0.25">
      <c r="N6596"/>
      <c r="O6596"/>
      <c r="P6596"/>
      <c r="Q6596"/>
      <c r="R6596"/>
    </row>
    <row r="6597" spans="14:18" x14ac:dyDescent="0.25">
      <c r="N6597"/>
      <c r="O6597"/>
      <c r="P6597"/>
      <c r="Q6597"/>
      <c r="R6597"/>
    </row>
    <row r="6598" spans="14:18" x14ac:dyDescent="0.25">
      <c r="N6598"/>
      <c r="O6598"/>
      <c r="P6598"/>
      <c r="Q6598"/>
      <c r="R6598"/>
    </row>
    <row r="6599" spans="14:18" x14ac:dyDescent="0.25">
      <c r="N6599"/>
      <c r="O6599"/>
      <c r="P6599"/>
      <c r="Q6599"/>
      <c r="R6599"/>
    </row>
    <row r="6600" spans="14:18" x14ac:dyDescent="0.25">
      <c r="N6600"/>
      <c r="O6600"/>
      <c r="P6600"/>
      <c r="Q6600"/>
      <c r="R6600"/>
    </row>
    <row r="6601" spans="14:18" x14ac:dyDescent="0.25">
      <c r="N6601"/>
      <c r="O6601"/>
      <c r="P6601"/>
      <c r="Q6601"/>
      <c r="R6601"/>
    </row>
    <row r="6602" spans="14:18" x14ac:dyDescent="0.25">
      <c r="N6602"/>
      <c r="O6602"/>
      <c r="P6602"/>
      <c r="Q6602"/>
      <c r="R6602"/>
    </row>
    <row r="6603" spans="14:18" x14ac:dyDescent="0.25">
      <c r="N6603"/>
      <c r="O6603"/>
      <c r="P6603"/>
      <c r="Q6603"/>
      <c r="R6603"/>
    </row>
    <row r="6604" spans="14:18" x14ac:dyDescent="0.25">
      <c r="N6604"/>
      <c r="O6604"/>
      <c r="P6604"/>
      <c r="Q6604"/>
      <c r="R6604"/>
    </row>
    <row r="6605" spans="14:18" x14ac:dyDescent="0.25">
      <c r="N6605"/>
      <c r="O6605"/>
      <c r="P6605"/>
      <c r="Q6605"/>
      <c r="R6605"/>
    </row>
    <row r="6606" spans="14:18" x14ac:dyDescent="0.25">
      <c r="N6606"/>
      <c r="O6606"/>
      <c r="P6606"/>
      <c r="Q6606"/>
      <c r="R6606"/>
    </row>
    <row r="6607" spans="14:18" x14ac:dyDescent="0.25">
      <c r="N6607"/>
      <c r="O6607"/>
      <c r="P6607"/>
      <c r="Q6607"/>
      <c r="R6607"/>
    </row>
    <row r="6608" spans="14:18" x14ac:dyDescent="0.25">
      <c r="N6608"/>
      <c r="O6608"/>
      <c r="P6608"/>
      <c r="Q6608"/>
      <c r="R6608"/>
    </row>
    <row r="6609" spans="14:18" x14ac:dyDescent="0.25">
      <c r="N6609"/>
      <c r="O6609"/>
      <c r="P6609"/>
      <c r="Q6609"/>
      <c r="R6609"/>
    </row>
    <row r="6610" spans="14:18" x14ac:dyDescent="0.25">
      <c r="N6610"/>
      <c r="O6610"/>
      <c r="P6610"/>
      <c r="Q6610"/>
      <c r="R6610"/>
    </row>
    <row r="6611" spans="14:18" x14ac:dyDescent="0.25">
      <c r="N6611"/>
      <c r="O6611"/>
      <c r="P6611"/>
      <c r="Q6611"/>
      <c r="R6611"/>
    </row>
    <row r="6612" spans="14:18" x14ac:dyDescent="0.25">
      <c r="N6612"/>
      <c r="O6612"/>
      <c r="P6612"/>
      <c r="Q6612"/>
      <c r="R6612"/>
    </row>
    <row r="6613" spans="14:18" x14ac:dyDescent="0.25">
      <c r="N6613"/>
      <c r="O6613"/>
      <c r="P6613"/>
      <c r="Q6613"/>
      <c r="R6613"/>
    </row>
    <row r="6614" spans="14:18" x14ac:dyDescent="0.25">
      <c r="N6614"/>
      <c r="O6614"/>
      <c r="P6614"/>
      <c r="Q6614"/>
      <c r="R6614"/>
    </row>
    <row r="6615" spans="14:18" x14ac:dyDescent="0.25">
      <c r="N6615"/>
      <c r="O6615"/>
      <c r="P6615"/>
      <c r="Q6615"/>
      <c r="R6615"/>
    </row>
    <row r="6616" spans="14:18" x14ac:dyDescent="0.25">
      <c r="N6616"/>
      <c r="O6616"/>
      <c r="P6616"/>
      <c r="Q6616"/>
      <c r="R6616"/>
    </row>
    <row r="6617" spans="14:18" x14ac:dyDescent="0.25">
      <c r="N6617"/>
      <c r="O6617"/>
      <c r="P6617"/>
      <c r="Q6617"/>
      <c r="R6617"/>
    </row>
    <row r="6618" spans="14:18" x14ac:dyDescent="0.25">
      <c r="N6618"/>
      <c r="O6618"/>
      <c r="P6618"/>
      <c r="Q6618"/>
      <c r="R6618"/>
    </row>
    <row r="6619" spans="14:18" x14ac:dyDescent="0.25">
      <c r="N6619"/>
      <c r="O6619"/>
      <c r="P6619"/>
      <c r="Q6619"/>
      <c r="R6619"/>
    </row>
    <row r="6620" spans="14:18" x14ac:dyDescent="0.25">
      <c r="N6620"/>
      <c r="O6620"/>
      <c r="P6620"/>
      <c r="Q6620"/>
      <c r="R6620"/>
    </row>
    <row r="6621" spans="14:18" x14ac:dyDescent="0.25">
      <c r="N6621"/>
      <c r="O6621"/>
      <c r="P6621"/>
      <c r="Q6621"/>
      <c r="R6621"/>
    </row>
    <row r="6622" spans="14:18" x14ac:dyDescent="0.25">
      <c r="N6622"/>
      <c r="O6622"/>
      <c r="P6622"/>
      <c r="Q6622"/>
      <c r="R6622"/>
    </row>
    <row r="6623" spans="14:18" x14ac:dyDescent="0.25">
      <c r="N6623"/>
      <c r="O6623"/>
      <c r="P6623"/>
      <c r="Q6623"/>
      <c r="R6623"/>
    </row>
    <row r="6624" spans="14:18" x14ac:dyDescent="0.25">
      <c r="N6624"/>
      <c r="O6624"/>
      <c r="P6624"/>
      <c r="Q6624"/>
      <c r="R6624"/>
    </row>
    <row r="6625" spans="14:18" x14ac:dyDescent="0.25">
      <c r="N6625"/>
      <c r="O6625"/>
      <c r="P6625"/>
      <c r="Q6625"/>
      <c r="R6625"/>
    </row>
    <row r="6626" spans="14:18" x14ac:dyDescent="0.25">
      <c r="N6626"/>
      <c r="O6626"/>
      <c r="P6626"/>
      <c r="Q6626"/>
      <c r="R6626"/>
    </row>
    <row r="6627" spans="14:18" x14ac:dyDescent="0.25">
      <c r="N6627"/>
      <c r="O6627"/>
      <c r="P6627"/>
      <c r="Q6627"/>
      <c r="R6627"/>
    </row>
    <row r="6628" spans="14:18" x14ac:dyDescent="0.25">
      <c r="N6628"/>
      <c r="O6628"/>
      <c r="P6628"/>
      <c r="Q6628"/>
      <c r="R6628"/>
    </row>
    <row r="6629" spans="14:18" x14ac:dyDescent="0.25">
      <c r="N6629"/>
      <c r="O6629"/>
      <c r="P6629"/>
      <c r="Q6629"/>
      <c r="R6629"/>
    </row>
    <row r="6630" spans="14:18" x14ac:dyDescent="0.25">
      <c r="N6630"/>
      <c r="O6630"/>
      <c r="P6630"/>
      <c r="Q6630"/>
      <c r="R6630"/>
    </row>
    <row r="6631" spans="14:18" x14ac:dyDescent="0.25">
      <c r="N6631"/>
      <c r="O6631"/>
      <c r="P6631"/>
      <c r="Q6631"/>
      <c r="R6631"/>
    </row>
    <row r="6632" spans="14:18" x14ac:dyDescent="0.25">
      <c r="N6632"/>
      <c r="O6632"/>
      <c r="P6632"/>
      <c r="Q6632"/>
      <c r="R6632"/>
    </row>
    <row r="6633" spans="14:18" x14ac:dyDescent="0.25">
      <c r="N6633"/>
      <c r="O6633"/>
      <c r="P6633"/>
      <c r="Q6633"/>
      <c r="R6633"/>
    </row>
    <row r="6634" spans="14:18" x14ac:dyDescent="0.25">
      <c r="N6634"/>
      <c r="O6634"/>
      <c r="P6634"/>
      <c r="Q6634"/>
      <c r="R6634"/>
    </row>
    <row r="6635" spans="14:18" x14ac:dyDescent="0.25">
      <c r="N6635"/>
      <c r="O6635"/>
      <c r="P6635"/>
      <c r="Q6635"/>
      <c r="R6635"/>
    </row>
    <row r="6636" spans="14:18" x14ac:dyDescent="0.25">
      <c r="N6636"/>
      <c r="O6636"/>
      <c r="P6636"/>
      <c r="Q6636"/>
      <c r="R6636"/>
    </row>
    <row r="6637" spans="14:18" x14ac:dyDescent="0.25">
      <c r="N6637"/>
      <c r="O6637"/>
      <c r="P6637"/>
      <c r="Q6637"/>
      <c r="R6637"/>
    </row>
    <row r="6638" spans="14:18" x14ac:dyDescent="0.25">
      <c r="N6638"/>
      <c r="O6638"/>
      <c r="P6638"/>
      <c r="Q6638"/>
      <c r="R6638"/>
    </row>
    <row r="6639" spans="14:18" x14ac:dyDescent="0.25">
      <c r="N6639"/>
      <c r="O6639"/>
      <c r="P6639"/>
      <c r="Q6639"/>
      <c r="R6639"/>
    </row>
    <row r="6640" spans="14:18" x14ac:dyDescent="0.25">
      <c r="N6640"/>
      <c r="O6640"/>
      <c r="P6640"/>
      <c r="Q6640"/>
      <c r="R6640"/>
    </row>
    <row r="6641" spans="14:18" x14ac:dyDescent="0.25">
      <c r="N6641"/>
      <c r="O6641"/>
      <c r="P6641"/>
      <c r="Q6641"/>
      <c r="R6641"/>
    </row>
    <row r="6642" spans="14:18" x14ac:dyDescent="0.25">
      <c r="N6642"/>
      <c r="O6642"/>
      <c r="P6642"/>
      <c r="Q6642"/>
      <c r="R6642"/>
    </row>
    <row r="6643" spans="14:18" x14ac:dyDescent="0.25">
      <c r="N6643"/>
      <c r="O6643"/>
      <c r="P6643"/>
      <c r="Q6643"/>
      <c r="R6643"/>
    </row>
    <row r="6644" spans="14:18" x14ac:dyDescent="0.25">
      <c r="N6644"/>
      <c r="O6644"/>
      <c r="P6644"/>
      <c r="Q6644"/>
      <c r="R6644"/>
    </row>
    <row r="6645" spans="14:18" x14ac:dyDescent="0.25">
      <c r="N6645"/>
      <c r="O6645"/>
      <c r="P6645"/>
      <c r="Q6645"/>
      <c r="R6645"/>
    </row>
    <row r="6646" spans="14:18" x14ac:dyDescent="0.25">
      <c r="N6646"/>
      <c r="O6646"/>
      <c r="P6646"/>
      <c r="Q6646"/>
      <c r="R6646"/>
    </row>
    <row r="6647" spans="14:18" x14ac:dyDescent="0.25">
      <c r="N6647"/>
      <c r="O6647"/>
      <c r="P6647"/>
      <c r="Q6647"/>
      <c r="R6647"/>
    </row>
    <row r="6648" spans="14:18" x14ac:dyDescent="0.25">
      <c r="N6648"/>
      <c r="O6648"/>
      <c r="P6648"/>
      <c r="Q6648"/>
      <c r="R6648"/>
    </row>
    <row r="6649" spans="14:18" x14ac:dyDescent="0.25">
      <c r="N6649"/>
      <c r="O6649"/>
      <c r="P6649"/>
      <c r="Q6649"/>
      <c r="R6649"/>
    </row>
    <row r="6650" spans="14:18" x14ac:dyDescent="0.25">
      <c r="N6650"/>
      <c r="O6650"/>
      <c r="P6650"/>
      <c r="Q6650"/>
      <c r="R6650"/>
    </row>
    <row r="6651" spans="14:18" x14ac:dyDescent="0.25">
      <c r="N6651"/>
      <c r="O6651"/>
      <c r="P6651"/>
      <c r="Q6651"/>
      <c r="R6651"/>
    </row>
    <row r="6652" spans="14:18" x14ac:dyDescent="0.25">
      <c r="N6652"/>
      <c r="O6652"/>
      <c r="P6652"/>
      <c r="Q6652"/>
      <c r="R6652"/>
    </row>
    <row r="6653" spans="14:18" x14ac:dyDescent="0.25">
      <c r="N6653"/>
      <c r="O6653"/>
      <c r="P6653"/>
      <c r="Q6653"/>
      <c r="R6653"/>
    </row>
    <row r="6654" spans="14:18" x14ac:dyDescent="0.25">
      <c r="N6654"/>
      <c r="O6654"/>
      <c r="P6654"/>
      <c r="Q6654"/>
      <c r="R6654"/>
    </row>
    <row r="6655" spans="14:18" x14ac:dyDescent="0.25">
      <c r="N6655"/>
      <c r="O6655"/>
      <c r="P6655"/>
      <c r="Q6655"/>
      <c r="R6655"/>
    </row>
    <row r="6656" spans="14:18" x14ac:dyDescent="0.25">
      <c r="N6656"/>
      <c r="O6656"/>
      <c r="P6656"/>
      <c r="Q6656"/>
      <c r="R6656"/>
    </row>
    <row r="6657" spans="14:18" x14ac:dyDescent="0.25">
      <c r="N6657"/>
      <c r="O6657"/>
      <c r="P6657"/>
      <c r="Q6657"/>
      <c r="R6657"/>
    </row>
    <row r="6658" spans="14:18" x14ac:dyDescent="0.25">
      <c r="N6658"/>
      <c r="O6658"/>
      <c r="P6658"/>
      <c r="Q6658"/>
      <c r="R6658"/>
    </row>
    <row r="6659" spans="14:18" x14ac:dyDescent="0.25">
      <c r="N6659"/>
      <c r="O6659"/>
      <c r="P6659"/>
      <c r="Q6659"/>
      <c r="R6659"/>
    </row>
    <row r="6660" spans="14:18" x14ac:dyDescent="0.25">
      <c r="N6660"/>
      <c r="O6660"/>
      <c r="P6660"/>
      <c r="Q6660"/>
      <c r="R6660"/>
    </row>
    <row r="6661" spans="14:18" x14ac:dyDescent="0.25">
      <c r="N6661"/>
      <c r="O6661"/>
      <c r="P6661"/>
      <c r="Q6661"/>
      <c r="R6661"/>
    </row>
    <row r="6662" spans="14:18" x14ac:dyDescent="0.25">
      <c r="N6662"/>
      <c r="O6662"/>
      <c r="P6662"/>
      <c r="Q6662"/>
      <c r="R6662"/>
    </row>
    <row r="6663" spans="14:18" x14ac:dyDescent="0.25">
      <c r="N6663"/>
      <c r="O6663"/>
      <c r="P6663"/>
      <c r="Q6663"/>
      <c r="R6663"/>
    </row>
    <row r="6664" spans="14:18" x14ac:dyDescent="0.25">
      <c r="N6664"/>
      <c r="O6664"/>
      <c r="P6664"/>
      <c r="Q6664"/>
      <c r="R6664"/>
    </row>
    <row r="6665" spans="14:18" x14ac:dyDescent="0.25">
      <c r="N6665"/>
      <c r="O6665"/>
      <c r="P6665"/>
      <c r="Q6665"/>
      <c r="R6665"/>
    </row>
    <row r="6666" spans="14:18" x14ac:dyDescent="0.25">
      <c r="N6666"/>
      <c r="O6666"/>
      <c r="P6666"/>
      <c r="Q6666"/>
      <c r="R6666"/>
    </row>
    <row r="6667" spans="14:18" x14ac:dyDescent="0.25">
      <c r="N6667"/>
      <c r="O6667"/>
      <c r="P6667"/>
      <c r="Q6667"/>
      <c r="R6667"/>
    </row>
    <row r="6668" spans="14:18" x14ac:dyDescent="0.25">
      <c r="N6668"/>
      <c r="O6668"/>
      <c r="P6668"/>
      <c r="Q6668"/>
      <c r="R6668"/>
    </row>
    <row r="6669" spans="14:18" x14ac:dyDescent="0.25">
      <c r="N6669"/>
      <c r="O6669"/>
      <c r="P6669"/>
      <c r="Q6669"/>
      <c r="R6669"/>
    </row>
    <row r="6670" spans="14:18" x14ac:dyDescent="0.25">
      <c r="N6670"/>
      <c r="O6670"/>
      <c r="P6670"/>
      <c r="Q6670"/>
      <c r="R6670"/>
    </row>
    <row r="6671" spans="14:18" x14ac:dyDescent="0.25">
      <c r="N6671"/>
      <c r="O6671"/>
      <c r="P6671"/>
      <c r="Q6671"/>
      <c r="R6671"/>
    </row>
    <row r="6672" spans="14:18" x14ac:dyDescent="0.25">
      <c r="N6672"/>
      <c r="O6672"/>
      <c r="P6672"/>
      <c r="Q6672"/>
      <c r="R6672"/>
    </row>
    <row r="6673" spans="14:18" x14ac:dyDescent="0.25">
      <c r="N6673"/>
      <c r="O6673"/>
      <c r="P6673"/>
      <c r="Q6673"/>
      <c r="R6673"/>
    </row>
    <row r="6674" spans="14:18" x14ac:dyDescent="0.25">
      <c r="N6674"/>
      <c r="O6674"/>
      <c r="P6674"/>
      <c r="Q6674"/>
      <c r="R6674"/>
    </row>
    <row r="6675" spans="14:18" x14ac:dyDescent="0.25">
      <c r="N6675"/>
      <c r="O6675"/>
      <c r="P6675"/>
      <c r="Q6675"/>
      <c r="R6675"/>
    </row>
    <row r="6676" spans="14:18" x14ac:dyDescent="0.25">
      <c r="N6676"/>
      <c r="O6676"/>
      <c r="P6676"/>
      <c r="Q6676"/>
      <c r="R6676"/>
    </row>
    <row r="6677" spans="14:18" x14ac:dyDescent="0.25">
      <c r="N6677"/>
      <c r="O6677"/>
      <c r="P6677"/>
      <c r="Q6677"/>
      <c r="R6677"/>
    </row>
    <row r="6678" spans="14:18" x14ac:dyDescent="0.25">
      <c r="N6678"/>
      <c r="O6678"/>
      <c r="P6678"/>
      <c r="Q6678"/>
      <c r="R6678"/>
    </row>
    <row r="6679" spans="14:18" x14ac:dyDescent="0.25">
      <c r="N6679"/>
      <c r="O6679"/>
      <c r="P6679"/>
      <c r="Q6679"/>
      <c r="R6679"/>
    </row>
    <row r="6680" spans="14:18" x14ac:dyDescent="0.25">
      <c r="N6680"/>
      <c r="O6680"/>
      <c r="P6680"/>
      <c r="Q6680"/>
      <c r="R6680"/>
    </row>
    <row r="6681" spans="14:18" x14ac:dyDescent="0.25">
      <c r="N6681"/>
      <c r="O6681"/>
      <c r="P6681"/>
      <c r="Q6681"/>
      <c r="R6681"/>
    </row>
    <row r="6682" spans="14:18" x14ac:dyDescent="0.25">
      <c r="N6682"/>
      <c r="O6682"/>
      <c r="P6682"/>
      <c r="Q6682"/>
      <c r="R6682"/>
    </row>
    <row r="6683" spans="14:18" x14ac:dyDescent="0.25">
      <c r="N6683"/>
      <c r="O6683"/>
      <c r="P6683"/>
      <c r="Q6683"/>
      <c r="R6683"/>
    </row>
    <row r="6684" spans="14:18" x14ac:dyDescent="0.25">
      <c r="N6684"/>
      <c r="O6684"/>
      <c r="P6684"/>
      <c r="Q6684"/>
      <c r="R6684"/>
    </row>
    <row r="6685" spans="14:18" x14ac:dyDescent="0.25">
      <c r="N6685"/>
      <c r="O6685"/>
      <c r="P6685"/>
      <c r="Q6685"/>
      <c r="R6685"/>
    </row>
    <row r="6686" spans="14:18" x14ac:dyDescent="0.25">
      <c r="N6686"/>
      <c r="O6686"/>
      <c r="P6686"/>
      <c r="Q6686"/>
      <c r="R6686"/>
    </row>
    <row r="6687" spans="14:18" x14ac:dyDescent="0.25">
      <c r="N6687"/>
      <c r="O6687"/>
      <c r="P6687"/>
      <c r="Q6687"/>
      <c r="R6687"/>
    </row>
    <row r="6688" spans="14:18" x14ac:dyDescent="0.25">
      <c r="N6688"/>
      <c r="O6688"/>
      <c r="P6688"/>
      <c r="Q6688"/>
      <c r="R6688"/>
    </row>
    <row r="6689" spans="14:18" x14ac:dyDescent="0.25">
      <c r="N6689"/>
      <c r="O6689"/>
      <c r="P6689"/>
      <c r="Q6689"/>
      <c r="R6689"/>
    </row>
    <row r="6690" spans="14:18" x14ac:dyDescent="0.25">
      <c r="N6690"/>
      <c r="O6690"/>
      <c r="P6690"/>
      <c r="Q6690"/>
      <c r="R6690"/>
    </row>
    <row r="6691" spans="14:18" x14ac:dyDescent="0.25">
      <c r="N6691"/>
      <c r="O6691"/>
      <c r="P6691"/>
      <c r="Q6691"/>
      <c r="R6691"/>
    </row>
    <row r="6692" spans="14:18" x14ac:dyDescent="0.25">
      <c r="N6692"/>
      <c r="O6692"/>
      <c r="P6692"/>
      <c r="Q6692"/>
      <c r="R6692"/>
    </row>
    <row r="6693" spans="14:18" x14ac:dyDescent="0.25">
      <c r="N6693"/>
      <c r="O6693"/>
      <c r="P6693"/>
      <c r="Q6693"/>
      <c r="R6693"/>
    </row>
    <row r="6694" spans="14:18" x14ac:dyDescent="0.25">
      <c r="N6694"/>
      <c r="O6694"/>
      <c r="P6694"/>
      <c r="Q6694"/>
      <c r="R6694"/>
    </row>
    <row r="6695" spans="14:18" x14ac:dyDescent="0.25">
      <c r="N6695"/>
      <c r="O6695"/>
      <c r="P6695"/>
      <c r="Q6695"/>
      <c r="R6695"/>
    </row>
    <row r="6696" spans="14:18" x14ac:dyDescent="0.25">
      <c r="N6696"/>
      <c r="O6696"/>
      <c r="P6696"/>
      <c r="Q6696"/>
      <c r="R6696"/>
    </row>
    <row r="6697" spans="14:18" x14ac:dyDescent="0.25">
      <c r="N6697"/>
      <c r="O6697"/>
      <c r="P6697"/>
      <c r="Q6697"/>
      <c r="R6697"/>
    </row>
    <row r="6698" spans="14:18" x14ac:dyDescent="0.25">
      <c r="N6698"/>
      <c r="O6698"/>
      <c r="P6698"/>
      <c r="Q6698"/>
      <c r="R6698"/>
    </row>
    <row r="6699" spans="14:18" x14ac:dyDescent="0.25">
      <c r="N6699"/>
      <c r="O6699"/>
      <c r="P6699"/>
      <c r="Q6699"/>
      <c r="R6699"/>
    </row>
    <row r="6700" spans="14:18" x14ac:dyDescent="0.25">
      <c r="N6700"/>
      <c r="O6700"/>
      <c r="P6700"/>
      <c r="Q6700"/>
      <c r="R6700"/>
    </row>
    <row r="6701" spans="14:18" x14ac:dyDescent="0.25">
      <c r="N6701"/>
      <c r="O6701"/>
      <c r="P6701"/>
      <c r="Q6701"/>
      <c r="R6701"/>
    </row>
    <row r="6702" spans="14:18" x14ac:dyDescent="0.25">
      <c r="N6702"/>
      <c r="O6702"/>
      <c r="P6702"/>
      <c r="Q6702"/>
      <c r="R6702"/>
    </row>
    <row r="6703" spans="14:18" x14ac:dyDescent="0.25">
      <c r="N6703"/>
      <c r="O6703"/>
      <c r="P6703"/>
      <c r="Q6703"/>
      <c r="R6703"/>
    </row>
    <row r="6704" spans="14:18" x14ac:dyDescent="0.25">
      <c r="N6704"/>
      <c r="O6704"/>
      <c r="P6704"/>
      <c r="Q6704"/>
      <c r="R6704"/>
    </row>
    <row r="6705" spans="14:18" x14ac:dyDescent="0.25">
      <c r="N6705"/>
      <c r="O6705"/>
      <c r="P6705"/>
      <c r="Q6705"/>
      <c r="R6705"/>
    </row>
    <row r="6706" spans="14:18" x14ac:dyDescent="0.25">
      <c r="N6706"/>
      <c r="O6706"/>
      <c r="P6706"/>
      <c r="Q6706"/>
      <c r="R6706"/>
    </row>
    <row r="6707" spans="14:18" x14ac:dyDescent="0.25">
      <c r="N6707"/>
      <c r="O6707"/>
      <c r="P6707"/>
      <c r="Q6707"/>
      <c r="R6707"/>
    </row>
    <row r="6708" spans="14:18" x14ac:dyDescent="0.25">
      <c r="N6708"/>
      <c r="O6708"/>
      <c r="P6708"/>
      <c r="Q6708"/>
      <c r="R6708"/>
    </row>
    <row r="6709" spans="14:18" x14ac:dyDescent="0.25">
      <c r="N6709"/>
      <c r="O6709"/>
      <c r="P6709"/>
      <c r="Q6709"/>
      <c r="R6709"/>
    </row>
    <row r="6710" spans="14:18" x14ac:dyDescent="0.25">
      <c r="N6710"/>
      <c r="O6710"/>
      <c r="P6710"/>
      <c r="Q6710"/>
      <c r="R6710"/>
    </row>
    <row r="6711" spans="14:18" x14ac:dyDescent="0.25">
      <c r="N6711"/>
      <c r="O6711"/>
      <c r="P6711"/>
      <c r="Q6711"/>
      <c r="R6711"/>
    </row>
    <row r="6712" spans="14:18" x14ac:dyDescent="0.25">
      <c r="N6712"/>
      <c r="O6712"/>
      <c r="P6712"/>
      <c r="Q6712"/>
      <c r="R6712"/>
    </row>
    <row r="6713" spans="14:18" x14ac:dyDescent="0.25">
      <c r="N6713"/>
      <c r="O6713"/>
      <c r="P6713"/>
      <c r="Q6713"/>
      <c r="R6713"/>
    </row>
    <row r="6714" spans="14:18" x14ac:dyDescent="0.25">
      <c r="N6714"/>
      <c r="O6714"/>
      <c r="P6714"/>
      <c r="Q6714"/>
      <c r="R6714"/>
    </row>
    <row r="6715" spans="14:18" x14ac:dyDescent="0.25">
      <c r="N6715"/>
      <c r="O6715"/>
      <c r="P6715"/>
      <c r="Q6715"/>
      <c r="R6715"/>
    </row>
    <row r="6716" spans="14:18" x14ac:dyDescent="0.25">
      <c r="N6716"/>
      <c r="O6716"/>
      <c r="P6716"/>
      <c r="Q6716"/>
      <c r="R6716"/>
    </row>
    <row r="6717" spans="14:18" x14ac:dyDescent="0.25">
      <c r="N6717"/>
      <c r="O6717"/>
      <c r="P6717"/>
      <c r="Q6717"/>
      <c r="R6717"/>
    </row>
    <row r="6718" spans="14:18" x14ac:dyDescent="0.25">
      <c r="N6718"/>
      <c r="O6718"/>
      <c r="P6718"/>
      <c r="Q6718"/>
      <c r="R6718"/>
    </row>
    <row r="6719" spans="14:18" x14ac:dyDescent="0.25">
      <c r="N6719"/>
      <c r="O6719"/>
      <c r="P6719"/>
      <c r="Q6719"/>
      <c r="R6719"/>
    </row>
    <row r="6720" spans="14:18" x14ac:dyDescent="0.25">
      <c r="N6720"/>
      <c r="O6720"/>
      <c r="P6720"/>
      <c r="Q6720"/>
      <c r="R6720"/>
    </row>
    <row r="6721" spans="14:18" x14ac:dyDescent="0.25">
      <c r="N6721"/>
      <c r="O6721"/>
      <c r="P6721"/>
      <c r="Q6721"/>
      <c r="R6721"/>
    </row>
    <row r="6722" spans="14:18" x14ac:dyDescent="0.25">
      <c r="N6722"/>
      <c r="O6722"/>
      <c r="P6722"/>
      <c r="Q6722"/>
      <c r="R6722"/>
    </row>
    <row r="6723" spans="14:18" x14ac:dyDescent="0.25">
      <c r="N6723"/>
      <c r="O6723"/>
      <c r="P6723"/>
      <c r="Q6723"/>
      <c r="R6723"/>
    </row>
    <row r="6724" spans="14:18" x14ac:dyDescent="0.25">
      <c r="N6724"/>
      <c r="O6724"/>
      <c r="P6724"/>
      <c r="Q6724"/>
      <c r="R6724"/>
    </row>
    <row r="6725" spans="14:18" x14ac:dyDescent="0.25">
      <c r="N6725"/>
      <c r="O6725"/>
      <c r="P6725"/>
      <c r="Q6725"/>
      <c r="R6725"/>
    </row>
    <row r="6726" spans="14:18" x14ac:dyDescent="0.25">
      <c r="N6726"/>
      <c r="O6726"/>
      <c r="P6726"/>
      <c r="Q6726"/>
      <c r="R6726"/>
    </row>
    <row r="6727" spans="14:18" x14ac:dyDescent="0.25">
      <c r="N6727"/>
      <c r="O6727"/>
      <c r="P6727"/>
      <c r="Q6727"/>
      <c r="R6727"/>
    </row>
    <row r="6728" spans="14:18" x14ac:dyDescent="0.25">
      <c r="N6728"/>
      <c r="O6728"/>
      <c r="P6728"/>
      <c r="Q6728"/>
      <c r="R6728"/>
    </row>
    <row r="6729" spans="14:18" x14ac:dyDescent="0.25">
      <c r="N6729"/>
      <c r="O6729"/>
      <c r="P6729"/>
      <c r="Q6729"/>
      <c r="R6729"/>
    </row>
    <row r="6730" spans="14:18" x14ac:dyDescent="0.25">
      <c r="N6730"/>
      <c r="O6730"/>
      <c r="P6730"/>
      <c r="Q6730"/>
      <c r="R6730"/>
    </row>
    <row r="6731" spans="14:18" x14ac:dyDescent="0.25">
      <c r="N6731"/>
      <c r="O6731"/>
      <c r="P6731"/>
      <c r="Q6731"/>
      <c r="R6731"/>
    </row>
    <row r="6732" spans="14:18" x14ac:dyDescent="0.25">
      <c r="N6732"/>
      <c r="O6732"/>
      <c r="P6732"/>
      <c r="Q6732"/>
      <c r="R6732"/>
    </row>
    <row r="6733" spans="14:18" x14ac:dyDescent="0.25">
      <c r="N6733"/>
      <c r="O6733"/>
      <c r="P6733"/>
      <c r="Q6733"/>
      <c r="R6733"/>
    </row>
    <row r="6734" spans="14:18" x14ac:dyDescent="0.25">
      <c r="N6734"/>
      <c r="O6734"/>
      <c r="P6734"/>
      <c r="Q6734"/>
      <c r="R6734"/>
    </row>
    <row r="6735" spans="14:18" x14ac:dyDescent="0.25">
      <c r="N6735"/>
      <c r="O6735"/>
      <c r="P6735"/>
      <c r="Q6735"/>
      <c r="R6735"/>
    </row>
    <row r="6736" spans="14:18" x14ac:dyDescent="0.25">
      <c r="N6736"/>
      <c r="O6736"/>
      <c r="P6736"/>
      <c r="Q6736"/>
      <c r="R6736"/>
    </row>
    <row r="6737" spans="14:18" x14ac:dyDescent="0.25">
      <c r="N6737"/>
      <c r="O6737"/>
      <c r="P6737"/>
      <c r="Q6737"/>
      <c r="R6737"/>
    </row>
    <row r="6738" spans="14:18" x14ac:dyDescent="0.25">
      <c r="N6738"/>
      <c r="O6738"/>
      <c r="P6738"/>
      <c r="Q6738"/>
      <c r="R6738"/>
    </row>
    <row r="6739" spans="14:18" x14ac:dyDescent="0.25">
      <c r="N6739"/>
      <c r="O6739"/>
      <c r="P6739"/>
      <c r="Q6739"/>
      <c r="R6739"/>
    </row>
    <row r="6740" spans="14:18" x14ac:dyDescent="0.25">
      <c r="N6740"/>
      <c r="O6740"/>
      <c r="P6740"/>
      <c r="Q6740"/>
      <c r="R6740"/>
    </row>
    <row r="6741" spans="14:18" x14ac:dyDescent="0.25">
      <c r="N6741"/>
      <c r="O6741"/>
      <c r="P6741"/>
      <c r="Q6741"/>
      <c r="R6741"/>
    </row>
    <row r="6742" spans="14:18" x14ac:dyDescent="0.25">
      <c r="N6742"/>
      <c r="O6742"/>
      <c r="P6742"/>
      <c r="Q6742"/>
      <c r="R6742"/>
    </row>
    <row r="6743" spans="14:18" x14ac:dyDescent="0.25">
      <c r="N6743"/>
      <c r="O6743"/>
      <c r="P6743"/>
      <c r="Q6743"/>
      <c r="R6743"/>
    </row>
    <row r="6744" spans="14:18" x14ac:dyDescent="0.25">
      <c r="N6744"/>
      <c r="O6744"/>
      <c r="P6744"/>
      <c r="Q6744"/>
      <c r="R6744"/>
    </row>
    <row r="6745" spans="14:18" x14ac:dyDescent="0.25">
      <c r="N6745"/>
      <c r="O6745"/>
      <c r="P6745"/>
      <c r="Q6745"/>
      <c r="R6745"/>
    </row>
    <row r="6746" spans="14:18" x14ac:dyDescent="0.25">
      <c r="N6746"/>
      <c r="O6746"/>
      <c r="P6746"/>
      <c r="Q6746"/>
      <c r="R6746"/>
    </row>
    <row r="6747" spans="14:18" x14ac:dyDescent="0.25">
      <c r="N6747"/>
      <c r="O6747"/>
      <c r="P6747"/>
      <c r="Q6747"/>
      <c r="R6747"/>
    </row>
    <row r="6748" spans="14:18" x14ac:dyDescent="0.25">
      <c r="N6748"/>
      <c r="O6748"/>
      <c r="P6748"/>
      <c r="Q6748"/>
      <c r="R6748"/>
    </row>
    <row r="6749" spans="14:18" x14ac:dyDescent="0.25">
      <c r="N6749"/>
      <c r="O6749"/>
      <c r="P6749"/>
      <c r="Q6749"/>
      <c r="R6749"/>
    </row>
    <row r="6750" spans="14:18" x14ac:dyDescent="0.25">
      <c r="N6750"/>
      <c r="O6750"/>
      <c r="P6750"/>
      <c r="Q6750"/>
      <c r="R6750"/>
    </row>
    <row r="6751" spans="14:18" x14ac:dyDescent="0.25">
      <c r="N6751"/>
      <c r="O6751"/>
      <c r="P6751"/>
      <c r="Q6751"/>
      <c r="R6751"/>
    </row>
    <row r="6752" spans="14:18" x14ac:dyDescent="0.25">
      <c r="N6752"/>
      <c r="O6752"/>
      <c r="P6752"/>
      <c r="Q6752"/>
      <c r="R6752"/>
    </row>
    <row r="6753" spans="14:18" x14ac:dyDescent="0.25">
      <c r="N6753"/>
      <c r="O6753"/>
      <c r="P6753"/>
      <c r="Q6753"/>
      <c r="R6753"/>
    </row>
    <row r="6754" spans="14:18" x14ac:dyDescent="0.25">
      <c r="N6754"/>
      <c r="O6754"/>
      <c r="P6754"/>
      <c r="Q6754"/>
      <c r="R6754"/>
    </row>
    <row r="6755" spans="14:18" x14ac:dyDescent="0.25">
      <c r="N6755"/>
      <c r="O6755"/>
      <c r="P6755"/>
      <c r="Q6755"/>
      <c r="R6755"/>
    </row>
    <row r="6756" spans="14:18" x14ac:dyDescent="0.25">
      <c r="N6756"/>
      <c r="O6756"/>
      <c r="P6756"/>
      <c r="Q6756"/>
      <c r="R6756"/>
    </row>
    <row r="6757" spans="14:18" x14ac:dyDescent="0.25">
      <c r="N6757"/>
      <c r="O6757"/>
      <c r="P6757"/>
      <c r="Q6757"/>
      <c r="R6757"/>
    </row>
    <row r="6758" spans="14:18" x14ac:dyDescent="0.25">
      <c r="N6758"/>
      <c r="O6758"/>
      <c r="P6758"/>
      <c r="Q6758"/>
      <c r="R6758"/>
    </row>
    <row r="6759" spans="14:18" x14ac:dyDescent="0.25">
      <c r="N6759"/>
      <c r="O6759"/>
      <c r="P6759"/>
      <c r="Q6759"/>
      <c r="R6759"/>
    </row>
    <row r="6760" spans="14:18" x14ac:dyDescent="0.25">
      <c r="N6760"/>
      <c r="O6760"/>
      <c r="P6760"/>
      <c r="Q6760"/>
      <c r="R6760"/>
    </row>
    <row r="6761" spans="14:18" x14ac:dyDescent="0.25">
      <c r="N6761"/>
      <c r="O6761"/>
      <c r="P6761"/>
      <c r="Q6761"/>
      <c r="R6761"/>
    </row>
    <row r="6762" spans="14:18" x14ac:dyDescent="0.25">
      <c r="N6762"/>
      <c r="O6762"/>
      <c r="P6762"/>
      <c r="Q6762"/>
      <c r="R6762"/>
    </row>
    <row r="6763" spans="14:18" x14ac:dyDescent="0.25">
      <c r="N6763"/>
      <c r="O6763"/>
      <c r="P6763"/>
      <c r="Q6763"/>
      <c r="R6763"/>
    </row>
    <row r="6764" spans="14:18" x14ac:dyDescent="0.25">
      <c r="N6764"/>
      <c r="O6764"/>
      <c r="P6764"/>
      <c r="Q6764"/>
      <c r="R6764"/>
    </row>
    <row r="6765" spans="14:18" x14ac:dyDescent="0.25">
      <c r="N6765"/>
      <c r="O6765"/>
      <c r="P6765"/>
      <c r="Q6765"/>
      <c r="R6765"/>
    </row>
    <row r="6766" spans="14:18" x14ac:dyDescent="0.25">
      <c r="N6766"/>
      <c r="O6766"/>
      <c r="P6766"/>
      <c r="Q6766"/>
      <c r="R6766"/>
    </row>
    <row r="6767" spans="14:18" x14ac:dyDescent="0.25">
      <c r="N6767"/>
      <c r="O6767"/>
      <c r="P6767"/>
      <c r="Q6767"/>
      <c r="R6767"/>
    </row>
    <row r="6768" spans="14:18" x14ac:dyDescent="0.25">
      <c r="N6768"/>
      <c r="O6768"/>
      <c r="P6768"/>
      <c r="Q6768"/>
      <c r="R6768"/>
    </row>
    <row r="6769" spans="14:18" x14ac:dyDescent="0.25">
      <c r="N6769"/>
      <c r="O6769"/>
      <c r="P6769"/>
      <c r="Q6769"/>
      <c r="R6769"/>
    </row>
    <row r="6770" spans="14:18" x14ac:dyDescent="0.25">
      <c r="N6770"/>
      <c r="O6770"/>
      <c r="P6770"/>
      <c r="Q6770"/>
      <c r="R6770"/>
    </row>
    <row r="6771" spans="14:18" x14ac:dyDescent="0.25">
      <c r="N6771"/>
      <c r="O6771"/>
      <c r="P6771"/>
      <c r="Q6771"/>
      <c r="R6771"/>
    </row>
    <row r="6772" spans="14:18" x14ac:dyDescent="0.25">
      <c r="N6772"/>
      <c r="O6772"/>
      <c r="P6772"/>
      <c r="Q6772"/>
      <c r="R6772"/>
    </row>
    <row r="6773" spans="14:18" x14ac:dyDescent="0.25">
      <c r="N6773"/>
      <c r="O6773"/>
      <c r="P6773"/>
      <c r="Q6773"/>
      <c r="R6773"/>
    </row>
    <row r="6774" spans="14:18" x14ac:dyDescent="0.25">
      <c r="N6774"/>
      <c r="O6774"/>
      <c r="P6774"/>
      <c r="Q6774"/>
      <c r="R6774"/>
    </row>
    <row r="6775" spans="14:18" x14ac:dyDescent="0.25">
      <c r="N6775"/>
      <c r="O6775"/>
      <c r="P6775"/>
      <c r="Q6775"/>
      <c r="R6775"/>
    </row>
    <row r="6776" spans="14:18" x14ac:dyDescent="0.25">
      <c r="N6776"/>
      <c r="O6776"/>
      <c r="P6776"/>
      <c r="Q6776"/>
      <c r="R6776"/>
    </row>
    <row r="6777" spans="14:18" x14ac:dyDescent="0.25">
      <c r="N6777"/>
      <c r="O6777"/>
      <c r="P6777"/>
      <c r="Q6777"/>
      <c r="R6777"/>
    </row>
    <row r="6778" spans="14:18" x14ac:dyDescent="0.25">
      <c r="N6778"/>
      <c r="O6778"/>
      <c r="P6778"/>
      <c r="Q6778"/>
      <c r="R6778"/>
    </row>
    <row r="6779" spans="14:18" x14ac:dyDescent="0.25">
      <c r="N6779"/>
      <c r="O6779"/>
      <c r="P6779"/>
      <c r="Q6779"/>
      <c r="R6779"/>
    </row>
    <row r="6780" spans="14:18" x14ac:dyDescent="0.25">
      <c r="N6780"/>
      <c r="O6780"/>
      <c r="P6780"/>
      <c r="Q6780"/>
      <c r="R6780"/>
    </row>
    <row r="6781" spans="14:18" x14ac:dyDescent="0.25">
      <c r="N6781"/>
      <c r="O6781"/>
      <c r="P6781"/>
      <c r="Q6781"/>
      <c r="R6781"/>
    </row>
    <row r="6782" spans="14:18" x14ac:dyDescent="0.25">
      <c r="N6782"/>
      <c r="O6782"/>
      <c r="P6782"/>
      <c r="Q6782"/>
      <c r="R6782"/>
    </row>
    <row r="6783" spans="14:18" x14ac:dyDescent="0.25">
      <c r="N6783"/>
      <c r="O6783"/>
      <c r="P6783"/>
      <c r="Q6783"/>
      <c r="R6783"/>
    </row>
    <row r="6784" spans="14:18" x14ac:dyDescent="0.25">
      <c r="N6784"/>
      <c r="O6784"/>
      <c r="P6784"/>
      <c r="Q6784"/>
      <c r="R6784"/>
    </row>
    <row r="6785" spans="14:18" x14ac:dyDescent="0.25">
      <c r="N6785"/>
      <c r="O6785"/>
      <c r="P6785"/>
      <c r="Q6785"/>
      <c r="R6785"/>
    </row>
    <row r="6786" spans="14:18" x14ac:dyDescent="0.25">
      <c r="N6786"/>
      <c r="O6786"/>
      <c r="P6786"/>
      <c r="Q6786"/>
      <c r="R6786"/>
    </row>
    <row r="6787" spans="14:18" x14ac:dyDescent="0.25">
      <c r="N6787"/>
      <c r="O6787"/>
      <c r="P6787"/>
      <c r="Q6787"/>
      <c r="R6787"/>
    </row>
    <row r="6788" spans="14:18" x14ac:dyDescent="0.25">
      <c r="N6788"/>
      <c r="O6788"/>
      <c r="P6788"/>
      <c r="Q6788"/>
      <c r="R6788"/>
    </row>
    <row r="6789" spans="14:18" x14ac:dyDescent="0.25">
      <c r="N6789"/>
      <c r="O6789"/>
      <c r="P6789"/>
      <c r="Q6789"/>
      <c r="R6789"/>
    </row>
    <row r="6790" spans="14:18" x14ac:dyDescent="0.25">
      <c r="N6790"/>
      <c r="O6790"/>
      <c r="P6790"/>
      <c r="Q6790"/>
      <c r="R6790"/>
    </row>
    <row r="6791" spans="14:18" x14ac:dyDescent="0.25">
      <c r="N6791"/>
      <c r="O6791"/>
      <c r="P6791"/>
      <c r="Q6791"/>
      <c r="R6791"/>
    </row>
    <row r="6792" spans="14:18" x14ac:dyDescent="0.25">
      <c r="N6792"/>
      <c r="O6792"/>
      <c r="P6792"/>
      <c r="Q6792"/>
      <c r="R6792"/>
    </row>
    <row r="6793" spans="14:18" x14ac:dyDescent="0.25">
      <c r="N6793"/>
      <c r="O6793"/>
      <c r="P6793"/>
      <c r="Q6793"/>
      <c r="R6793"/>
    </row>
    <row r="6794" spans="14:18" x14ac:dyDescent="0.25">
      <c r="N6794"/>
      <c r="O6794"/>
      <c r="P6794"/>
      <c r="Q6794"/>
      <c r="R6794"/>
    </row>
    <row r="6795" spans="14:18" x14ac:dyDescent="0.25">
      <c r="N6795"/>
      <c r="O6795"/>
      <c r="P6795"/>
      <c r="Q6795"/>
      <c r="R6795"/>
    </row>
    <row r="6796" spans="14:18" x14ac:dyDescent="0.25">
      <c r="N6796"/>
      <c r="O6796"/>
      <c r="P6796"/>
      <c r="Q6796"/>
      <c r="R6796"/>
    </row>
    <row r="6797" spans="14:18" x14ac:dyDescent="0.25">
      <c r="N6797"/>
      <c r="O6797"/>
      <c r="P6797"/>
      <c r="Q6797"/>
      <c r="R6797"/>
    </row>
    <row r="6798" spans="14:18" x14ac:dyDescent="0.25">
      <c r="N6798"/>
      <c r="O6798"/>
      <c r="P6798"/>
      <c r="Q6798"/>
      <c r="R6798"/>
    </row>
    <row r="6799" spans="14:18" x14ac:dyDescent="0.25">
      <c r="N6799"/>
      <c r="O6799"/>
      <c r="P6799"/>
      <c r="Q6799"/>
      <c r="R6799"/>
    </row>
    <row r="6800" spans="14:18" x14ac:dyDescent="0.25">
      <c r="N6800"/>
      <c r="O6800"/>
      <c r="P6800"/>
      <c r="Q6800"/>
      <c r="R6800"/>
    </row>
    <row r="6801" spans="14:18" x14ac:dyDescent="0.25">
      <c r="N6801"/>
      <c r="O6801"/>
      <c r="P6801"/>
      <c r="Q6801"/>
      <c r="R6801"/>
    </row>
    <row r="6802" spans="14:18" x14ac:dyDescent="0.25">
      <c r="N6802"/>
      <c r="O6802"/>
      <c r="P6802"/>
      <c r="Q6802"/>
      <c r="R6802"/>
    </row>
    <row r="6803" spans="14:18" x14ac:dyDescent="0.25">
      <c r="N6803"/>
      <c r="O6803"/>
      <c r="P6803"/>
      <c r="Q6803"/>
      <c r="R6803"/>
    </row>
    <row r="6804" spans="14:18" x14ac:dyDescent="0.25">
      <c r="N6804"/>
      <c r="O6804"/>
      <c r="P6804"/>
      <c r="Q6804"/>
      <c r="R6804"/>
    </row>
    <row r="6805" spans="14:18" x14ac:dyDescent="0.25">
      <c r="N6805"/>
      <c r="O6805"/>
      <c r="P6805"/>
      <c r="Q6805"/>
      <c r="R6805"/>
    </row>
    <row r="6806" spans="14:18" x14ac:dyDescent="0.25">
      <c r="N6806"/>
      <c r="O6806"/>
      <c r="P6806"/>
      <c r="Q6806"/>
      <c r="R6806"/>
    </row>
    <row r="6807" spans="14:18" x14ac:dyDescent="0.25">
      <c r="N6807"/>
      <c r="O6807"/>
      <c r="P6807"/>
      <c r="Q6807"/>
      <c r="R6807"/>
    </row>
    <row r="6808" spans="14:18" x14ac:dyDescent="0.25">
      <c r="N6808"/>
      <c r="O6808"/>
      <c r="P6808"/>
      <c r="Q6808"/>
      <c r="R6808"/>
    </row>
    <row r="6809" spans="14:18" x14ac:dyDescent="0.25">
      <c r="N6809"/>
      <c r="O6809"/>
      <c r="P6809"/>
      <c r="Q6809"/>
      <c r="R6809"/>
    </row>
    <row r="6810" spans="14:18" x14ac:dyDescent="0.25">
      <c r="N6810"/>
      <c r="O6810"/>
      <c r="P6810"/>
      <c r="Q6810"/>
      <c r="R6810"/>
    </row>
    <row r="6811" spans="14:18" x14ac:dyDescent="0.25">
      <c r="N6811"/>
      <c r="O6811"/>
      <c r="P6811"/>
      <c r="Q6811"/>
      <c r="R6811"/>
    </row>
    <row r="6812" spans="14:18" x14ac:dyDescent="0.25">
      <c r="N6812"/>
      <c r="O6812"/>
      <c r="P6812"/>
      <c r="Q6812"/>
      <c r="R6812"/>
    </row>
    <row r="6813" spans="14:18" x14ac:dyDescent="0.25">
      <c r="N6813"/>
      <c r="O6813"/>
      <c r="P6813"/>
      <c r="Q6813"/>
      <c r="R6813"/>
    </row>
    <row r="6814" spans="14:18" x14ac:dyDescent="0.25">
      <c r="N6814"/>
      <c r="O6814"/>
      <c r="P6814"/>
      <c r="Q6814"/>
      <c r="R6814"/>
    </row>
    <row r="6815" spans="14:18" x14ac:dyDescent="0.25">
      <c r="N6815"/>
      <c r="O6815"/>
      <c r="P6815"/>
      <c r="Q6815"/>
      <c r="R6815"/>
    </row>
    <row r="6816" spans="14:18" x14ac:dyDescent="0.25">
      <c r="N6816"/>
      <c r="O6816"/>
      <c r="P6816"/>
      <c r="Q6816"/>
      <c r="R6816"/>
    </row>
    <row r="6817" spans="14:18" x14ac:dyDescent="0.25">
      <c r="N6817"/>
      <c r="O6817"/>
      <c r="P6817"/>
      <c r="Q6817"/>
      <c r="R6817"/>
    </row>
    <row r="6818" spans="14:18" x14ac:dyDescent="0.25">
      <c r="N6818"/>
      <c r="O6818"/>
      <c r="P6818"/>
      <c r="Q6818"/>
      <c r="R6818"/>
    </row>
    <row r="6819" spans="14:18" x14ac:dyDescent="0.25">
      <c r="N6819"/>
      <c r="O6819"/>
      <c r="P6819"/>
      <c r="Q6819"/>
      <c r="R6819"/>
    </row>
    <row r="6820" spans="14:18" x14ac:dyDescent="0.25">
      <c r="N6820"/>
      <c r="O6820"/>
      <c r="P6820"/>
      <c r="Q6820"/>
      <c r="R6820"/>
    </row>
    <row r="6821" spans="14:18" x14ac:dyDescent="0.25">
      <c r="N6821"/>
      <c r="O6821"/>
      <c r="P6821"/>
      <c r="Q6821"/>
      <c r="R6821"/>
    </row>
    <row r="6822" spans="14:18" x14ac:dyDescent="0.25">
      <c r="N6822"/>
      <c r="O6822"/>
      <c r="P6822"/>
      <c r="Q6822"/>
      <c r="R6822"/>
    </row>
    <row r="6823" spans="14:18" x14ac:dyDescent="0.25">
      <c r="N6823"/>
      <c r="O6823"/>
      <c r="P6823"/>
      <c r="Q6823"/>
      <c r="R6823"/>
    </row>
    <row r="6824" spans="14:18" x14ac:dyDescent="0.25">
      <c r="N6824"/>
      <c r="O6824"/>
      <c r="P6824"/>
      <c r="Q6824"/>
      <c r="R6824"/>
    </row>
    <row r="6825" spans="14:18" x14ac:dyDescent="0.25">
      <c r="N6825"/>
      <c r="O6825"/>
      <c r="P6825"/>
      <c r="Q6825"/>
      <c r="R6825"/>
    </row>
    <row r="6826" spans="14:18" x14ac:dyDescent="0.25">
      <c r="N6826"/>
      <c r="O6826"/>
      <c r="P6826"/>
      <c r="Q6826"/>
      <c r="R6826"/>
    </row>
    <row r="6827" spans="14:18" x14ac:dyDescent="0.25">
      <c r="N6827"/>
      <c r="O6827"/>
      <c r="P6827"/>
      <c r="Q6827"/>
      <c r="R6827"/>
    </row>
    <row r="6828" spans="14:18" x14ac:dyDescent="0.25">
      <c r="N6828"/>
      <c r="O6828"/>
      <c r="P6828"/>
      <c r="Q6828"/>
      <c r="R6828"/>
    </row>
    <row r="6829" spans="14:18" x14ac:dyDescent="0.25">
      <c r="N6829"/>
      <c r="O6829"/>
      <c r="P6829"/>
      <c r="Q6829"/>
      <c r="R6829"/>
    </row>
    <row r="6830" spans="14:18" x14ac:dyDescent="0.25">
      <c r="N6830"/>
      <c r="O6830"/>
      <c r="P6830"/>
      <c r="Q6830"/>
      <c r="R6830"/>
    </row>
    <row r="6831" spans="14:18" x14ac:dyDescent="0.25">
      <c r="N6831"/>
      <c r="O6831"/>
      <c r="P6831"/>
      <c r="Q6831"/>
      <c r="R6831"/>
    </row>
    <row r="6832" spans="14:18" x14ac:dyDescent="0.25">
      <c r="N6832"/>
      <c r="O6832"/>
      <c r="P6832"/>
      <c r="Q6832"/>
      <c r="R6832"/>
    </row>
    <row r="6833" spans="14:18" x14ac:dyDescent="0.25">
      <c r="N6833"/>
      <c r="O6833"/>
      <c r="P6833"/>
      <c r="Q6833"/>
      <c r="R6833"/>
    </row>
    <row r="6834" spans="14:18" x14ac:dyDescent="0.25">
      <c r="N6834"/>
      <c r="O6834"/>
      <c r="P6834"/>
      <c r="Q6834"/>
      <c r="R6834"/>
    </row>
    <row r="6835" spans="14:18" x14ac:dyDescent="0.25">
      <c r="N6835"/>
      <c r="O6835"/>
      <c r="P6835"/>
      <c r="Q6835"/>
      <c r="R6835"/>
    </row>
    <row r="6836" spans="14:18" x14ac:dyDescent="0.25">
      <c r="N6836"/>
      <c r="O6836"/>
      <c r="P6836"/>
      <c r="Q6836"/>
      <c r="R6836"/>
    </row>
    <row r="6837" spans="14:18" x14ac:dyDescent="0.25">
      <c r="N6837"/>
      <c r="O6837"/>
      <c r="P6837"/>
      <c r="Q6837"/>
      <c r="R6837"/>
    </row>
    <row r="6838" spans="14:18" x14ac:dyDescent="0.25">
      <c r="N6838"/>
      <c r="O6838"/>
      <c r="P6838"/>
      <c r="Q6838"/>
      <c r="R6838"/>
    </row>
    <row r="6839" spans="14:18" x14ac:dyDescent="0.25">
      <c r="N6839"/>
      <c r="O6839"/>
      <c r="P6839"/>
      <c r="Q6839"/>
      <c r="R6839"/>
    </row>
    <row r="6840" spans="14:18" x14ac:dyDescent="0.25">
      <c r="N6840"/>
      <c r="O6840"/>
      <c r="P6840"/>
      <c r="Q6840"/>
      <c r="R6840"/>
    </row>
    <row r="6841" spans="14:18" x14ac:dyDescent="0.25">
      <c r="N6841"/>
      <c r="O6841"/>
      <c r="P6841"/>
      <c r="Q6841"/>
      <c r="R6841"/>
    </row>
    <row r="6842" spans="14:18" x14ac:dyDescent="0.25">
      <c r="N6842"/>
      <c r="O6842"/>
      <c r="P6842"/>
      <c r="Q6842"/>
      <c r="R6842"/>
    </row>
    <row r="6843" spans="14:18" x14ac:dyDescent="0.25">
      <c r="N6843"/>
      <c r="O6843"/>
      <c r="P6843"/>
      <c r="Q6843"/>
      <c r="R6843"/>
    </row>
    <row r="6844" spans="14:18" x14ac:dyDescent="0.25">
      <c r="N6844"/>
      <c r="O6844"/>
      <c r="P6844"/>
      <c r="Q6844"/>
      <c r="R6844"/>
    </row>
    <row r="6845" spans="14:18" x14ac:dyDescent="0.25">
      <c r="N6845"/>
      <c r="O6845"/>
      <c r="P6845"/>
      <c r="Q6845"/>
      <c r="R6845"/>
    </row>
    <row r="6846" spans="14:18" x14ac:dyDescent="0.25">
      <c r="N6846"/>
      <c r="O6846"/>
      <c r="P6846"/>
      <c r="Q6846"/>
      <c r="R6846"/>
    </row>
    <row r="6847" spans="14:18" x14ac:dyDescent="0.25">
      <c r="N6847"/>
      <c r="O6847"/>
      <c r="P6847"/>
      <c r="Q6847"/>
      <c r="R6847"/>
    </row>
    <row r="6848" spans="14:18" x14ac:dyDescent="0.25">
      <c r="N6848"/>
      <c r="O6848"/>
      <c r="P6848"/>
      <c r="Q6848"/>
      <c r="R6848"/>
    </row>
    <row r="6849" spans="14:18" x14ac:dyDescent="0.25">
      <c r="N6849"/>
      <c r="O6849"/>
      <c r="P6849"/>
      <c r="Q6849"/>
      <c r="R6849"/>
    </row>
    <row r="6850" spans="14:18" x14ac:dyDescent="0.25">
      <c r="N6850"/>
      <c r="O6850"/>
      <c r="P6850"/>
      <c r="Q6850"/>
      <c r="R6850"/>
    </row>
    <row r="6851" spans="14:18" x14ac:dyDescent="0.25">
      <c r="N6851"/>
      <c r="O6851"/>
      <c r="P6851"/>
      <c r="Q6851"/>
      <c r="R6851"/>
    </row>
    <row r="6852" spans="14:18" x14ac:dyDescent="0.25">
      <c r="N6852"/>
      <c r="O6852"/>
      <c r="P6852"/>
      <c r="Q6852"/>
      <c r="R6852"/>
    </row>
    <row r="6853" spans="14:18" x14ac:dyDescent="0.25">
      <c r="N6853"/>
      <c r="O6853"/>
      <c r="P6853"/>
      <c r="Q6853"/>
      <c r="R6853"/>
    </row>
    <row r="6854" spans="14:18" x14ac:dyDescent="0.25">
      <c r="N6854"/>
      <c r="O6854"/>
      <c r="P6854"/>
      <c r="Q6854"/>
      <c r="R6854"/>
    </row>
    <row r="6855" spans="14:18" x14ac:dyDescent="0.25">
      <c r="N6855"/>
      <c r="O6855"/>
      <c r="P6855"/>
      <c r="Q6855"/>
      <c r="R6855"/>
    </row>
    <row r="6856" spans="14:18" x14ac:dyDescent="0.25">
      <c r="N6856"/>
      <c r="O6856"/>
      <c r="P6856"/>
      <c r="Q6856"/>
      <c r="R6856"/>
    </row>
    <row r="6857" spans="14:18" x14ac:dyDescent="0.25">
      <c r="N6857"/>
      <c r="O6857"/>
      <c r="P6857"/>
      <c r="Q6857"/>
      <c r="R6857"/>
    </row>
    <row r="6858" spans="14:18" x14ac:dyDescent="0.25">
      <c r="N6858"/>
      <c r="O6858"/>
      <c r="P6858"/>
      <c r="Q6858"/>
      <c r="R6858"/>
    </row>
    <row r="6859" spans="14:18" x14ac:dyDescent="0.25">
      <c r="N6859"/>
      <c r="O6859"/>
      <c r="P6859"/>
      <c r="Q6859"/>
      <c r="R6859"/>
    </row>
    <row r="6860" spans="14:18" x14ac:dyDescent="0.25">
      <c r="N6860"/>
      <c r="O6860"/>
      <c r="P6860"/>
      <c r="Q6860"/>
      <c r="R6860"/>
    </row>
    <row r="6861" spans="14:18" x14ac:dyDescent="0.25">
      <c r="N6861"/>
      <c r="O6861"/>
      <c r="P6861"/>
      <c r="Q6861"/>
      <c r="R6861"/>
    </row>
    <row r="6862" spans="14:18" x14ac:dyDescent="0.25">
      <c r="N6862"/>
      <c r="O6862"/>
      <c r="P6862"/>
      <c r="Q6862"/>
      <c r="R6862"/>
    </row>
    <row r="6863" spans="14:18" x14ac:dyDescent="0.25">
      <c r="N6863"/>
      <c r="O6863"/>
      <c r="P6863"/>
      <c r="Q6863"/>
      <c r="R6863"/>
    </row>
    <row r="6864" spans="14:18" x14ac:dyDescent="0.25">
      <c r="N6864"/>
      <c r="O6864"/>
      <c r="P6864"/>
      <c r="Q6864"/>
      <c r="R6864"/>
    </row>
    <row r="6865" spans="14:18" x14ac:dyDescent="0.25">
      <c r="N6865"/>
      <c r="O6865"/>
      <c r="P6865"/>
      <c r="Q6865"/>
      <c r="R6865"/>
    </row>
    <row r="6866" spans="14:18" x14ac:dyDescent="0.25">
      <c r="N6866"/>
      <c r="O6866"/>
      <c r="P6866"/>
      <c r="Q6866"/>
      <c r="R6866"/>
    </row>
    <row r="6867" spans="14:18" x14ac:dyDescent="0.25">
      <c r="N6867"/>
      <c r="O6867"/>
      <c r="P6867"/>
      <c r="Q6867"/>
      <c r="R6867"/>
    </row>
    <row r="6868" spans="14:18" x14ac:dyDescent="0.25">
      <c r="N6868"/>
      <c r="O6868"/>
      <c r="P6868"/>
      <c r="Q6868"/>
      <c r="R6868"/>
    </row>
    <row r="6869" spans="14:18" x14ac:dyDescent="0.25">
      <c r="N6869"/>
      <c r="O6869"/>
      <c r="P6869"/>
      <c r="Q6869"/>
      <c r="R6869"/>
    </row>
    <row r="6870" spans="14:18" x14ac:dyDescent="0.25">
      <c r="N6870"/>
      <c r="O6870"/>
      <c r="P6870"/>
      <c r="Q6870"/>
      <c r="R6870"/>
    </row>
    <row r="6871" spans="14:18" x14ac:dyDescent="0.25">
      <c r="N6871"/>
      <c r="O6871"/>
      <c r="P6871"/>
      <c r="Q6871"/>
      <c r="R6871"/>
    </row>
    <row r="6872" spans="14:18" x14ac:dyDescent="0.25">
      <c r="N6872"/>
      <c r="O6872"/>
      <c r="P6872"/>
      <c r="Q6872"/>
      <c r="R6872"/>
    </row>
    <row r="6873" spans="14:18" x14ac:dyDescent="0.25">
      <c r="N6873"/>
      <c r="O6873"/>
      <c r="P6873"/>
      <c r="Q6873"/>
      <c r="R6873"/>
    </row>
    <row r="6874" spans="14:18" x14ac:dyDescent="0.25">
      <c r="N6874"/>
      <c r="O6874"/>
      <c r="P6874"/>
      <c r="Q6874"/>
      <c r="R6874"/>
    </row>
    <row r="6875" spans="14:18" x14ac:dyDescent="0.25">
      <c r="N6875"/>
      <c r="O6875"/>
      <c r="P6875"/>
      <c r="Q6875"/>
      <c r="R6875"/>
    </row>
    <row r="6876" spans="14:18" x14ac:dyDescent="0.25">
      <c r="N6876"/>
      <c r="O6876"/>
      <c r="P6876"/>
      <c r="Q6876"/>
      <c r="R6876"/>
    </row>
    <row r="6877" spans="14:18" x14ac:dyDescent="0.25">
      <c r="N6877"/>
      <c r="O6877"/>
      <c r="P6877"/>
      <c r="Q6877"/>
      <c r="R6877"/>
    </row>
    <row r="6878" spans="14:18" x14ac:dyDescent="0.25">
      <c r="N6878"/>
      <c r="O6878"/>
      <c r="P6878"/>
      <c r="Q6878"/>
      <c r="R6878"/>
    </row>
    <row r="6879" spans="14:18" x14ac:dyDescent="0.25">
      <c r="N6879"/>
      <c r="O6879"/>
      <c r="P6879"/>
      <c r="Q6879"/>
      <c r="R6879"/>
    </row>
    <row r="6880" spans="14:18" x14ac:dyDescent="0.25">
      <c r="N6880"/>
      <c r="O6880"/>
      <c r="P6880"/>
      <c r="Q6880"/>
      <c r="R6880"/>
    </row>
    <row r="6881" spans="14:18" x14ac:dyDescent="0.25">
      <c r="N6881"/>
      <c r="O6881"/>
      <c r="P6881"/>
      <c r="Q6881"/>
      <c r="R6881"/>
    </row>
    <row r="6882" spans="14:18" x14ac:dyDescent="0.25">
      <c r="N6882"/>
      <c r="O6882"/>
      <c r="P6882"/>
      <c r="Q6882"/>
      <c r="R6882"/>
    </row>
    <row r="6883" spans="14:18" x14ac:dyDescent="0.25">
      <c r="N6883"/>
      <c r="O6883"/>
      <c r="P6883"/>
      <c r="Q6883"/>
      <c r="R6883"/>
    </row>
    <row r="6884" spans="14:18" x14ac:dyDescent="0.25">
      <c r="N6884"/>
      <c r="O6884"/>
      <c r="P6884"/>
      <c r="Q6884"/>
      <c r="R6884"/>
    </row>
    <row r="6885" spans="14:18" x14ac:dyDescent="0.25">
      <c r="N6885"/>
      <c r="O6885"/>
      <c r="P6885"/>
      <c r="Q6885"/>
      <c r="R6885"/>
    </row>
    <row r="6886" spans="14:18" x14ac:dyDescent="0.25">
      <c r="N6886"/>
      <c r="O6886"/>
      <c r="P6886"/>
      <c r="Q6886"/>
      <c r="R6886"/>
    </row>
    <row r="6887" spans="14:18" x14ac:dyDescent="0.25">
      <c r="N6887"/>
      <c r="O6887"/>
      <c r="P6887"/>
      <c r="Q6887"/>
      <c r="R6887"/>
    </row>
    <row r="6888" spans="14:18" x14ac:dyDescent="0.25">
      <c r="N6888"/>
      <c r="O6888"/>
      <c r="P6888"/>
      <c r="Q6888"/>
      <c r="R6888"/>
    </row>
    <row r="6889" spans="14:18" x14ac:dyDescent="0.25">
      <c r="N6889"/>
      <c r="O6889"/>
      <c r="P6889"/>
      <c r="Q6889"/>
      <c r="R6889"/>
    </row>
    <row r="6890" spans="14:18" x14ac:dyDescent="0.25">
      <c r="N6890"/>
      <c r="O6890"/>
      <c r="P6890"/>
      <c r="Q6890"/>
      <c r="R6890"/>
    </row>
    <row r="6891" spans="14:18" x14ac:dyDescent="0.25">
      <c r="N6891"/>
      <c r="O6891"/>
      <c r="P6891"/>
      <c r="Q6891"/>
      <c r="R6891"/>
    </row>
    <row r="6892" spans="14:18" x14ac:dyDescent="0.25">
      <c r="N6892"/>
      <c r="O6892"/>
      <c r="P6892"/>
      <c r="Q6892"/>
      <c r="R6892"/>
    </row>
    <row r="6893" spans="14:18" x14ac:dyDescent="0.25">
      <c r="N6893"/>
      <c r="O6893"/>
      <c r="P6893"/>
      <c r="Q6893"/>
      <c r="R6893"/>
    </row>
    <row r="6894" spans="14:18" x14ac:dyDescent="0.25">
      <c r="N6894"/>
      <c r="O6894"/>
      <c r="P6894"/>
      <c r="Q6894"/>
      <c r="R6894"/>
    </row>
    <row r="6895" spans="14:18" x14ac:dyDescent="0.25">
      <c r="N6895"/>
      <c r="O6895"/>
      <c r="P6895"/>
      <c r="Q6895"/>
      <c r="R6895"/>
    </row>
    <row r="6896" spans="14:18" x14ac:dyDescent="0.25">
      <c r="N6896"/>
      <c r="O6896"/>
      <c r="P6896"/>
      <c r="Q6896"/>
      <c r="R6896"/>
    </row>
    <row r="6897" spans="14:18" x14ac:dyDescent="0.25">
      <c r="N6897"/>
      <c r="O6897"/>
      <c r="P6897"/>
      <c r="Q6897"/>
      <c r="R6897"/>
    </row>
    <row r="6898" spans="14:18" x14ac:dyDescent="0.25">
      <c r="N6898"/>
      <c r="O6898"/>
      <c r="P6898"/>
      <c r="Q6898"/>
      <c r="R6898"/>
    </row>
    <row r="6899" spans="14:18" x14ac:dyDescent="0.25">
      <c r="N6899"/>
      <c r="O6899"/>
      <c r="P6899"/>
      <c r="Q6899"/>
      <c r="R6899"/>
    </row>
    <row r="6900" spans="14:18" x14ac:dyDescent="0.25">
      <c r="N6900"/>
      <c r="O6900"/>
      <c r="P6900"/>
      <c r="Q6900"/>
      <c r="R6900"/>
    </row>
    <row r="6901" spans="14:18" x14ac:dyDescent="0.25">
      <c r="N6901"/>
      <c r="O6901"/>
      <c r="P6901"/>
      <c r="Q6901"/>
      <c r="R6901"/>
    </row>
    <row r="6902" spans="14:18" x14ac:dyDescent="0.25">
      <c r="N6902"/>
      <c r="O6902"/>
      <c r="P6902"/>
      <c r="Q6902"/>
      <c r="R6902"/>
    </row>
    <row r="6903" spans="14:18" x14ac:dyDescent="0.25">
      <c r="N6903"/>
      <c r="O6903"/>
      <c r="P6903"/>
      <c r="Q6903"/>
      <c r="R6903"/>
    </row>
    <row r="6904" spans="14:18" x14ac:dyDescent="0.25">
      <c r="N6904"/>
      <c r="O6904"/>
      <c r="P6904"/>
      <c r="Q6904"/>
      <c r="R6904"/>
    </row>
    <row r="6905" spans="14:18" x14ac:dyDescent="0.25">
      <c r="N6905"/>
      <c r="O6905"/>
      <c r="P6905"/>
      <c r="Q6905"/>
      <c r="R6905"/>
    </row>
    <row r="6906" spans="14:18" x14ac:dyDescent="0.25">
      <c r="N6906"/>
      <c r="O6906"/>
      <c r="P6906"/>
      <c r="Q6906"/>
      <c r="R6906"/>
    </row>
    <row r="6907" spans="14:18" x14ac:dyDescent="0.25">
      <c r="N6907"/>
      <c r="O6907"/>
      <c r="P6907"/>
      <c r="Q6907"/>
      <c r="R6907"/>
    </row>
    <row r="6908" spans="14:18" x14ac:dyDescent="0.25">
      <c r="N6908"/>
      <c r="O6908"/>
      <c r="P6908"/>
      <c r="Q6908"/>
      <c r="R6908"/>
    </row>
    <row r="6909" spans="14:18" x14ac:dyDescent="0.25">
      <c r="N6909"/>
      <c r="O6909"/>
      <c r="P6909"/>
      <c r="Q6909"/>
      <c r="R6909"/>
    </row>
    <row r="6910" spans="14:18" x14ac:dyDescent="0.25">
      <c r="N6910"/>
      <c r="O6910"/>
      <c r="P6910"/>
      <c r="Q6910"/>
      <c r="R6910"/>
    </row>
    <row r="6911" spans="14:18" x14ac:dyDescent="0.25">
      <c r="N6911"/>
      <c r="O6911"/>
      <c r="P6911"/>
      <c r="Q6911"/>
      <c r="R6911"/>
    </row>
    <row r="6912" spans="14:18" x14ac:dyDescent="0.25">
      <c r="N6912"/>
      <c r="O6912"/>
      <c r="P6912"/>
      <c r="Q6912"/>
      <c r="R6912"/>
    </row>
    <row r="6913" spans="14:18" x14ac:dyDescent="0.25">
      <c r="N6913"/>
      <c r="O6913"/>
      <c r="P6913"/>
      <c r="Q6913"/>
      <c r="R6913"/>
    </row>
    <row r="6914" spans="14:18" x14ac:dyDescent="0.25">
      <c r="N6914"/>
      <c r="O6914"/>
      <c r="P6914"/>
      <c r="Q6914"/>
      <c r="R6914"/>
    </row>
    <row r="6915" spans="14:18" x14ac:dyDescent="0.25">
      <c r="N6915"/>
      <c r="O6915"/>
      <c r="P6915"/>
      <c r="Q6915"/>
      <c r="R6915"/>
    </row>
    <row r="6916" spans="14:18" x14ac:dyDescent="0.25">
      <c r="N6916"/>
      <c r="O6916"/>
      <c r="P6916"/>
      <c r="Q6916"/>
      <c r="R6916"/>
    </row>
    <row r="6917" spans="14:18" x14ac:dyDescent="0.25">
      <c r="N6917"/>
      <c r="O6917"/>
      <c r="P6917"/>
      <c r="Q6917"/>
      <c r="R6917"/>
    </row>
    <row r="6918" spans="14:18" x14ac:dyDescent="0.25">
      <c r="N6918"/>
      <c r="O6918"/>
      <c r="P6918"/>
      <c r="Q6918"/>
      <c r="R6918"/>
    </row>
    <row r="6919" spans="14:18" x14ac:dyDescent="0.25">
      <c r="N6919"/>
      <c r="O6919"/>
      <c r="P6919"/>
      <c r="Q6919"/>
      <c r="R6919"/>
    </row>
    <row r="6920" spans="14:18" x14ac:dyDescent="0.25">
      <c r="N6920"/>
      <c r="O6920"/>
      <c r="P6920"/>
      <c r="Q6920"/>
      <c r="R6920"/>
    </row>
    <row r="6921" spans="14:18" x14ac:dyDescent="0.25">
      <c r="N6921"/>
      <c r="O6921"/>
      <c r="P6921"/>
      <c r="Q6921"/>
      <c r="R6921"/>
    </row>
    <row r="6922" spans="14:18" x14ac:dyDescent="0.25">
      <c r="N6922"/>
      <c r="O6922"/>
      <c r="P6922"/>
      <c r="Q6922"/>
      <c r="R6922"/>
    </row>
    <row r="6923" spans="14:18" x14ac:dyDescent="0.25">
      <c r="N6923"/>
      <c r="O6923"/>
      <c r="P6923"/>
      <c r="Q6923"/>
      <c r="R6923"/>
    </row>
    <row r="6924" spans="14:18" x14ac:dyDescent="0.25">
      <c r="N6924"/>
      <c r="O6924"/>
      <c r="P6924"/>
      <c r="Q6924"/>
      <c r="R6924"/>
    </row>
    <row r="6925" spans="14:18" x14ac:dyDescent="0.25">
      <c r="N6925"/>
      <c r="O6925"/>
      <c r="P6925"/>
      <c r="Q6925"/>
      <c r="R6925"/>
    </row>
    <row r="6926" spans="14:18" x14ac:dyDescent="0.25">
      <c r="N6926"/>
      <c r="O6926"/>
      <c r="P6926"/>
      <c r="Q6926"/>
      <c r="R6926"/>
    </row>
    <row r="6927" spans="14:18" x14ac:dyDescent="0.25">
      <c r="N6927"/>
      <c r="O6927"/>
      <c r="P6927"/>
      <c r="Q6927"/>
      <c r="R6927"/>
    </row>
    <row r="6928" spans="14:18" x14ac:dyDescent="0.25">
      <c r="N6928"/>
      <c r="O6928"/>
      <c r="P6928"/>
      <c r="Q6928"/>
      <c r="R6928"/>
    </row>
    <row r="6929" spans="14:18" x14ac:dyDescent="0.25">
      <c r="N6929"/>
      <c r="O6929"/>
      <c r="P6929"/>
      <c r="Q6929"/>
      <c r="R6929"/>
    </row>
    <row r="6930" spans="14:18" x14ac:dyDescent="0.25">
      <c r="N6930"/>
      <c r="O6930"/>
      <c r="P6930"/>
      <c r="Q6930"/>
      <c r="R6930"/>
    </row>
    <row r="6931" spans="14:18" x14ac:dyDescent="0.25">
      <c r="N6931"/>
      <c r="O6931"/>
      <c r="P6931"/>
      <c r="Q6931"/>
      <c r="R6931"/>
    </row>
    <row r="6932" spans="14:18" x14ac:dyDescent="0.25">
      <c r="N6932"/>
      <c r="O6932"/>
      <c r="P6932"/>
      <c r="Q6932"/>
      <c r="R6932"/>
    </row>
    <row r="6933" spans="14:18" x14ac:dyDescent="0.25">
      <c r="N6933"/>
      <c r="O6933"/>
      <c r="P6933"/>
      <c r="Q6933"/>
      <c r="R6933"/>
    </row>
    <row r="6934" spans="14:18" x14ac:dyDescent="0.25">
      <c r="N6934"/>
      <c r="O6934"/>
      <c r="P6934"/>
      <c r="Q6934"/>
      <c r="R6934"/>
    </row>
    <row r="6935" spans="14:18" x14ac:dyDescent="0.25">
      <c r="N6935"/>
      <c r="O6935"/>
      <c r="P6935"/>
      <c r="Q6935"/>
      <c r="R6935"/>
    </row>
    <row r="6936" spans="14:18" x14ac:dyDescent="0.25">
      <c r="N6936"/>
      <c r="O6936"/>
      <c r="P6936"/>
      <c r="Q6936"/>
      <c r="R6936"/>
    </row>
    <row r="6937" spans="14:18" x14ac:dyDescent="0.25">
      <c r="N6937"/>
      <c r="O6937"/>
      <c r="P6937"/>
      <c r="Q6937"/>
      <c r="R6937"/>
    </row>
    <row r="6938" spans="14:18" x14ac:dyDescent="0.25">
      <c r="N6938"/>
      <c r="O6938"/>
      <c r="P6938"/>
      <c r="Q6938"/>
      <c r="R6938"/>
    </row>
    <row r="6939" spans="14:18" x14ac:dyDescent="0.25">
      <c r="N6939"/>
      <c r="O6939"/>
      <c r="P6939"/>
      <c r="Q6939"/>
      <c r="R6939"/>
    </row>
    <row r="6940" spans="14:18" x14ac:dyDescent="0.25">
      <c r="N6940"/>
      <c r="O6940"/>
      <c r="P6940"/>
      <c r="Q6940"/>
      <c r="R6940"/>
    </row>
    <row r="6941" spans="14:18" x14ac:dyDescent="0.25">
      <c r="N6941"/>
      <c r="O6941"/>
      <c r="P6941"/>
      <c r="Q6941"/>
      <c r="R6941"/>
    </row>
    <row r="6942" spans="14:18" x14ac:dyDescent="0.25">
      <c r="N6942"/>
      <c r="O6942"/>
      <c r="P6942"/>
      <c r="Q6942"/>
      <c r="R6942"/>
    </row>
    <row r="6943" spans="14:18" x14ac:dyDescent="0.25">
      <c r="N6943"/>
      <c r="O6943"/>
      <c r="P6943"/>
      <c r="Q6943"/>
      <c r="R6943"/>
    </row>
    <row r="6944" spans="14:18" x14ac:dyDescent="0.25">
      <c r="N6944"/>
      <c r="O6944"/>
      <c r="P6944"/>
      <c r="Q6944"/>
      <c r="R6944"/>
    </row>
    <row r="6945" spans="14:18" x14ac:dyDescent="0.25">
      <c r="N6945"/>
      <c r="O6945"/>
      <c r="P6945"/>
      <c r="Q6945"/>
      <c r="R6945"/>
    </row>
    <row r="6946" spans="14:18" x14ac:dyDescent="0.25">
      <c r="N6946"/>
      <c r="O6946"/>
      <c r="P6946"/>
      <c r="Q6946"/>
      <c r="R6946"/>
    </row>
    <row r="6947" spans="14:18" x14ac:dyDescent="0.25">
      <c r="N6947"/>
      <c r="O6947"/>
      <c r="P6947"/>
      <c r="Q6947"/>
      <c r="R6947"/>
    </row>
    <row r="6948" spans="14:18" x14ac:dyDescent="0.25">
      <c r="N6948"/>
      <c r="O6948"/>
      <c r="P6948"/>
      <c r="Q6948"/>
      <c r="R6948"/>
    </row>
    <row r="6949" spans="14:18" x14ac:dyDescent="0.25">
      <c r="N6949"/>
      <c r="O6949"/>
      <c r="P6949"/>
      <c r="Q6949"/>
      <c r="R6949"/>
    </row>
    <row r="6950" spans="14:18" x14ac:dyDescent="0.25">
      <c r="N6950"/>
      <c r="O6950"/>
      <c r="P6950"/>
      <c r="Q6950"/>
      <c r="R6950"/>
    </row>
    <row r="6951" spans="14:18" x14ac:dyDescent="0.25">
      <c r="N6951"/>
      <c r="O6951"/>
      <c r="P6951"/>
      <c r="Q6951"/>
      <c r="R6951"/>
    </row>
    <row r="6952" spans="14:18" x14ac:dyDescent="0.25">
      <c r="N6952"/>
      <c r="O6952"/>
      <c r="P6952"/>
      <c r="Q6952"/>
      <c r="R6952"/>
    </row>
    <row r="6953" spans="14:18" x14ac:dyDescent="0.25">
      <c r="N6953"/>
      <c r="O6953"/>
      <c r="P6953"/>
      <c r="Q6953"/>
      <c r="R6953"/>
    </row>
    <row r="6954" spans="14:18" x14ac:dyDescent="0.25">
      <c r="N6954"/>
      <c r="O6954"/>
      <c r="P6954"/>
      <c r="Q6954"/>
      <c r="R6954"/>
    </row>
    <row r="6955" spans="14:18" x14ac:dyDescent="0.25">
      <c r="N6955"/>
      <c r="O6955"/>
      <c r="P6955"/>
      <c r="Q6955"/>
      <c r="R6955"/>
    </row>
    <row r="6956" spans="14:18" x14ac:dyDescent="0.25">
      <c r="N6956"/>
      <c r="O6956"/>
      <c r="P6956"/>
      <c r="Q6956"/>
      <c r="R6956"/>
    </row>
    <row r="6957" spans="14:18" x14ac:dyDescent="0.25">
      <c r="N6957"/>
      <c r="O6957"/>
      <c r="P6957"/>
      <c r="Q6957"/>
      <c r="R6957"/>
    </row>
    <row r="6958" spans="14:18" x14ac:dyDescent="0.25">
      <c r="N6958"/>
      <c r="O6958"/>
      <c r="P6958"/>
      <c r="Q6958"/>
      <c r="R6958"/>
    </row>
    <row r="6959" spans="14:18" x14ac:dyDescent="0.25">
      <c r="N6959"/>
      <c r="O6959"/>
      <c r="P6959"/>
      <c r="Q6959"/>
      <c r="R6959"/>
    </row>
    <row r="6960" spans="14:18" x14ac:dyDescent="0.25">
      <c r="N6960"/>
      <c r="O6960"/>
      <c r="P6960"/>
      <c r="Q6960"/>
      <c r="R6960"/>
    </row>
    <row r="6961" spans="14:18" x14ac:dyDescent="0.25">
      <c r="N6961"/>
      <c r="O6961"/>
      <c r="P6961"/>
      <c r="Q6961"/>
      <c r="R6961"/>
    </row>
    <row r="6962" spans="14:18" x14ac:dyDescent="0.25">
      <c r="N6962"/>
      <c r="O6962"/>
      <c r="P6962"/>
      <c r="Q6962"/>
      <c r="R6962"/>
    </row>
    <row r="6963" spans="14:18" x14ac:dyDescent="0.25">
      <c r="N6963"/>
      <c r="O6963"/>
      <c r="P6963"/>
      <c r="Q6963"/>
      <c r="R6963"/>
    </row>
    <row r="6964" spans="14:18" x14ac:dyDescent="0.25">
      <c r="N6964"/>
      <c r="O6964"/>
      <c r="P6964"/>
      <c r="Q6964"/>
      <c r="R6964"/>
    </row>
    <row r="6965" spans="14:18" x14ac:dyDescent="0.25">
      <c r="N6965"/>
      <c r="O6965"/>
      <c r="P6965"/>
      <c r="Q6965"/>
      <c r="R6965"/>
    </row>
    <row r="6966" spans="14:18" x14ac:dyDescent="0.25">
      <c r="N6966"/>
      <c r="O6966"/>
      <c r="P6966"/>
      <c r="Q6966"/>
      <c r="R6966"/>
    </row>
    <row r="6967" spans="14:18" x14ac:dyDescent="0.25">
      <c r="N6967"/>
      <c r="O6967"/>
      <c r="P6967"/>
      <c r="Q6967"/>
      <c r="R6967"/>
    </row>
    <row r="6968" spans="14:18" x14ac:dyDescent="0.25">
      <c r="N6968"/>
      <c r="O6968"/>
      <c r="P6968"/>
      <c r="Q6968"/>
      <c r="R6968"/>
    </row>
    <row r="6969" spans="14:18" x14ac:dyDescent="0.25">
      <c r="N6969"/>
      <c r="O6969"/>
      <c r="P6969"/>
      <c r="Q6969"/>
      <c r="R6969"/>
    </row>
    <row r="6970" spans="14:18" x14ac:dyDescent="0.25">
      <c r="N6970"/>
      <c r="O6970"/>
      <c r="P6970"/>
      <c r="Q6970"/>
      <c r="R6970"/>
    </row>
    <row r="6971" spans="14:18" x14ac:dyDescent="0.25">
      <c r="N6971"/>
      <c r="O6971"/>
      <c r="P6971"/>
      <c r="Q6971"/>
      <c r="R6971"/>
    </row>
    <row r="6972" spans="14:18" x14ac:dyDescent="0.25">
      <c r="N6972"/>
      <c r="O6972"/>
      <c r="P6972"/>
      <c r="Q6972"/>
      <c r="R6972"/>
    </row>
    <row r="6973" spans="14:18" x14ac:dyDescent="0.25">
      <c r="N6973"/>
      <c r="O6973"/>
      <c r="P6973"/>
      <c r="Q6973"/>
      <c r="R6973"/>
    </row>
    <row r="6974" spans="14:18" x14ac:dyDescent="0.25">
      <c r="N6974"/>
      <c r="O6974"/>
      <c r="P6974"/>
      <c r="Q6974"/>
      <c r="R6974"/>
    </row>
    <row r="6975" spans="14:18" x14ac:dyDescent="0.25">
      <c r="N6975"/>
      <c r="O6975"/>
      <c r="P6975"/>
      <c r="Q6975"/>
      <c r="R6975"/>
    </row>
    <row r="6976" spans="14:18" x14ac:dyDescent="0.25">
      <c r="N6976"/>
      <c r="O6976"/>
      <c r="P6976"/>
      <c r="Q6976"/>
      <c r="R6976"/>
    </row>
    <row r="6977" spans="14:18" x14ac:dyDescent="0.25">
      <c r="N6977"/>
      <c r="O6977"/>
      <c r="P6977"/>
      <c r="Q6977"/>
      <c r="R6977"/>
    </row>
    <row r="6978" spans="14:18" x14ac:dyDescent="0.25">
      <c r="N6978"/>
      <c r="O6978"/>
      <c r="P6978"/>
      <c r="Q6978"/>
      <c r="R6978"/>
    </row>
    <row r="6979" spans="14:18" x14ac:dyDescent="0.25">
      <c r="N6979"/>
      <c r="O6979"/>
      <c r="P6979"/>
      <c r="Q6979"/>
      <c r="R6979"/>
    </row>
    <row r="6980" spans="14:18" x14ac:dyDescent="0.25">
      <c r="N6980"/>
      <c r="O6980"/>
      <c r="P6980"/>
      <c r="Q6980"/>
      <c r="R6980"/>
    </row>
    <row r="6981" spans="14:18" x14ac:dyDescent="0.25">
      <c r="N6981"/>
      <c r="O6981"/>
      <c r="P6981"/>
      <c r="Q6981"/>
      <c r="R6981"/>
    </row>
    <row r="6982" spans="14:18" x14ac:dyDescent="0.25">
      <c r="N6982"/>
      <c r="O6982"/>
      <c r="P6982"/>
      <c r="Q6982"/>
      <c r="R6982"/>
    </row>
    <row r="6983" spans="14:18" x14ac:dyDescent="0.25">
      <c r="N6983"/>
      <c r="O6983"/>
      <c r="P6983"/>
      <c r="Q6983"/>
      <c r="R6983"/>
    </row>
    <row r="6984" spans="14:18" x14ac:dyDescent="0.25">
      <c r="N6984"/>
      <c r="O6984"/>
      <c r="P6984"/>
      <c r="Q6984"/>
      <c r="R6984"/>
    </row>
    <row r="6985" spans="14:18" x14ac:dyDescent="0.25">
      <c r="N6985"/>
      <c r="O6985"/>
      <c r="P6985"/>
      <c r="Q6985"/>
      <c r="R6985"/>
    </row>
    <row r="6986" spans="14:18" x14ac:dyDescent="0.25">
      <c r="N6986"/>
      <c r="O6986"/>
      <c r="P6986"/>
      <c r="Q6986"/>
      <c r="R6986"/>
    </row>
    <row r="6987" spans="14:18" x14ac:dyDescent="0.25">
      <c r="N6987"/>
      <c r="O6987"/>
      <c r="P6987"/>
      <c r="Q6987"/>
      <c r="R6987"/>
    </row>
    <row r="6988" spans="14:18" x14ac:dyDescent="0.25">
      <c r="N6988"/>
      <c r="O6988"/>
      <c r="P6988"/>
      <c r="Q6988"/>
      <c r="R6988"/>
    </row>
    <row r="6989" spans="14:18" x14ac:dyDescent="0.25">
      <c r="N6989"/>
      <c r="O6989"/>
      <c r="P6989"/>
      <c r="Q6989"/>
      <c r="R6989"/>
    </row>
    <row r="6990" spans="14:18" x14ac:dyDescent="0.25">
      <c r="N6990"/>
      <c r="O6990"/>
      <c r="P6990"/>
      <c r="Q6990"/>
      <c r="R6990"/>
    </row>
    <row r="6991" spans="14:18" x14ac:dyDescent="0.25">
      <c r="N6991"/>
      <c r="O6991"/>
      <c r="P6991"/>
      <c r="Q6991"/>
      <c r="R6991"/>
    </row>
    <row r="6992" spans="14:18" x14ac:dyDescent="0.25">
      <c r="N6992"/>
      <c r="O6992"/>
      <c r="P6992"/>
      <c r="Q6992"/>
      <c r="R6992"/>
    </row>
    <row r="6993" spans="14:18" x14ac:dyDescent="0.25">
      <c r="N6993"/>
      <c r="O6993"/>
      <c r="P6993"/>
      <c r="Q6993"/>
      <c r="R6993"/>
    </row>
    <row r="6994" spans="14:18" x14ac:dyDescent="0.25">
      <c r="N6994"/>
      <c r="O6994"/>
      <c r="P6994"/>
      <c r="Q6994"/>
      <c r="R6994"/>
    </row>
    <row r="6995" spans="14:18" x14ac:dyDescent="0.25">
      <c r="N6995"/>
      <c r="O6995"/>
      <c r="P6995"/>
      <c r="Q6995"/>
      <c r="R6995"/>
    </row>
    <row r="6996" spans="14:18" x14ac:dyDescent="0.25">
      <c r="N6996"/>
      <c r="O6996"/>
      <c r="P6996"/>
      <c r="Q6996"/>
      <c r="R6996"/>
    </row>
    <row r="6997" spans="14:18" x14ac:dyDescent="0.25">
      <c r="N6997"/>
      <c r="O6997"/>
      <c r="P6997"/>
      <c r="Q6997"/>
      <c r="R6997"/>
    </row>
    <row r="6998" spans="14:18" x14ac:dyDescent="0.25">
      <c r="N6998"/>
      <c r="O6998"/>
      <c r="P6998"/>
      <c r="Q6998"/>
      <c r="R6998"/>
    </row>
    <row r="6999" spans="14:18" x14ac:dyDescent="0.25">
      <c r="N6999"/>
      <c r="O6999"/>
      <c r="P6999"/>
      <c r="Q6999"/>
      <c r="R6999"/>
    </row>
    <row r="7000" spans="14:18" x14ac:dyDescent="0.25">
      <c r="N7000"/>
      <c r="O7000"/>
      <c r="P7000"/>
      <c r="Q7000"/>
      <c r="R7000"/>
    </row>
    <row r="7001" spans="14:18" x14ac:dyDescent="0.25">
      <c r="N7001"/>
      <c r="O7001"/>
      <c r="P7001"/>
      <c r="Q7001"/>
      <c r="R7001"/>
    </row>
    <row r="7002" spans="14:18" x14ac:dyDescent="0.25">
      <c r="N7002"/>
      <c r="O7002"/>
      <c r="P7002"/>
      <c r="Q7002"/>
      <c r="R7002"/>
    </row>
    <row r="7003" spans="14:18" x14ac:dyDescent="0.25">
      <c r="N7003"/>
      <c r="O7003"/>
      <c r="P7003"/>
      <c r="Q7003"/>
      <c r="R7003"/>
    </row>
    <row r="7004" spans="14:18" x14ac:dyDescent="0.25">
      <c r="N7004"/>
      <c r="O7004"/>
      <c r="P7004"/>
      <c r="Q7004"/>
      <c r="R7004"/>
    </row>
    <row r="7005" spans="14:18" x14ac:dyDescent="0.25">
      <c r="N7005"/>
      <c r="O7005"/>
      <c r="P7005"/>
      <c r="Q7005"/>
      <c r="R7005"/>
    </row>
    <row r="7006" spans="14:18" x14ac:dyDescent="0.25">
      <c r="N7006"/>
      <c r="O7006"/>
      <c r="P7006"/>
      <c r="Q7006"/>
      <c r="R7006"/>
    </row>
    <row r="7007" spans="14:18" x14ac:dyDescent="0.25">
      <c r="N7007"/>
      <c r="O7007"/>
      <c r="P7007"/>
      <c r="Q7007"/>
      <c r="R7007"/>
    </row>
    <row r="7008" spans="14:18" x14ac:dyDescent="0.25">
      <c r="N7008"/>
      <c r="O7008"/>
      <c r="P7008"/>
      <c r="Q7008"/>
      <c r="R7008"/>
    </row>
    <row r="7009" spans="14:18" x14ac:dyDescent="0.25">
      <c r="N7009"/>
      <c r="O7009"/>
      <c r="P7009"/>
      <c r="Q7009"/>
      <c r="R7009"/>
    </row>
    <row r="7010" spans="14:18" x14ac:dyDescent="0.25">
      <c r="N7010"/>
      <c r="O7010"/>
      <c r="P7010"/>
      <c r="Q7010"/>
      <c r="R7010"/>
    </row>
    <row r="7011" spans="14:18" x14ac:dyDescent="0.25">
      <c r="N7011"/>
      <c r="O7011"/>
      <c r="P7011"/>
      <c r="Q7011"/>
      <c r="R7011"/>
    </row>
    <row r="7012" spans="14:18" x14ac:dyDescent="0.25">
      <c r="N7012"/>
      <c r="O7012"/>
      <c r="P7012"/>
      <c r="Q7012"/>
      <c r="R7012"/>
    </row>
    <row r="7013" spans="14:18" x14ac:dyDescent="0.25">
      <c r="N7013"/>
      <c r="O7013"/>
      <c r="P7013"/>
      <c r="Q7013"/>
      <c r="R7013"/>
    </row>
    <row r="7014" spans="14:18" x14ac:dyDescent="0.25">
      <c r="N7014"/>
      <c r="O7014"/>
      <c r="P7014"/>
      <c r="Q7014"/>
      <c r="R7014"/>
    </row>
    <row r="7015" spans="14:18" x14ac:dyDescent="0.25">
      <c r="N7015"/>
      <c r="O7015"/>
      <c r="P7015"/>
      <c r="Q7015"/>
      <c r="R7015"/>
    </row>
    <row r="7016" spans="14:18" x14ac:dyDescent="0.25">
      <c r="N7016"/>
      <c r="O7016"/>
      <c r="P7016"/>
      <c r="Q7016"/>
      <c r="R7016"/>
    </row>
    <row r="7017" spans="14:18" x14ac:dyDescent="0.25">
      <c r="N7017"/>
      <c r="O7017"/>
      <c r="P7017"/>
      <c r="Q7017"/>
      <c r="R7017"/>
    </row>
    <row r="7018" spans="14:18" x14ac:dyDescent="0.25">
      <c r="N7018"/>
      <c r="O7018"/>
      <c r="P7018"/>
      <c r="Q7018"/>
      <c r="R7018"/>
    </row>
    <row r="7019" spans="14:18" x14ac:dyDescent="0.25">
      <c r="N7019"/>
      <c r="O7019"/>
      <c r="P7019"/>
      <c r="Q7019"/>
      <c r="R7019"/>
    </row>
    <row r="7020" spans="14:18" x14ac:dyDescent="0.25">
      <c r="N7020"/>
      <c r="O7020"/>
      <c r="P7020"/>
      <c r="Q7020"/>
      <c r="R7020"/>
    </row>
    <row r="7021" spans="14:18" x14ac:dyDescent="0.25">
      <c r="N7021"/>
      <c r="O7021"/>
      <c r="P7021"/>
      <c r="Q7021"/>
      <c r="R7021"/>
    </row>
    <row r="7022" spans="14:18" x14ac:dyDescent="0.25">
      <c r="N7022"/>
      <c r="O7022"/>
      <c r="P7022"/>
      <c r="Q7022"/>
      <c r="R7022"/>
    </row>
    <row r="7023" spans="14:18" x14ac:dyDescent="0.25">
      <c r="N7023"/>
      <c r="O7023"/>
      <c r="P7023"/>
      <c r="Q7023"/>
      <c r="R7023"/>
    </row>
    <row r="7024" spans="14:18" x14ac:dyDescent="0.25">
      <c r="N7024"/>
      <c r="O7024"/>
      <c r="P7024"/>
      <c r="Q7024"/>
      <c r="R7024"/>
    </row>
    <row r="7025" spans="14:18" x14ac:dyDescent="0.25">
      <c r="N7025"/>
      <c r="O7025"/>
      <c r="P7025"/>
      <c r="Q7025"/>
      <c r="R7025"/>
    </row>
    <row r="7026" spans="14:18" x14ac:dyDescent="0.25">
      <c r="N7026"/>
      <c r="O7026"/>
      <c r="P7026"/>
      <c r="Q7026"/>
      <c r="R7026"/>
    </row>
    <row r="7027" spans="14:18" x14ac:dyDescent="0.25">
      <c r="N7027"/>
      <c r="O7027"/>
      <c r="P7027"/>
      <c r="Q7027"/>
      <c r="R7027"/>
    </row>
    <row r="7028" spans="14:18" x14ac:dyDescent="0.25">
      <c r="N7028"/>
      <c r="O7028"/>
      <c r="P7028"/>
      <c r="Q7028"/>
      <c r="R7028"/>
    </row>
    <row r="7029" spans="14:18" x14ac:dyDescent="0.25">
      <c r="N7029"/>
      <c r="O7029"/>
      <c r="P7029"/>
      <c r="Q7029"/>
      <c r="R7029"/>
    </row>
    <row r="7030" spans="14:18" x14ac:dyDescent="0.25">
      <c r="N7030"/>
      <c r="O7030"/>
      <c r="P7030"/>
      <c r="Q7030"/>
      <c r="R7030"/>
    </row>
    <row r="7031" spans="14:18" x14ac:dyDescent="0.25">
      <c r="N7031"/>
      <c r="O7031"/>
      <c r="P7031"/>
      <c r="Q7031"/>
      <c r="R7031"/>
    </row>
    <row r="7032" spans="14:18" x14ac:dyDescent="0.25">
      <c r="N7032"/>
      <c r="O7032"/>
      <c r="P7032"/>
      <c r="Q7032"/>
      <c r="R7032"/>
    </row>
    <row r="7033" spans="14:18" x14ac:dyDescent="0.25">
      <c r="N7033"/>
      <c r="O7033"/>
      <c r="P7033"/>
      <c r="Q7033"/>
      <c r="R7033"/>
    </row>
    <row r="7034" spans="14:18" x14ac:dyDescent="0.25">
      <c r="N7034"/>
      <c r="O7034"/>
      <c r="P7034"/>
      <c r="Q7034"/>
      <c r="R7034"/>
    </row>
    <row r="7035" spans="14:18" x14ac:dyDescent="0.25">
      <c r="N7035"/>
      <c r="O7035"/>
      <c r="P7035"/>
      <c r="Q7035"/>
      <c r="R7035"/>
    </row>
    <row r="7036" spans="14:18" x14ac:dyDescent="0.25">
      <c r="N7036"/>
      <c r="O7036"/>
      <c r="P7036"/>
      <c r="Q7036"/>
      <c r="R7036"/>
    </row>
    <row r="7037" spans="14:18" x14ac:dyDescent="0.25">
      <c r="N7037"/>
      <c r="O7037"/>
      <c r="P7037"/>
      <c r="Q7037"/>
      <c r="R7037"/>
    </row>
    <row r="7038" spans="14:18" x14ac:dyDescent="0.25">
      <c r="N7038"/>
      <c r="O7038"/>
      <c r="P7038"/>
      <c r="Q7038"/>
      <c r="R7038"/>
    </row>
    <row r="7039" spans="14:18" x14ac:dyDescent="0.25">
      <c r="N7039"/>
      <c r="O7039"/>
      <c r="P7039"/>
      <c r="Q7039"/>
      <c r="R7039"/>
    </row>
    <row r="7040" spans="14:18" x14ac:dyDescent="0.25">
      <c r="N7040"/>
      <c r="O7040"/>
      <c r="P7040"/>
      <c r="Q7040"/>
      <c r="R7040"/>
    </row>
    <row r="7041" spans="14:18" x14ac:dyDescent="0.25">
      <c r="N7041"/>
      <c r="O7041"/>
      <c r="P7041"/>
      <c r="Q7041"/>
      <c r="R7041"/>
    </row>
    <row r="7042" spans="14:18" x14ac:dyDescent="0.25">
      <c r="N7042"/>
      <c r="O7042"/>
      <c r="P7042"/>
      <c r="Q7042"/>
      <c r="R7042"/>
    </row>
    <row r="7043" spans="14:18" x14ac:dyDescent="0.25">
      <c r="N7043"/>
      <c r="O7043"/>
      <c r="P7043"/>
      <c r="Q7043"/>
      <c r="R7043"/>
    </row>
    <row r="7044" spans="14:18" x14ac:dyDescent="0.25">
      <c r="N7044"/>
      <c r="O7044"/>
      <c r="P7044"/>
      <c r="Q7044"/>
      <c r="R7044"/>
    </row>
    <row r="7045" spans="14:18" x14ac:dyDescent="0.25">
      <c r="N7045"/>
      <c r="O7045"/>
      <c r="P7045"/>
      <c r="Q7045"/>
      <c r="R7045"/>
    </row>
    <row r="7046" spans="14:18" x14ac:dyDescent="0.25">
      <c r="N7046"/>
      <c r="O7046"/>
      <c r="P7046"/>
      <c r="Q7046"/>
      <c r="R7046"/>
    </row>
    <row r="7047" spans="14:18" x14ac:dyDescent="0.25">
      <c r="N7047"/>
      <c r="O7047"/>
      <c r="P7047"/>
      <c r="Q7047"/>
      <c r="R7047"/>
    </row>
    <row r="7048" spans="14:18" x14ac:dyDescent="0.25">
      <c r="N7048"/>
      <c r="O7048"/>
      <c r="P7048"/>
      <c r="Q7048"/>
      <c r="R7048"/>
    </row>
    <row r="7049" spans="14:18" x14ac:dyDescent="0.25">
      <c r="N7049"/>
      <c r="O7049"/>
      <c r="P7049"/>
      <c r="Q7049"/>
      <c r="R7049"/>
    </row>
    <row r="7050" spans="14:18" x14ac:dyDescent="0.25">
      <c r="N7050"/>
      <c r="O7050"/>
      <c r="P7050"/>
      <c r="Q7050"/>
      <c r="R7050"/>
    </row>
    <row r="7051" spans="14:18" x14ac:dyDescent="0.25">
      <c r="N7051"/>
      <c r="O7051"/>
      <c r="P7051"/>
      <c r="Q7051"/>
      <c r="R7051"/>
    </row>
    <row r="7052" spans="14:18" x14ac:dyDescent="0.25">
      <c r="N7052"/>
      <c r="O7052"/>
      <c r="P7052"/>
      <c r="Q7052"/>
      <c r="R7052"/>
    </row>
    <row r="7053" spans="14:18" x14ac:dyDescent="0.25">
      <c r="N7053"/>
      <c r="O7053"/>
      <c r="P7053"/>
      <c r="Q7053"/>
      <c r="R7053"/>
    </row>
    <row r="7054" spans="14:18" x14ac:dyDescent="0.25">
      <c r="N7054"/>
      <c r="O7054"/>
      <c r="P7054"/>
      <c r="Q7054"/>
      <c r="R7054"/>
    </row>
    <row r="7055" spans="14:18" x14ac:dyDescent="0.25">
      <c r="N7055"/>
      <c r="O7055"/>
      <c r="P7055"/>
      <c r="Q7055"/>
      <c r="R7055"/>
    </row>
    <row r="7056" spans="14:18" x14ac:dyDescent="0.25">
      <c r="N7056"/>
      <c r="O7056"/>
      <c r="P7056"/>
      <c r="Q7056"/>
      <c r="R7056"/>
    </row>
    <row r="7057" spans="14:18" x14ac:dyDescent="0.25">
      <c r="N7057"/>
      <c r="O7057"/>
      <c r="P7057"/>
      <c r="Q7057"/>
      <c r="R7057"/>
    </row>
    <row r="7058" spans="14:18" x14ac:dyDescent="0.25">
      <c r="N7058"/>
      <c r="O7058"/>
      <c r="P7058"/>
      <c r="Q7058"/>
      <c r="R7058"/>
    </row>
    <row r="7059" spans="14:18" x14ac:dyDescent="0.25">
      <c r="N7059"/>
      <c r="O7059"/>
      <c r="P7059"/>
      <c r="Q7059"/>
      <c r="R7059"/>
    </row>
    <row r="7060" spans="14:18" x14ac:dyDescent="0.25">
      <c r="N7060"/>
      <c r="O7060"/>
      <c r="P7060"/>
      <c r="Q7060"/>
      <c r="R7060"/>
    </row>
    <row r="7061" spans="14:18" x14ac:dyDescent="0.25">
      <c r="N7061"/>
      <c r="O7061"/>
      <c r="P7061"/>
      <c r="Q7061"/>
      <c r="R7061"/>
    </row>
    <row r="7062" spans="14:18" x14ac:dyDescent="0.25">
      <c r="N7062"/>
      <c r="O7062"/>
      <c r="P7062"/>
      <c r="Q7062"/>
      <c r="R7062"/>
    </row>
    <row r="7063" spans="14:18" x14ac:dyDescent="0.25">
      <c r="N7063"/>
      <c r="O7063"/>
      <c r="P7063"/>
      <c r="Q7063"/>
      <c r="R7063"/>
    </row>
    <row r="7064" spans="14:18" x14ac:dyDescent="0.25">
      <c r="N7064"/>
      <c r="O7064"/>
      <c r="P7064"/>
      <c r="Q7064"/>
      <c r="R7064"/>
    </row>
    <row r="7065" spans="14:18" x14ac:dyDescent="0.25">
      <c r="N7065"/>
      <c r="O7065"/>
      <c r="P7065"/>
      <c r="Q7065"/>
      <c r="R7065"/>
    </row>
    <row r="7066" spans="14:18" x14ac:dyDescent="0.25">
      <c r="N7066"/>
      <c r="O7066"/>
      <c r="P7066"/>
      <c r="Q7066"/>
      <c r="R7066"/>
    </row>
    <row r="7067" spans="14:18" x14ac:dyDescent="0.25">
      <c r="N7067"/>
      <c r="O7067"/>
      <c r="P7067"/>
      <c r="Q7067"/>
      <c r="R7067"/>
    </row>
    <row r="7068" spans="14:18" x14ac:dyDescent="0.25">
      <c r="N7068"/>
      <c r="O7068"/>
      <c r="P7068"/>
      <c r="Q7068"/>
      <c r="R7068"/>
    </row>
    <row r="7069" spans="14:18" x14ac:dyDescent="0.25">
      <c r="N7069"/>
      <c r="O7069"/>
      <c r="P7069"/>
      <c r="Q7069"/>
      <c r="R7069"/>
    </row>
    <row r="7070" spans="14:18" x14ac:dyDescent="0.25">
      <c r="N7070"/>
      <c r="O7070"/>
      <c r="P7070"/>
      <c r="Q7070"/>
      <c r="R7070"/>
    </row>
    <row r="7071" spans="14:18" x14ac:dyDescent="0.25">
      <c r="N7071"/>
      <c r="O7071"/>
      <c r="P7071"/>
      <c r="Q7071"/>
      <c r="R7071"/>
    </row>
    <row r="7072" spans="14:18" x14ac:dyDescent="0.25">
      <c r="N7072"/>
      <c r="O7072"/>
      <c r="P7072"/>
      <c r="Q7072"/>
      <c r="R7072"/>
    </row>
    <row r="7073" spans="14:18" x14ac:dyDescent="0.25">
      <c r="N7073"/>
      <c r="O7073"/>
      <c r="P7073"/>
      <c r="Q7073"/>
      <c r="R7073"/>
    </row>
    <row r="7074" spans="14:18" x14ac:dyDescent="0.25">
      <c r="N7074"/>
      <c r="O7074"/>
      <c r="P7074"/>
      <c r="Q7074"/>
      <c r="R7074"/>
    </row>
    <row r="7075" spans="14:18" x14ac:dyDescent="0.25">
      <c r="N7075"/>
      <c r="O7075"/>
      <c r="P7075"/>
      <c r="Q7075"/>
      <c r="R7075"/>
    </row>
    <row r="7076" spans="14:18" x14ac:dyDescent="0.25">
      <c r="N7076"/>
      <c r="O7076"/>
      <c r="P7076"/>
      <c r="Q7076"/>
      <c r="R7076"/>
    </row>
    <row r="7077" spans="14:18" x14ac:dyDescent="0.25">
      <c r="N7077"/>
      <c r="O7077"/>
      <c r="P7077"/>
      <c r="Q7077"/>
      <c r="R7077"/>
    </row>
    <row r="7078" spans="14:18" x14ac:dyDescent="0.25">
      <c r="N7078"/>
      <c r="O7078"/>
      <c r="P7078"/>
      <c r="Q7078"/>
      <c r="R7078"/>
    </row>
    <row r="7079" spans="14:18" x14ac:dyDescent="0.25">
      <c r="N7079"/>
      <c r="O7079"/>
      <c r="P7079"/>
      <c r="Q7079"/>
      <c r="R7079"/>
    </row>
    <row r="7080" spans="14:18" x14ac:dyDescent="0.25">
      <c r="N7080"/>
      <c r="O7080"/>
      <c r="P7080"/>
      <c r="Q7080"/>
      <c r="R7080"/>
    </row>
    <row r="7081" spans="14:18" x14ac:dyDescent="0.25">
      <c r="N7081"/>
      <c r="O7081"/>
      <c r="P7081"/>
      <c r="Q7081"/>
      <c r="R7081"/>
    </row>
    <row r="7082" spans="14:18" x14ac:dyDescent="0.25">
      <c r="N7082"/>
      <c r="O7082"/>
      <c r="P7082"/>
      <c r="Q7082"/>
      <c r="R7082"/>
    </row>
    <row r="7083" spans="14:18" x14ac:dyDescent="0.25">
      <c r="N7083"/>
      <c r="O7083"/>
      <c r="P7083"/>
      <c r="Q7083"/>
      <c r="R7083"/>
    </row>
    <row r="7084" spans="14:18" x14ac:dyDescent="0.25">
      <c r="N7084"/>
      <c r="O7084"/>
      <c r="P7084"/>
      <c r="Q7084"/>
      <c r="R7084"/>
    </row>
    <row r="7085" spans="14:18" x14ac:dyDescent="0.25">
      <c r="N7085"/>
      <c r="O7085"/>
      <c r="P7085"/>
      <c r="Q7085"/>
      <c r="R7085"/>
    </row>
    <row r="7086" spans="14:18" x14ac:dyDescent="0.25">
      <c r="N7086"/>
      <c r="O7086"/>
      <c r="P7086"/>
      <c r="Q7086"/>
      <c r="R7086"/>
    </row>
    <row r="7087" spans="14:18" x14ac:dyDescent="0.25">
      <c r="N7087"/>
      <c r="O7087"/>
      <c r="P7087"/>
      <c r="Q7087"/>
      <c r="R7087"/>
    </row>
    <row r="7088" spans="14:18" x14ac:dyDescent="0.25">
      <c r="N7088"/>
      <c r="O7088"/>
      <c r="P7088"/>
      <c r="Q7088"/>
      <c r="R7088"/>
    </row>
    <row r="7089" spans="14:18" x14ac:dyDescent="0.25">
      <c r="N7089"/>
      <c r="O7089"/>
      <c r="P7089"/>
      <c r="Q7089"/>
      <c r="R7089"/>
    </row>
    <row r="7090" spans="14:18" x14ac:dyDescent="0.25">
      <c r="N7090"/>
      <c r="O7090"/>
      <c r="P7090"/>
      <c r="Q7090"/>
      <c r="R7090"/>
    </row>
    <row r="7091" spans="14:18" x14ac:dyDescent="0.25">
      <c r="N7091"/>
      <c r="O7091"/>
      <c r="P7091"/>
      <c r="Q7091"/>
      <c r="R7091"/>
    </row>
    <row r="7092" spans="14:18" x14ac:dyDescent="0.25">
      <c r="N7092"/>
      <c r="O7092"/>
      <c r="P7092"/>
      <c r="Q7092"/>
      <c r="R7092"/>
    </row>
    <row r="7093" spans="14:18" x14ac:dyDescent="0.25">
      <c r="N7093"/>
      <c r="O7093"/>
      <c r="P7093"/>
      <c r="Q7093"/>
      <c r="R7093"/>
    </row>
    <row r="7094" spans="14:18" x14ac:dyDescent="0.25">
      <c r="N7094"/>
      <c r="O7094"/>
      <c r="P7094"/>
      <c r="Q7094"/>
      <c r="R7094"/>
    </row>
    <row r="7095" spans="14:18" x14ac:dyDescent="0.25">
      <c r="N7095"/>
      <c r="O7095"/>
      <c r="P7095"/>
      <c r="Q7095"/>
      <c r="R7095"/>
    </row>
    <row r="7096" spans="14:18" x14ac:dyDescent="0.25">
      <c r="N7096"/>
      <c r="O7096"/>
      <c r="P7096"/>
      <c r="Q7096"/>
      <c r="R7096"/>
    </row>
    <row r="7097" spans="14:18" x14ac:dyDescent="0.25">
      <c r="N7097"/>
      <c r="O7097"/>
      <c r="P7097"/>
      <c r="Q7097"/>
      <c r="R7097"/>
    </row>
    <row r="7098" spans="14:18" x14ac:dyDescent="0.25">
      <c r="N7098"/>
      <c r="O7098"/>
      <c r="P7098"/>
      <c r="Q7098"/>
      <c r="R7098"/>
    </row>
    <row r="7099" spans="14:18" x14ac:dyDescent="0.25">
      <c r="N7099"/>
      <c r="O7099"/>
      <c r="P7099"/>
      <c r="Q7099"/>
      <c r="R7099"/>
    </row>
    <row r="7100" spans="14:18" x14ac:dyDescent="0.25">
      <c r="N7100"/>
      <c r="O7100"/>
      <c r="P7100"/>
      <c r="Q7100"/>
      <c r="R7100"/>
    </row>
    <row r="7101" spans="14:18" x14ac:dyDescent="0.25">
      <c r="N7101"/>
      <c r="O7101"/>
      <c r="P7101"/>
      <c r="Q7101"/>
      <c r="R7101"/>
    </row>
    <row r="7102" spans="14:18" x14ac:dyDescent="0.25">
      <c r="N7102"/>
      <c r="O7102"/>
      <c r="P7102"/>
      <c r="Q7102"/>
      <c r="R7102"/>
    </row>
    <row r="7103" spans="14:18" x14ac:dyDescent="0.25">
      <c r="N7103"/>
      <c r="O7103"/>
      <c r="P7103"/>
      <c r="Q7103"/>
      <c r="R7103"/>
    </row>
    <row r="7104" spans="14:18" x14ac:dyDescent="0.25">
      <c r="N7104"/>
      <c r="O7104"/>
      <c r="P7104"/>
      <c r="Q7104"/>
      <c r="R7104"/>
    </row>
    <row r="7105" spans="14:18" x14ac:dyDescent="0.25">
      <c r="N7105"/>
      <c r="O7105"/>
      <c r="P7105"/>
      <c r="Q7105"/>
      <c r="R7105"/>
    </row>
    <row r="7106" spans="14:18" x14ac:dyDescent="0.25">
      <c r="N7106"/>
      <c r="O7106"/>
      <c r="P7106"/>
      <c r="Q7106"/>
      <c r="R7106"/>
    </row>
    <row r="7107" spans="14:18" x14ac:dyDescent="0.25">
      <c r="N7107"/>
      <c r="O7107"/>
      <c r="P7107"/>
      <c r="Q7107"/>
      <c r="R7107"/>
    </row>
    <row r="7108" spans="14:18" x14ac:dyDescent="0.25">
      <c r="N7108"/>
      <c r="O7108"/>
      <c r="P7108"/>
      <c r="Q7108"/>
      <c r="R7108"/>
    </row>
    <row r="7109" spans="14:18" x14ac:dyDescent="0.25">
      <c r="N7109"/>
      <c r="O7109"/>
      <c r="P7109"/>
      <c r="Q7109"/>
      <c r="R7109"/>
    </row>
    <row r="7110" spans="14:18" x14ac:dyDescent="0.25">
      <c r="N7110"/>
      <c r="O7110"/>
      <c r="P7110"/>
      <c r="Q7110"/>
      <c r="R7110"/>
    </row>
    <row r="7111" spans="14:18" x14ac:dyDescent="0.25">
      <c r="N7111"/>
      <c r="O7111"/>
      <c r="P7111"/>
      <c r="Q7111"/>
      <c r="R7111"/>
    </row>
    <row r="7112" spans="14:18" x14ac:dyDescent="0.25">
      <c r="N7112"/>
      <c r="O7112"/>
      <c r="P7112"/>
      <c r="Q7112"/>
      <c r="R7112"/>
    </row>
    <row r="7113" spans="14:18" x14ac:dyDescent="0.25">
      <c r="N7113"/>
      <c r="O7113"/>
      <c r="P7113"/>
      <c r="Q7113"/>
      <c r="R7113"/>
    </row>
    <row r="7114" spans="14:18" x14ac:dyDescent="0.25">
      <c r="N7114"/>
      <c r="O7114"/>
      <c r="P7114"/>
      <c r="Q7114"/>
      <c r="R7114"/>
    </row>
    <row r="7115" spans="14:18" x14ac:dyDescent="0.25">
      <c r="N7115"/>
      <c r="O7115"/>
      <c r="P7115"/>
      <c r="Q7115"/>
      <c r="R7115"/>
    </row>
    <row r="7116" spans="14:18" x14ac:dyDescent="0.25">
      <c r="N7116"/>
      <c r="O7116"/>
      <c r="P7116"/>
      <c r="Q7116"/>
      <c r="R7116"/>
    </row>
    <row r="7117" spans="14:18" x14ac:dyDescent="0.25">
      <c r="N7117"/>
      <c r="O7117"/>
      <c r="P7117"/>
      <c r="Q7117"/>
      <c r="R7117"/>
    </row>
    <row r="7118" spans="14:18" x14ac:dyDescent="0.25">
      <c r="N7118"/>
      <c r="O7118"/>
      <c r="P7118"/>
      <c r="Q7118"/>
      <c r="R7118"/>
    </row>
    <row r="7119" spans="14:18" x14ac:dyDescent="0.25">
      <c r="N7119"/>
      <c r="O7119"/>
      <c r="P7119"/>
      <c r="Q7119"/>
      <c r="R7119"/>
    </row>
    <row r="7120" spans="14:18" x14ac:dyDescent="0.25">
      <c r="N7120"/>
      <c r="O7120"/>
      <c r="P7120"/>
      <c r="Q7120"/>
      <c r="R7120"/>
    </row>
    <row r="7121" spans="14:18" x14ac:dyDescent="0.25">
      <c r="N7121"/>
      <c r="O7121"/>
      <c r="P7121"/>
      <c r="Q7121"/>
      <c r="R7121"/>
    </row>
    <row r="7122" spans="14:18" x14ac:dyDescent="0.25">
      <c r="N7122"/>
      <c r="O7122"/>
      <c r="P7122"/>
      <c r="Q7122"/>
      <c r="R7122"/>
    </row>
    <row r="7123" spans="14:18" x14ac:dyDescent="0.25">
      <c r="N7123"/>
      <c r="O7123"/>
      <c r="P7123"/>
      <c r="Q7123"/>
      <c r="R7123"/>
    </row>
    <row r="7124" spans="14:18" x14ac:dyDescent="0.25">
      <c r="N7124"/>
      <c r="O7124"/>
      <c r="P7124"/>
      <c r="Q7124"/>
      <c r="R7124"/>
    </row>
    <row r="7125" spans="14:18" x14ac:dyDescent="0.25">
      <c r="N7125"/>
      <c r="O7125"/>
      <c r="P7125"/>
      <c r="Q7125"/>
      <c r="R7125"/>
    </row>
    <row r="7126" spans="14:18" x14ac:dyDescent="0.25">
      <c r="N7126"/>
      <c r="O7126"/>
      <c r="P7126"/>
      <c r="Q7126"/>
      <c r="R7126"/>
    </row>
    <row r="7127" spans="14:18" x14ac:dyDescent="0.25">
      <c r="N7127"/>
      <c r="O7127"/>
      <c r="P7127"/>
      <c r="Q7127"/>
      <c r="R7127"/>
    </row>
    <row r="7128" spans="14:18" x14ac:dyDescent="0.25">
      <c r="N7128"/>
      <c r="O7128"/>
      <c r="P7128"/>
      <c r="Q7128"/>
      <c r="R7128"/>
    </row>
    <row r="7129" spans="14:18" x14ac:dyDescent="0.25">
      <c r="N7129"/>
      <c r="O7129"/>
      <c r="P7129"/>
      <c r="Q7129"/>
      <c r="R7129"/>
    </row>
    <row r="7130" spans="14:18" x14ac:dyDescent="0.25">
      <c r="N7130"/>
      <c r="O7130"/>
      <c r="P7130"/>
      <c r="Q7130"/>
      <c r="R7130"/>
    </row>
    <row r="7131" spans="14:18" x14ac:dyDescent="0.25">
      <c r="N7131"/>
      <c r="O7131"/>
      <c r="P7131"/>
      <c r="Q7131"/>
      <c r="R7131"/>
    </row>
    <row r="7132" spans="14:18" x14ac:dyDescent="0.25">
      <c r="N7132"/>
      <c r="O7132"/>
      <c r="P7132"/>
      <c r="Q7132"/>
      <c r="R7132"/>
    </row>
    <row r="7133" spans="14:18" x14ac:dyDescent="0.25">
      <c r="N7133"/>
      <c r="O7133"/>
      <c r="P7133"/>
      <c r="Q7133"/>
      <c r="R7133"/>
    </row>
    <row r="7134" spans="14:18" x14ac:dyDescent="0.25">
      <c r="N7134"/>
      <c r="O7134"/>
      <c r="P7134"/>
      <c r="Q7134"/>
      <c r="R7134"/>
    </row>
    <row r="7135" spans="14:18" x14ac:dyDescent="0.25">
      <c r="N7135"/>
      <c r="O7135"/>
      <c r="P7135"/>
      <c r="Q7135"/>
      <c r="R7135"/>
    </row>
    <row r="7136" spans="14:18" x14ac:dyDescent="0.25">
      <c r="N7136"/>
      <c r="O7136"/>
      <c r="P7136"/>
      <c r="Q7136"/>
      <c r="R7136"/>
    </row>
    <row r="7137" spans="14:18" x14ac:dyDescent="0.25">
      <c r="N7137"/>
      <c r="O7137"/>
      <c r="P7137"/>
      <c r="Q7137"/>
      <c r="R7137"/>
    </row>
    <row r="7138" spans="14:18" x14ac:dyDescent="0.25">
      <c r="N7138"/>
      <c r="O7138"/>
      <c r="P7138"/>
      <c r="Q7138"/>
      <c r="R7138"/>
    </row>
    <row r="7139" spans="14:18" x14ac:dyDescent="0.25">
      <c r="N7139"/>
      <c r="O7139"/>
      <c r="P7139"/>
      <c r="Q7139"/>
      <c r="R7139"/>
    </row>
    <row r="7140" spans="14:18" x14ac:dyDescent="0.25">
      <c r="N7140"/>
      <c r="O7140"/>
      <c r="P7140"/>
      <c r="Q7140"/>
      <c r="R7140"/>
    </row>
    <row r="7141" spans="14:18" x14ac:dyDescent="0.25">
      <c r="N7141"/>
      <c r="O7141"/>
      <c r="P7141"/>
      <c r="Q7141"/>
      <c r="R7141"/>
    </row>
    <row r="7142" spans="14:18" x14ac:dyDescent="0.25">
      <c r="N7142"/>
      <c r="O7142"/>
      <c r="P7142"/>
      <c r="Q7142"/>
      <c r="R7142"/>
    </row>
    <row r="7143" spans="14:18" x14ac:dyDescent="0.25">
      <c r="N7143"/>
      <c r="O7143"/>
      <c r="P7143"/>
      <c r="Q7143"/>
      <c r="R7143"/>
    </row>
    <row r="7144" spans="14:18" x14ac:dyDescent="0.25">
      <c r="N7144"/>
      <c r="O7144"/>
      <c r="P7144"/>
      <c r="Q7144"/>
      <c r="R7144"/>
    </row>
    <row r="7145" spans="14:18" x14ac:dyDescent="0.25">
      <c r="N7145"/>
      <c r="O7145"/>
      <c r="P7145"/>
      <c r="Q7145"/>
      <c r="R7145"/>
    </row>
    <row r="7146" spans="14:18" x14ac:dyDescent="0.25">
      <c r="N7146"/>
      <c r="O7146"/>
      <c r="P7146"/>
      <c r="Q7146"/>
      <c r="R7146"/>
    </row>
    <row r="7147" spans="14:18" x14ac:dyDescent="0.25">
      <c r="N7147"/>
      <c r="O7147"/>
      <c r="P7147"/>
      <c r="Q7147"/>
      <c r="R7147"/>
    </row>
    <row r="7148" spans="14:18" x14ac:dyDescent="0.25">
      <c r="N7148"/>
      <c r="O7148"/>
      <c r="P7148"/>
      <c r="Q7148"/>
      <c r="R7148"/>
    </row>
    <row r="7149" spans="14:18" x14ac:dyDescent="0.25">
      <c r="N7149"/>
      <c r="O7149"/>
      <c r="P7149"/>
      <c r="Q7149"/>
      <c r="R7149"/>
    </row>
    <row r="7150" spans="14:18" x14ac:dyDescent="0.25">
      <c r="N7150"/>
      <c r="O7150"/>
      <c r="P7150"/>
      <c r="Q7150"/>
      <c r="R7150"/>
    </row>
    <row r="7151" spans="14:18" x14ac:dyDescent="0.25">
      <c r="N7151"/>
      <c r="O7151"/>
      <c r="P7151"/>
      <c r="Q7151"/>
      <c r="R7151"/>
    </row>
    <row r="7152" spans="14:18" x14ac:dyDescent="0.25">
      <c r="N7152"/>
      <c r="O7152"/>
      <c r="P7152"/>
      <c r="Q7152"/>
      <c r="R7152"/>
    </row>
    <row r="7153" spans="14:18" x14ac:dyDescent="0.25">
      <c r="N7153"/>
      <c r="O7153"/>
      <c r="P7153"/>
      <c r="Q7153"/>
      <c r="R7153"/>
    </row>
    <row r="7154" spans="14:18" x14ac:dyDescent="0.25">
      <c r="N7154"/>
      <c r="O7154"/>
      <c r="P7154"/>
      <c r="Q7154"/>
      <c r="R7154"/>
    </row>
    <row r="7155" spans="14:18" x14ac:dyDescent="0.25">
      <c r="N7155"/>
      <c r="O7155"/>
      <c r="P7155"/>
      <c r="Q7155"/>
      <c r="R7155"/>
    </row>
    <row r="7156" spans="14:18" x14ac:dyDescent="0.25">
      <c r="N7156"/>
      <c r="O7156"/>
      <c r="P7156"/>
      <c r="Q7156"/>
      <c r="R7156"/>
    </row>
    <row r="7157" spans="14:18" x14ac:dyDescent="0.25">
      <c r="N7157"/>
      <c r="O7157"/>
      <c r="P7157"/>
      <c r="Q7157"/>
      <c r="R7157"/>
    </row>
    <row r="7158" spans="14:18" x14ac:dyDescent="0.25">
      <c r="N7158"/>
      <c r="O7158"/>
      <c r="P7158"/>
      <c r="Q7158"/>
      <c r="R7158"/>
    </row>
    <row r="7159" spans="14:18" x14ac:dyDescent="0.25">
      <c r="N7159"/>
      <c r="O7159"/>
      <c r="P7159"/>
      <c r="Q7159"/>
      <c r="R7159"/>
    </row>
    <row r="7160" spans="14:18" x14ac:dyDescent="0.25">
      <c r="N7160"/>
      <c r="O7160"/>
      <c r="P7160"/>
      <c r="Q7160"/>
      <c r="R7160"/>
    </row>
    <row r="7161" spans="14:18" x14ac:dyDescent="0.25">
      <c r="N7161"/>
      <c r="O7161"/>
      <c r="P7161"/>
      <c r="Q7161"/>
      <c r="R7161"/>
    </row>
    <row r="7162" spans="14:18" x14ac:dyDescent="0.25">
      <c r="N7162"/>
      <c r="O7162"/>
      <c r="P7162"/>
      <c r="Q7162"/>
      <c r="R7162"/>
    </row>
    <row r="7163" spans="14:18" x14ac:dyDescent="0.25">
      <c r="N7163"/>
      <c r="O7163"/>
      <c r="P7163"/>
      <c r="Q7163"/>
      <c r="R7163"/>
    </row>
    <row r="7164" spans="14:18" x14ac:dyDescent="0.25">
      <c r="N7164"/>
      <c r="O7164"/>
      <c r="P7164"/>
      <c r="Q7164"/>
      <c r="R7164"/>
    </row>
    <row r="7165" spans="14:18" x14ac:dyDescent="0.25">
      <c r="N7165"/>
      <c r="O7165"/>
      <c r="P7165"/>
      <c r="Q7165"/>
      <c r="R7165"/>
    </row>
    <row r="7166" spans="14:18" x14ac:dyDescent="0.25">
      <c r="N7166"/>
      <c r="O7166"/>
      <c r="P7166"/>
      <c r="Q7166"/>
      <c r="R7166"/>
    </row>
    <row r="7167" spans="14:18" x14ac:dyDescent="0.25">
      <c r="N7167"/>
      <c r="O7167"/>
      <c r="P7167"/>
      <c r="Q7167"/>
      <c r="R7167"/>
    </row>
    <row r="7168" spans="14:18" x14ac:dyDescent="0.25">
      <c r="N7168"/>
      <c r="O7168"/>
      <c r="P7168"/>
      <c r="Q7168"/>
      <c r="R7168"/>
    </row>
    <row r="7169" spans="14:18" x14ac:dyDescent="0.25">
      <c r="N7169"/>
      <c r="O7169"/>
      <c r="P7169"/>
      <c r="Q7169"/>
      <c r="R7169"/>
    </row>
    <row r="7170" spans="14:18" x14ac:dyDescent="0.25">
      <c r="N7170"/>
      <c r="O7170"/>
      <c r="P7170"/>
      <c r="Q7170"/>
      <c r="R7170"/>
    </row>
    <row r="7171" spans="14:18" x14ac:dyDescent="0.25">
      <c r="N7171"/>
      <c r="O7171"/>
      <c r="P7171"/>
      <c r="Q7171"/>
      <c r="R7171"/>
    </row>
    <row r="7172" spans="14:18" x14ac:dyDescent="0.25">
      <c r="N7172"/>
      <c r="O7172"/>
      <c r="P7172"/>
      <c r="Q7172"/>
      <c r="R7172"/>
    </row>
    <row r="7173" spans="14:18" x14ac:dyDescent="0.25">
      <c r="N7173"/>
      <c r="O7173"/>
      <c r="P7173"/>
      <c r="Q7173"/>
      <c r="R7173"/>
    </row>
    <row r="7174" spans="14:18" x14ac:dyDescent="0.25">
      <c r="N7174"/>
      <c r="O7174"/>
      <c r="P7174"/>
      <c r="Q7174"/>
      <c r="R7174"/>
    </row>
    <row r="7175" spans="14:18" x14ac:dyDescent="0.25">
      <c r="N7175"/>
      <c r="O7175"/>
      <c r="P7175"/>
      <c r="Q7175"/>
      <c r="R7175"/>
    </row>
    <row r="7176" spans="14:18" x14ac:dyDescent="0.25">
      <c r="N7176"/>
      <c r="O7176"/>
      <c r="P7176"/>
      <c r="Q7176"/>
      <c r="R7176"/>
    </row>
    <row r="7177" spans="14:18" x14ac:dyDescent="0.25">
      <c r="N7177"/>
      <c r="O7177"/>
      <c r="P7177"/>
      <c r="Q7177"/>
      <c r="R7177"/>
    </row>
    <row r="7178" spans="14:18" x14ac:dyDescent="0.25">
      <c r="N7178"/>
      <c r="O7178"/>
      <c r="P7178"/>
      <c r="Q7178"/>
      <c r="R7178"/>
    </row>
    <row r="7179" spans="14:18" x14ac:dyDescent="0.25">
      <c r="N7179"/>
      <c r="O7179"/>
      <c r="P7179"/>
      <c r="Q7179"/>
      <c r="R7179"/>
    </row>
    <row r="7180" spans="14:18" x14ac:dyDescent="0.25">
      <c r="N7180"/>
      <c r="O7180"/>
      <c r="P7180"/>
      <c r="Q7180"/>
      <c r="R7180"/>
    </row>
    <row r="7181" spans="14:18" x14ac:dyDescent="0.25">
      <c r="N7181"/>
      <c r="O7181"/>
      <c r="P7181"/>
      <c r="Q7181"/>
      <c r="R7181"/>
    </row>
    <row r="7182" spans="14:18" x14ac:dyDescent="0.25">
      <c r="N7182"/>
      <c r="O7182"/>
      <c r="P7182"/>
      <c r="Q7182"/>
      <c r="R7182"/>
    </row>
    <row r="7183" spans="14:18" x14ac:dyDescent="0.25">
      <c r="N7183"/>
      <c r="O7183"/>
      <c r="P7183"/>
      <c r="Q7183"/>
      <c r="R7183"/>
    </row>
    <row r="7184" spans="14:18" x14ac:dyDescent="0.25">
      <c r="N7184"/>
      <c r="O7184"/>
      <c r="P7184"/>
      <c r="Q7184"/>
      <c r="R7184"/>
    </row>
    <row r="7185" spans="14:18" x14ac:dyDescent="0.25">
      <c r="N7185"/>
      <c r="O7185"/>
      <c r="P7185"/>
      <c r="Q7185"/>
      <c r="R7185"/>
    </row>
    <row r="7186" spans="14:18" x14ac:dyDescent="0.25">
      <c r="N7186"/>
      <c r="O7186"/>
      <c r="P7186"/>
      <c r="Q7186"/>
      <c r="R7186"/>
    </row>
    <row r="7187" spans="14:18" x14ac:dyDescent="0.25">
      <c r="N7187"/>
      <c r="O7187"/>
      <c r="P7187"/>
      <c r="Q7187"/>
      <c r="R7187"/>
    </row>
    <row r="7188" spans="14:18" x14ac:dyDescent="0.25">
      <c r="N7188"/>
      <c r="O7188"/>
      <c r="P7188"/>
      <c r="Q7188"/>
      <c r="R7188"/>
    </row>
    <row r="7189" spans="14:18" x14ac:dyDescent="0.25">
      <c r="N7189"/>
      <c r="O7189"/>
      <c r="P7189"/>
      <c r="Q7189"/>
      <c r="R7189"/>
    </row>
    <row r="7190" spans="14:18" x14ac:dyDescent="0.25">
      <c r="N7190"/>
      <c r="O7190"/>
      <c r="P7190"/>
      <c r="Q7190"/>
      <c r="R7190"/>
    </row>
    <row r="7191" spans="14:18" x14ac:dyDescent="0.25">
      <c r="N7191"/>
      <c r="O7191"/>
      <c r="P7191"/>
      <c r="Q7191"/>
      <c r="R7191"/>
    </row>
    <row r="7192" spans="14:18" x14ac:dyDescent="0.25">
      <c r="N7192"/>
      <c r="O7192"/>
      <c r="P7192"/>
      <c r="Q7192"/>
      <c r="R7192"/>
    </row>
    <row r="7193" spans="14:18" x14ac:dyDescent="0.25">
      <c r="N7193"/>
      <c r="O7193"/>
      <c r="P7193"/>
      <c r="Q7193"/>
      <c r="R7193"/>
    </row>
    <row r="7194" spans="14:18" x14ac:dyDescent="0.25">
      <c r="N7194"/>
      <c r="O7194"/>
      <c r="P7194"/>
      <c r="Q7194"/>
      <c r="R7194"/>
    </row>
    <row r="7195" spans="14:18" x14ac:dyDescent="0.25">
      <c r="N7195"/>
      <c r="O7195"/>
      <c r="P7195"/>
      <c r="Q7195"/>
      <c r="R7195"/>
    </row>
    <row r="7196" spans="14:18" x14ac:dyDescent="0.25">
      <c r="N7196"/>
      <c r="O7196"/>
      <c r="P7196"/>
      <c r="Q7196"/>
      <c r="R7196"/>
    </row>
    <row r="7197" spans="14:18" x14ac:dyDescent="0.25">
      <c r="N7197"/>
      <c r="O7197"/>
      <c r="P7197"/>
      <c r="Q7197"/>
      <c r="R7197"/>
    </row>
    <row r="7198" spans="14:18" x14ac:dyDescent="0.25">
      <c r="N7198"/>
      <c r="O7198"/>
      <c r="P7198"/>
      <c r="Q7198"/>
      <c r="R7198"/>
    </row>
    <row r="7199" spans="14:18" x14ac:dyDescent="0.25">
      <c r="N7199"/>
      <c r="O7199"/>
      <c r="P7199"/>
      <c r="Q7199"/>
      <c r="R7199"/>
    </row>
    <row r="7200" spans="14:18" x14ac:dyDescent="0.25">
      <c r="N7200"/>
      <c r="O7200"/>
      <c r="P7200"/>
      <c r="Q7200"/>
      <c r="R7200"/>
    </row>
    <row r="7201" spans="14:18" x14ac:dyDescent="0.25">
      <c r="N7201"/>
      <c r="O7201"/>
      <c r="P7201"/>
      <c r="Q7201"/>
      <c r="R7201"/>
    </row>
    <row r="7202" spans="14:18" x14ac:dyDescent="0.25">
      <c r="N7202"/>
      <c r="O7202"/>
      <c r="P7202"/>
      <c r="Q7202"/>
      <c r="R7202"/>
    </row>
    <row r="7203" spans="14:18" x14ac:dyDescent="0.25">
      <c r="N7203"/>
      <c r="O7203"/>
      <c r="P7203"/>
      <c r="Q7203"/>
      <c r="R7203"/>
    </row>
    <row r="7204" spans="14:18" x14ac:dyDescent="0.25">
      <c r="N7204"/>
      <c r="O7204"/>
      <c r="P7204"/>
      <c r="Q7204"/>
      <c r="R7204"/>
    </row>
    <row r="7205" spans="14:18" x14ac:dyDescent="0.25">
      <c r="N7205"/>
      <c r="O7205"/>
      <c r="P7205"/>
      <c r="Q7205"/>
      <c r="R7205"/>
    </row>
    <row r="7206" spans="14:18" x14ac:dyDescent="0.25">
      <c r="N7206"/>
      <c r="O7206"/>
      <c r="P7206"/>
      <c r="Q7206"/>
      <c r="R7206"/>
    </row>
    <row r="7207" spans="14:18" x14ac:dyDescent="0.25">
      <c r="N7207"/>
      <c r="O7207"/>
      <c r="P7207"/>
      <c r="Q7207"/>
      <c r="R7207"/>
    </row>
    <row r="7208" spans="14:18" x14ac:dyDescent="0.25">
      <c r="N7208"/>
      <c r="O7208"/>
      <c r="P7208"/>
      <c r="Q7208"/>
      <c r="R7208"/>
    </row>
    <row r="7209" spans="14:18" x14ac:dyDescent="0.25">
      <c r="N7209"/>
      <c r="O7209"/>
      <c r="P7209"/>
      <c r="Q7209"/>
      <c r="R7209"/>
    </row>
    <row r="7210" spans="14:18" x14ac:dyDescent="0.25">
      <c r="N7210"/>
      <c r="O7210"/>
      <c r="P7210"/>
      <c r="Q7210"/>
      <c r="R7210"/>
    </row>
    <row r="7211" spans="14:18" x14ac:dyDescent="0.25">
      <c r="N7211"/>
      <c r="O7211"/>
      <c r="P7211"/>
      <c r="Q7211"/>
      <c r="R7211"/>
    </row>
    <row r="7212" spans="14:18" x14ac:dyDescent="0.25">
      <c r="N7212"/>
      <c r="O7212"/>
      <c r="P7212"/>
      <c r="Q7212"/>
      <c r="R7212"/>
    </row>
    <row r="7213" spans="14:18" x14ac:dyDescent="0.25">
      <c r="N7213"/>
      <c r="O7213"/>
      <c r="P7213"/>
      <c r="Q7213"/>
      <c r="R7213"/>
    </row>
    <row r="7214" spans="14:18" x14ac:dyDescent="0.25">
      <c r="N7214"/>
      <c r="O7214"/>
      <c r="P7214"/>
      <c r="Q7214"/>
      <c r="R7214"/>
    </row>
    <row r="7215" spans="14:18" x14ac:dyDescent="0.25">
      <c r="N7215"/>
      <c r="O7215"/>
      <c r="P7215"/>
      <c r="Q7215"/>
      <c r="R7215"/>
    </row>
    <row r="7216" spans="14:18" x14ac:dyDescent="0.25">
      <c r="N7216"/>
      <c r="O7216"/>
      <c r="P7216"/>
      <c r="Q7216"/>
      <c r="R7216"/>
    </row>
    <row r="7217" spans="14:18" x14ac:dyDescent="0.25">
      <c r="N7217"/>
      <c r="O7217"/>
      <c r="P7217"/>
      <c r="Q7217"/>
      <c r="R7217"/>
    </row>
    <row r="7218" spans="14:18" x14ac:dyDescent="0.25">
      <c r="N7218"/>
      <c r="O7218"/>
      <c r="P7218"/>
      <c r="Q7218"/>
      <c r="R7218"/>
    </row>
    <row r="7219" spans="14:18" x14ac:dyDescent="0.25">
      <c r="N7219"/>
      <c r="O7219"/>
      <c r="P7219"/>
      <c r="Q7219"/>
      <c r="R7219"/>
    </row>
    <row r="7220" spans="14:18" x14ac:dyDescent="0.25">
      <c r="N7220"/>
      <c r="O7220"/>
      <c r="P7220"/>
      <c r="Q7220"/>
      <c r="R7220"/>
    </row>
    <row r="7221" spans="14:18" x14ac:dyDescent="0.25">
      <c r="N7221"/>
      <c r="O7221"/>
      <c r="P7221"/>
      <c r="Q7221"/>
      <c r="R7221"/>
    </row>
    <row r="7222" spans="14:18" x14ac:dyDescent="0.25">
      <c r="N7222"/>
      <c r="O7222"/>
      <c r="P7222"/>
      <c r="Q7222"/>
      <c r="R7222"/>
    </row>
    <row r="7223" spans="14:18" x14ac:dyDescent="0.25">
      <c r="N7223"/>
      <c r="O7223"/>
      <c r="P7223"/>
      <c r="Q7223"/>
      <c r="R7223"/>
    </row>
    <row r="7224" spans="14:18" x14ac:dyDescent="0.25">
      <c r="N7224"/>
      <c r="O7224"/>
      <c r="P7224"/>
      <c r="Q7224"/>
      <c r="R7224"/>
    </row>
    <row r="7225" spans="14:18" x14ac:dyDescent="0.25">
      <c r="N7225"/>
      <c r="O7225"/>
      <c r="P7225"/>
      <c r="Q7225"/>
      <c r="R7225"/>
    </row>
    <row r="7226" spans="14:18" x14ac:dyDescent="0.25">
      <c r="N7226"/>
      <c r="O7226"/>
      <c r="P7226"/>
      <c r="Q7226"/>
      <c r="R7226"/>
    </row>
    <row r="7227" spans="14:18" x14ac:dyDescent="0.25">
      <c r="N7227"/>
      <c r="O7227"/>
      <c r="P7227"/>
      <c r="Q7227"/>
      <c r="R7227"/>
    </row>
    <row r="7228" spans="14:18" x14ac:dyDescent="0.25">
      <c r="N7228"/>
      <c r="O7228"/>
      <c r="P7228"/>
      <c r="Q7228"/>
      <c r="R7228"/>
    </row>
    <row r="7229" spans="14:18" x14ac:dyDescent="0.25">
      <c r="N7229"/>
      <c r="O7229"/>
      <c r="P7229"/>
      <c r="Q7229"/>
      <c r="R7229"/>
    </row>
    <row r="7230" spans="14:18" x14ac:dyDescent="0.25">
      <c r="N7230"/>
      <c r="O7230"/>
      <c r="P7230"/>
      <c r="Q7230"/>
      <c r="R7230"/>
    </row>
    <row r="7231" spans="14:18" x14ac:dyDescent="0.25">
      <c r="N7231"/>
      <c r="O7231"/>
      <c r="P7231"/>
      <c r="Q7231"/>
      <c r="R7231"/>
    </row>
    <row r="7232" spans="14:18" x14ac:dyDescent="0.25">
      <c r="N7232"/>
      <c r="O7232"/>
      <c r="P7232"/>
      <c r="Q7232"/>
      <c r="R7232"/>
    </row>
    <row r="7233" spans="14:18" x14ac:dyDescent="0.25">
      <c r="N7233"/>
      <c r="O7233"/>
      <c r="P7233"/>
      <c r="Q7233"/>
      <c r="R7233"/>
    </row>
    <row r="7234" spans="14:18" x14ac:dyDescent="0.25">
      <c r="N7234"/>
      <c r="O7234"/>
      <c r="P7234"/>
      <c r="Q7234"/>
      <c r="R7234"/>
    </row>
    <row r="7235" spans="14:18" x14ac:dyDescent="0.25">
      <c r="N7235"/>
      <c r="O7235"/>
      <c r="P7235"/>
      <c r="Q7235"/>
      <c r="R7235"/>
    </row>
    <row r="7236" spans="14:18" x14ac:dyDescent="0.25">
      <c r="N7236"/>
      <c r="O7236"/>
      <c r="P7236"/>
      <c r="Q7236"/>
      <c r="R7236"/>
    </row>
    <row r="7237" spans="14:18" x14ac:dyDescent="0.25">
      <c r="N7237"/>
      <c r="O7237"/>
      <c r="P7237"/>
      <c r="Q7237"/>
      <c r="R7237"/>
    </row>
    <row r="7238" spans="14:18" x14ac:dyDescent="0.25">
      <c r="N7238"/>
      <c r="O7238"/>
      <c r="P7238"/>
      <c r="Q7238"/>
      <c r="R7238"/>
    </row>
    <row r="7239" spans="14:18" x14ac:dyDescent="0.25">
      <c r="N7239"/>
      <c r="O7239"/>
      <c r="P7239"/>
      <c r="Q7239"/>
      <c r="R7239"/>
    </row>
    <row r="7240" spans="14:18" x14ac:dyDescent="0.25">
      <c r="N7240"/>
      <c r="O7240"/>
      <c r="P7240"/>
      <c r="Q7240"/>
      <c r="R7240"/>
    </row>
    <row r="7241" spans="14:18" x14ac:dyDescent="0.25">
      <c r="N7241"/>
      <c r="O7241"/>
      <c r="P7241"/>
      <c r="Q7241"/>
      <c r="R7241"/>
    </row>
    <row r="7242" spans="14:18" x14ac:dyDescent="0.25">
      <c r="N7242"/>
      <c r="O7242"/>
      <c r="P7242"/>
      <c r="Q7242"/>
      <c r="R7242"/>
    </row>
    <row r="7243" spans="14:18" x14ac:dyDescent="0.25">
      <c r="N7243"/>
      <c r="O7243"/>
      <c r="P7243"/>
      <c r="Q7243"/>
      <c r="R7243"/>
    </row>
    <row r="7244" spans="14:18" x14ac:dyDescent="0.25">
      <c r="N7244"/>
      <c r="O7244"/>
      <c r="P7244"/>
      <c r="Q7244"/>
      <c r="R7244"/>
    </row>
    <row r="7245" spans="14:18" x14ac:dyDescent="0.25">
      <c r="N7245"/>
      <c r="O7245"/>
      <c r="P7245"/>
      <c r="Q7245"/>
      <c r="R7245"/>
    </row>
    <row r="7246" spans="14:18" x14ac:dyDescent="0.25">
      <c r="N7246"/>
      <c r="O7246"/>
      <c r="P7246"/>
      <c r="Q7246"/>
      <c r="R7246"/>
    </row>
    <row r="7247" spans="14:18" x14ac:dyDescent="0.25">
      <c r="N7247"/>
      <c r="O7247"/>
      <c r="P7247"/>
      <c r="Q7247"/>
      <c r="R7247"/>
    </row>
    <row r="7248" spans="14:18" x14ac:dyDescent="0.25">
      <c r="N7248"/>
      <c r="O7248"/>
      <c r="P7248"/>
      <c r="Q7248"/>
      <c r="R7248"/>
    </row>
    <row r="7249" spans="14:18" x14ac:dyDescent="0.25">
      <c r="N7249"/>
      <c r="O7249"/>
      <c r="P7249"/>
      <c r="Q7249"/>
      <c r="R7249"/>
    </row>
    <row r="7250" spans="14:18" x14ac:dyDescent="0.25">
      <c r="N7250"/>
      <c r="O7250"/>
      <c r="P7250"/>
      <c r="Q7250"/>
      <c r="R7250"/>
    </row>
    <row r="7251" spans="14:18" x14ac:dyDescent="0.25">
      <c r="N7251"/>
      <c r="O7251"/>
      <c r="P7251"/>
      <c r="Q7251"/>
      <c r="R7251"/>
    </row>
    <row r="7252" spans="14:18" x14ac:dyDescent="0.25">
      <c r="N7252"/>
      <c r="O7252"/>
      <c r="P7252"/>
      <c r="Q7252"/>
      <c r="R7252"/>
    </row>
    <row r="7253" spans="14:18" x14ac:dyDescent="0.25">
      <c r="N7253"/>
      <c r="O7253"/>
      <c r="P7253"/>
      <c r="Q7253"/>
      <c r="R7253"/>
    </row>
    <row r="7254" spans="14:18" x14ac:dyDescent="0.25">
      <c r="N7254"/>
      <c r="O7254"/>
      <c r="P7254"/>
      <c r="Q7254"/>
      <c r="R7254"/>
    </row>
    <row r="7255" spans="14:18" x14ac:dyDescent="0.25">
      <c r="N7255"/>
      <c r="O7255"/>
      <c r="P7255"/>
      <c r="Q7255"/>
      <c r="R7255"/>
    </row>
    <row r="7256" spans="14:18" x14ac:dyDescent="0.25">
      <c r="N7256"/>
      <c r="O7256"/>
      <c r="P7256"/>
      <c r="Q7256"/>
      <c r="R7256"/>
    </row>
    <row r="7257" spans="14:18" x14ac:dyDescent="0.25">
      <c r="N7257"/>
      <c r="O7257"/>
      <c r="P7257"/>
      <c r="Q7257"/>
      <c r="R7257"/>
    </row>
    <row r="7258" spans="14:18" x14ac:dyDescent="0.25">
      <c r="N7258"/>
      <c r="O7258"/>
      <c r="P7258"/>
      <c r="Q7258"/>
      <c r="R7258"/>
    </row>
    <row r="7259" spans="14:18" x14ac:dyDescent="0.25">
      <c r="N7259"/>
      <c r="O7259"/>
      <c r="P7259"/>
      <c r="Q7259"/>
      <c r="R7259"/>
    </row>
    <row r="7260" spans="14:18" x14ac:dyDescent="0.25">
      <c r="N7260"/>
      <c r="O7260"/>
      <c r="P7260"/>
      <c r="Q7260"/>
      <c r="R7260"/>
    </row>
    <row r="7261" spans="14:18" x14ac:dyDescent="0.25">
      <c r="N7261"/>
      <c r="O7261"/>
      <c r="P7261"/>
      <c r="Q7261"/>
      <c r="R7261"/>
    </row>
    <row r="7262" spans="14:18" x14ac:dyDescent="0.25">
      <c r="N7262"/>
      <c r="O7262"/>
      <c r="P7262"/>
      <c r="Q7262"/>
      <c r="R7262"/>
    </row>
    <row r="7263" spans="14:18" x14ac:dyDescent="0.25">
      <c r="N7263"/>
      <c r="O7263"/>
      <c r="P7263"/>
      <c r="Q7263"/>
      <c r="R7263"/>
    </row>
    <row r="7264" spans="14:18" x14ac:dyDescent="0.25">
      <c r="N7264"/>
      <c r="O7264"/>
      <c r="P7264"/>
      <c r="Q7264"/>
      <c r="R7264"/>
    </row>
    <row r="7265" spans="14:18" x14ac:dyDescent="0.25">
      <c r="N7265"/>
      <c r="O7265"/>
      <c r="P7265"/>
      <c r="Q7265"/>
      <c r="R7265"/>
    </row>
    <row r="7266" spans="14:18" x14ac:dyDescent="0.25">
      <c r="N7266"/>
      <c r="O7266"/>
      <c r="P7266"/>
      <c r="Q7266"/>
      <c r="R7266"/>
    </row>
    <row r="7267" spans="14:18" x14ac:dyDescent="0.25">
      <c r="N7267"/>
      <c r="O7267"/>
      <c r="P7267"/>
      <c r="Q7267"/>
      <c r="R7267"/>
    </row>
    <row r="7268" spans="14:18" x14ac:dyDescent="0.25">
      <c r="N7268"/>
      <c r="O7268"/>
      <c r="P7268"/>
      <c r="Q7268"/>
      <c r="R7268"/>
    </row>
    <row r="7269" spans="14:18" x14ac:dyDescent="0.25">
      <c r="N7269"/>
      <c r="O7269"/>
      <c r="P7269"/>
      <c r="Q7269"/>
      <c r="R7269"/>
    </row>
    <row r="7270" spans="14:18" x14ac:dyDescent="0.25">
      <c r="N7270"/>
      <c r="O7270"/>
      <c r="P7270"/>
      <c r="Q7270"/>
      <c r="R7270"/>
    </row>
    <row r="7271" spans="14:18" x14ac:dyDescent="0.25">
      <c r="N7271"/>
      <c r="O7271"/>
      <c r="P7271"/>
      <c r="Q7271"/>
      <c r="R7271"/>
    </row>
    <row r="7272" spans="14:18" x14ac:dyDescent="0.25">
      <c r="N7272"/>
      <c r="O7272"/>
      <c r="P7272"/>
      <c r="Q7272"/>
      <c r="R7272"/>
    </row>
    <row r="7273" spans="14:18" x14ac:dyDescent="0.25">
      <c r="N7273"/>
      <c r="O7273"/>
      <c r="P7273"/>
      <c r="Q7273"/>
      <c r="R7273"/>
    </row>
    <row r="7274" spans="14:18" x14ac:dyDescent="0.25">
      <c r="N7274"/>
      <c r="O7274"/>
      <c r="P7274"/>
      <c r="Q7274"/>
      <c r="R7274"/>
    </row>
    <row r="7275" spans="14:18" x14ac:dyDescent="0.25">
      <c r="N7275"/>
      <c r="O7275"/>
      <c r="P7275"/>
      <c r="Q7275"/>
      <c r="R7275"/>
    </row>
    <row r="7276" spans="14:18" x14ac:dyDescent="0.25">
      <c r="N7276"/>
      <c r="O7276"/>
      <c r="P7276"/>
      <c r="Q7276"/>
      <c r="R7276"/>
    </row>
    <row r="7277" spans="14:18" x14ac:dyDescent="0.25">
      <c r="N7277"/>
      <c r="O7277"/>
      <c r="P7277"/>
      <c r="Q7277"/>
      <c r="R7277"/>
    </row>
    <row r="7278" spans="14:18" x14ac:dyDescent="0.25">
      <c r="N7278"/>
      <c r="O7278"/>
      <c r="P7278"/>
      <c r="Q7278"/>
      <c r="R7278"/>
    </row>
    <row r="7279" spans="14:18" x14ac:dyDescent="0.25">
      <c r="N7279"/>
      <c r="O7279"/>
      <c r="P7279"/>
      <c r="Q7279"/>
      <c r="R7279"/>
    </row>
    <row r="7280" spans="14:18" x14ac:dyDescent="0.25">
      <c r="N7280"/>
      <c r="O7280"/>
      <c r="P7280"/>
      <c r="Q7280"/>
      <c r="R7280"/>
    </row>
    <row r="7281" spans="14:18" x14ac:dyDescent="0.25">
      <c r="N7281"/>
      <c r="O7281"/>
      <c r="P7281"/>
      <c r="Q7281"/>
      <c r="R7281"/>
    </row>
    <row r="7282" spans="14:18" x14ac:dyDescent="0.25">
      <c r="N7282"/>
      <c r="O7282"/>
      <c r="P7282"/>
      <c r="Q7282"/>
      <c r="R7282"/>
    </row>
    <row r="7283" spans="14:18" x14ac:dyDescent="0.25">
      <c r="N7283"/>
      <c r="O7283"/>
      <c r="P7283"/>
      <c r="Q7283"/>
      <c r="R7283"/>
    </row>
    <row r="7284" spans="14:18" x14ac:dyDescent="0.25">
      <c r="N7284"/>
      <c r="O7284"/>
      <c r="P7284"/>
      <c r="Q7284"/>
      <c r="R7284"/>
    </row>
    <row r="7285" spans="14:18" x14ac:dyDescent="0.25">
      <c r="N7285"/>
      <c r="O7285"/>
      <c r="P7285"/>
      <c r="Q7285"/>
      <c r="R7285"/>
    </row>
    <row r="7286" spans="14:18" x14ac:dyDescent="0.25">
      <c r="N7286"/>
      <c r="O7286"/>
      <c r="P7286"/>
      <c r="Q7286"/>
      <c r="R7286"/>
    </row>
    <row r="7287" spans="14:18" x14ac:dyDescent="0.25">
      <c r="N7287"/>
      <c r="O7287"/>
      <c r="P7287"/>
      <c r="Q7287"/>
      <c r="R7287"/>
    </row>
    <row r="7288" spans="14:18" x14ac:dyDescent="0.25">
      <c r="N7288"/>
      <c r="O7288"/>
      <c r="P7288"/>
      <c r="Q7288"/>
      <c r="R7288"/>
    </row>
    <row r="7289" spans="14:18" x14ac:dyDescent="0.25">
      <c r="N7289"/>
      <c r="O7289"/>
      <c r="P7289"/>
      <c r="Q7289"/>
      <c r="R7289"/>
    </row>
    <row r="7290" spans="14:18" x14ac:dyDescent="0.25">
      <c r="N7290"/>
      <c r="O7290"/>
      <c r="P7290"/>
      <c r="Q7290"/>
      <c r="R7290"/>
    </row>
    <row r="7291" spans="14:18" x14ac:dyDescent="0.25">
      <c r="N7291"/>
      <c r="O7291"/>
      <c r="P7291"/>
      <c r="Q7291"/>
      <c r="R7291"/>
    </row>
    <row r="7292" spans="14:18" x14ac:dyDescent="0.25">
      <c r="N7292"/>
      <c r="O7292"/>
      <c r="P7292"/>
      <c r="Q7292"/>
      <c r="R7292"/>
    </row>
    <row r="7293" spans="14:18" x14ac:dyDescent="0.25">
      <c r="N7293"/>
      <c r="O7293"/>
      <c r="P7293"/>
      <c r="Q7293"/>
      <c r="R7293"/>
    </row>
    <row r="7294" spans="14:18" x14ac:dyDescent="0.25">
      <c r="N7294"/>
      <c r="O7294"/>
      <c r="P7294"/>
      <c r="Q7294"/>
      <c r="R7294"/>
    </row>
    <row r="7295" spans="14:18" x14ac:dyDescent="0.25">
      <c r="N7295"/>
      <c r="O7295"/>
      <c r="P7295"/>
      <c r="Q7295"/>
      <c r="R7295"/>
    </row>
    <row r="7296" spans="14:18" x14ac:dyDescent="0.25">
      <c r="N7296"/>
      <c r="O7296"/>
      <c r="P7296"/>
      <c r="Q7296"/>
      <c r="R7296"/>
    </row>
    <row r="7297" spans="14:18" x14ac:dyDescent="0.25">
      <c r="N7297"/>
      <c r="O7297"/>
      <c r="P7297"/>
      <c r="Q7297"/>
      <c r="R7297"/>
    </row>
    <row r="7298" spans="14:18" x14ac:dyDescent="0.25">
      <c r="N7298"/>
      <c r="O7298"/>
      <c r="P7298"/>
      <c r="Q7298"/>
      <c r="R7298"/>
    </row>
    <row r="7299" spans="14:18" x14ac:dyDescent="0.25">
      <c r="N7299"/>
      <c r="O7299"/>
      <c r="P7299"/>
      <c r="Q7299"/>
      <c r="R7299"/>
    </row>
    <row r="7300" spans="14:18" x14ac:dyDescent="0.25">
      <c r="N7300"/>
      <c r="O7300"/>
      <c r="P7300"/>
      <c r="Q7300"/>
      <c r="R7300"/>
    </row>
    <row r="7301" spans="14:18" x14ac:dyDescent="0.25">
      <c r="N7301"/>
      <c r="O7301"/>
      <c r="P7301"/>
      <c r="Q7301"/>
      <c r="R7301"/>
    </row>
    <row r="7302" spans="14:18" x14ac:dyDescent="0.25">
      <c r="N7302"/>
      <c r="O7302"/>
      <c r="P7302"/>
      <c r="Q7302"/>
      <c r="R7302"/>
    </row>
    <row r="7303" spans="14:18" x14ac:dyDescent="0.25">
      <c r="N7303"/>
      <c r="O7303"/>
      <c r="P7303"/>
      <c r="Q7303"/>
      <c r="R7303"/>
    </row>
    <row r="7304" spans="14:18" x14ac:dyDescent="0.25">
      <c r="N7304"/>
      <c r="O7304"/>
      <c r="P7304"/>
      <c r="Q7304"/>
      <c r="R7304"/>
    </row>
    <row r="7305" spans="14:18" x14ac:dyDescent="0.25">
      <c r="N7305"/>
      <c r="O7305"/>
      <c r="P7305"/>
      <c r="Q7305"/>
      <c r="R7305"/>
    </row>
    <row r="7306" spans="14:18" x14ac:dyDescent="0.25">
      <c r="N7306"/>
      <c r="O7306"/>
      <c r="P7306"/>
      <c r="Q7306"/>
      <c r="R7306"/>
    </row>
    <row r="7307" spans="14:18" x14ac:dyDescent="0.25">
      <c r="N7307"/>
      <c r="O7307"/>
      <c r="P7307"/>
      <c r="Q7307"/>
      <c r="R7307"/>
    </row>
    <row r="7308" spans="14:18" x14ac:dyDescent="0.25">
      <c r="N7308"/>
      <c r="O7308"/>
      <c r="P7308"/>
      <c r="Q7308"/>
      <c r="R7308"/>
    </row>
    <row r="7309" spans="14:18" x14ac:dyDescent="0.25">
      <c r="N7309"/>
      <c r="O7309"/>
      <c r="P7309"/>
      <c r="Q7309"/>
      <c r="R7309"/>
    </row>
    <row r="7310" spans="14:18" x14ac:dyDescent="0.25">
      <c r="N7310"/>
      <c r="O7310"/>
      <c r="P7310"/>
      <c r="Q7310"/>
      <c r="R7310"/>
    </row>
    <row r="7311" spans="14:18" x14ac:dyDescent="0.25">
      <c r="N7311"/>
      <c r="O7311"/>
      <c r="P7311"/>
      <c r="Q7311"/>
      <c r="R7311"/>
    </row>
    <row r="7312" spans="14:18" x14ac:dyDescent="0.25">
      <c r="N7312"/>
      <c r="O7312"/>
      <c r="P7312"/>
      <c r="Q7312"/>
      <c r="R7312"/>
    </row>
    <row r="7313" spans="14:18" x14ac:dyDescent="0.25">
      <c r="N7313"/>
      <c r="O7313"/>
      <c r="P7313"/>
      <c r="Q7313"/>
      <c r="R7313"/>
    </row>
    <row r="7314" spans="14:18" x14ac:dyDescent="0.25">
      <c r="N7314"/>
      <c r="O7314"/>
      <c r="P7314"/>
      <c r="Q7314"/>
      <c r="R7314"/>
    </row>
    <row r="7315" spans="14:18" x14ac:dyDescent="0.25">
      <c r="N7315"/>
      <c r="O7315"/>
      <c r="P7315"/>
      <c r="Q7315"/>
      <c r="R7315"/>
    </row>
    <row r="7316" spans="14:18" x14ac:dyDescent="0.25">
      <c r="N7316"/>
      <c r="O7316"/>
      <c r="P7316"/>
      <c r="Q7316"/>
      <c r="R7316"/>
    </row>
    <row r="7317" spans="14:18" x14ac:dyDescent="0.25">
      <c r="N7317"/>
      <c r="O7317"/>
      <c r="P7317"/>
      <c r="Q7317"/>
      <c r="R7317"/>
    </row>
    <row r="7318" spans="14:18" x14ac:dyDescent="0.25">
      <c r="N7318"/>
      <c r="O7318"/>
      <c r="P7318"/>
      <c r="Q7318"/>
      <c r="R7318"/>
    </row>
    <row r="7319" spans="14:18" x14ac:dyDescent="0.25">
      <c r="N7319"/>
      <c r="O7319"/>
      <c r="P7319"/>
      <c r="Q7319"/>
      <c r="R7319"/>
    </row>
    <row r="7320" spans="14:18" x14ac:dyDescent="0.25">
      <c r="N7320"/>
      <c r="O7320"/>
      <c r="P7320"/>
      <c r="Q7320"/>
      <c r="R7320"/>
    </row>
    <row r="7321" spans="14:18" x14ac:dyDescent="0.25">
      <c r="N7321"/>
      <c r="O7321"/>
      <c r="P7321"/>
      <c r="Q7321"/>
      <c r="R7321"/>
    </row>
    <row r="7322" spans="14:18" x14ac:dyDescent="0.25">
      <c r="N7322"/>
      <c r="O7322"/>
      <c r="P7322"/>
      <c r="Q7322"/>
      <c r="R7322"/>
    </row>
    <row r="7323" spans="14:18" x14ac:dyDescent="0.25">
      <c r="N7323"/>
      <c r="O7323"/>
      <c r="P7323"/>
      <c r="Q7323"/>
      <c r="R7323"/>
    </row>
    <row r="7324" spans="14:18" x14ac:dyDescent="0.25">
      <c r="N7324"/>
      <c r="O7324"/>
      <c r="P7324"/>
      <c r="Q7324"/>
      <c r="R7324"/>
    </row>
    <row r="7325" spans="14:18" x14ac:dyDescent="0.25">
      <c r="N7325"/>
      <c r="O7325"/>
      <c r="P7325"/>
      <c r="Q7325"/>
      <c r="R7325"/>
    </row>
    <row r="7326" spans="14:18" x14ac:dyDescent="0.25">
      <c r="N7326"/>
      <c r="O7326"/>
      <c r="P7326"/>
      <c r="Q7326"/>
      <c r="R7326"/>
    </row>
    <row r="7327" spans="14:18" x14ac:dyDescent="0.25">
      <c r="N7327"/>
      <c r="O7327"/>
      <c r="P7327"/>
      <c r="Q7327"/>
      <c r="R7327"/>
    </row>
    <row r="7328" spans="14:18" x14ac:dyDescent="0.25">
      <c r="N7328"/>
      <c r="O7328"/>
      <c r="P7328"/>
      <c r="Q7328"/>
      <c r="R7328"/>
    </row>
    <row r="7329" spans="14:18" x14ac:dyDescent="0.25">
      <c r="N7329"/>
      <c r="O7329"/>
      <c r="P7329"/>
      <c r="Q7329"/>
      <c r="R7329"/>
    </row>
    <row r="7330" spans="14:18" x14ac:dyDescent="0.25">
      <c r="N7330"/>
      <c r="O7330"/>
      <c r="P7330"/>
      <c r="Q7330"/>
      <c r="R7330"/>
    </row>
    <row r="7331" spans="14:18" x14ac:dyDescent="0.25">
      <c r="N7331"/>
      <c r="O7331"/>
      <c r="P7331"/>
      <c r="Q7331"/>
      <c r="R7331"/>
    </row>
    <row r="7332" spans="14:18" x14ac:dyDescent="0.25">
      <c r="N7332"/>
      <c r="O7332"/>
      <c r="P7332"/>
      <c r="Q7332"/>
      <c r="R7332"/>
    </row>
    <row r="7333" spans="14:18" x14ac:dyDescent="0.25">
      <c r="N7333"/>
      <c r="O7333"/>
      <c r="P7333"/>
      <c r="Q7333"/>
      <c r="R7333"/>
    </row>
    <row r="7334" spans="14:18" x14ac:dyDescent="0.25">
      <c r="N7334"/>
      <c r="O7334"/>
      <c r="P7334"/>
      <c r="Q7334"/>
      <c r="R7334"/>
    </row>
    <row r="7335" spans="14:18" x14ac:dyDescent="0.25">
      <c r="N7335"/>
      <c r="O7335"/>
      <c r="P7335"/>
      <c r="Q7335"/>
      <c r="R7335"/>
    </row>
    <row r="7336" spans="14:18" x14ac:dyDescent="0.25">
      <c r="N7336"/>
      <c r="O7336"/>
      <c r="P7336"/>
      <c r="Q7336"/>
      <c r="R7336"/>
    </row>
    <row r="7337" spans="14:18" x14ac:dyDescent="0.25">
      <c r="N7337"/>
      <c r="O7337"/>
      <c r="P7337"/>
      <c r="Q7337"/>
      <c r="R7337"/>
    </row>
    <row r="7338" spans="14:18" x14ac:dyDescent="0.25">
      <c r="N7338"/>
      <c r="O7338"/>
      <c r="P7338"/>
      <c r="Q7338"/>
      <c r="R7338"/>
    </row>
    <row r="7339" spans="14:18" x14ac:dyDescent="0.25">
      <c r="N7339"/>
      <c r="O7339"/>
      <c r="P7339"/>
      <c r="Q7339"/>
      <c r="R7339"/>
    </row>
    <row r="7340" spans="14:18" x14ac:dyDescent="0.25">
      <c r="N7340"/>
      <c r="O7340"/>
      <c r="P7340"/>
      <c r="Q7340"/>
      <c r="R7340"/>
    </row>
    <row r="7341" spans="14:18" x14ac:dyDescent="0.25">
      <c r="N7341"/>
      <c r="O7341"/>
      <c r="P7341"/>
      <c r="Q7341"/>
      <c r="R7341"/>
    </row>
    <row r="7342" spans="14:18" x14ac:dyDescent="0.25">
      <c r="N7342"/>
      <c r="O7342"/>
      <c r="P7342"/>
      <c r="Q7342"/>
      <c r="R7342"/>
    </row>
    <row r="7343" spans="14:18" x14ac:dyDescent="0.25">
      <c r="N7343"/>
      <c r="O7343"/>
      <c r="P7343"/>
      <c r="Q7343"/>
      <c r="R7343"/>
    </row>
    <row r="7344" spans="14:18" x14ac:dyDescent="0.25">
      <c r="N7344"/>
      <c r="O7344"/>
      <c r="P7344"/>
      <c r="Q7344"/>
      <c r="R7344"/>
    </row>
    <row r="7345" spans="14:18" x14ac:dyDescent="0.25">
      <c r="N7345"/>
      <c r="O7345"/>
      <c r="P7345"/>
      <c r="Q7345"/>
      <c r="R7345"/>
    </row>
    <row r="7346" spans="14:18" x14ac:dyDescent="0.25">
      <c r="N7346"/>
      <c r="O7346"/>
      <c r="P7346"/>
      <c r="Q7346"/>
      <c r="R7346"/>
    </row>
    <row r="7347" spans="14:18" x14ac:dyDescent="0.25">
      <c r="N7347"/>
      <c r="O7347"/>
      <c r="P7347"/>
      <c r="Q7347"/>
      <c r="R7347"/>
    </row>
    <row r="7348" spans="14:18" x14ac:dyDescent="0.25">
      <c r="N7348"/>
      <c r="O7348"/>
      <c r="P7348"/>
      <c r="Q7348"/>
      <c r="R7348"/>
    </row>
    <row r="7349" spans="14:18" x14ac:dyDescent="0.25">
      <c r="N7349"/>
      <c r="O7349"/>
      <c r="P7349"/>
      <c r="Q7349"/>
      <c r="R7349"/>
    </row>
    <row r="7350" spans="14:18" x14ac:dyDescent="0.25">
      <c r="N7350"/>
      <c r="O7350"/>
      <c r="P7350"/>
      <c r="Q7350"/>
      <c r="R7350"/>
    </row>
    <row r="7351" spans="14:18" x14ac:dyDescent="0.25">
      <c r="N7351"/>
      <c r="O7351"/>
      <c r="P7351"/>
      <c r="Q7351"/>
      <c r="R7351"/>
    </row>
    <row r="7352" spans="14:18" x14ac:dyDescent="0.25">
      <c r="N7352"/>
      <c r="O7352"/>
      <c r="P7352"/>
      <c r="Q7352"/>
      <c r="R7352"/>
    </row>
    <row r="7353" spans="14:18" x14ac:dyDescent="0.25">
      <c r="N7353"/>
      <c r="O7353"/>
      <c r="P7353"/>
      <c r="Q7353"/>
      <c r="R7353"/>
    </row>
    <row r="7354" spans="14:18" x14ac:dyDescent="0.25">
      <c r="N7354"/>
      <c r="O7354"/>
      <c r="P7354"/>
      <c r="Q7354"/>
      <c r="R7354"/>
    </row>
    <row r="7355" spans="14:18" x14ac:dyDescent="0.25">
      <c r="N7355"/>
      <c r="O7355"/>
      <c r="P7355"/>
      <c r="Q7355"/>
      <c r="R7355"/>
    </row>
    <row r="7356" spans="14:18" x14ac:dyDescent="0.25">
      <c r="N7356"/>
      <c r="O7356"/>
      <c r="P7356"/>
      <c r="Q7356"/>
      <c r="R7356"/>
    </row>
    <row r="7357" spans="14:18" x14ac:dyDescent="0.25">
      <c r="N7357"/>
      <c r="O7357"/>
      <c r="P7357"/>
      <c r="Q7357"/>
      <c r="R7357"/>
    </row>
    <row r="7358" spans="14:18" x14ac:dyDescent="0.25">
      <c r="N7358"/>
      <c r="O7358"/>
      <c r="P7358"/>
      <c r="Q7358"/>
      <c r="R7358"/>
    </row>
    <row r="7359" spans="14:18" x14ac:dyDescent="0.25">
      <c r="N7359"/>
      <c r="O7359"/>
      <c r="P7359"/>
      <c r="Q7359"/>
      <c r="R7359"/>
    </row>
    <row r="7360" spans="14:18" x14ac:dyDescent="0.25">
      <c r="N7360"/>
      <c r="O7360"/>
      <c r="P7360"/>
      <c r="Q7360"/>
      <c r="R7360"/>
    </row>
    <row r="7361" spans="14:18" x14ac:dyDescent="0.25">
      <c r="N7361"/>
      <c r="O7361"/>
      <c r="P7361"/>
      <c r="Q7361"/>
      <c r="R7361"/>
    </row>
    <row r="7362" spans="14:18" x14ac:dyDescent="0.25">
      <c r="N7362"/>
      <c r="O7362"/>
      <c r="P7362"/>
      <c r="Q7362"/>
      <c r="R7362"/>
    </row>
    <row r="7363" spans="14:18" x14ac:dyDescent="0.25">
      <c r="N7363"/>
      <c r="O7363"/>
      <c r="P7363"/>
      <c r="Q7363"/>
      <c r="R7363"/>
    </row>
    <row r="7364" spans="14:18" x14ac:dyDescent="0.25">
      <c r="N7364"/>
      <c r="O7364"/>
      <c r="P7364"/>
      <c r="Q7364"/>
      <c r="R7364"/>
    </row>
    <row r="7365" spans="14:18" x14ac:dyDescent="0.25">
      <c r="N7365"/>
      <c r="O7365"/>
      <c r="P7365"/>
      <c r="Q7365"/>
      <c r="R7365"/>
    </row>
    <row r="7366" spans="14:18" x14ac:dyDescent="0.25">
      <c r="N7366"/>
      <c r="O7366"/>
      <c r="P7366"/>
      <c r="Q7366"/>
      <c r="R7366"/>
    </row>
    <row r="7367" spans="14:18" x14ac:dyDescent="0.25">
      <c r="N7367"/>
      <c r="O7367"/>
      <c r="P7367"/>
      <c r="Q7367"/>
      <c r="R7367"/>
    </row>
    <row r="7368" spans="14:18" x14ac:dyDescent="0.25">
      <c r="N7368"/>
      <c r="O7368"/>
      <c r="P7368"/>
      <c r="Q7368"/>
      <c r="R7368"/>
    </row>
    <row r="7369" spans="14:18" x14ac:dyDescent="0.25">
      <c r="N7369"/>
      <c r="O7369"/>
      <c r="P7369"/>
      <c r="Q7369"/>
      <c r="R7369"/>
    </row>
    <row r="7370" spans="14:18" x14ac:dyDescent="0.25">
      <c r="N7370"/>
      <c r="O7370"/>
      <c r="P7370"/>
      <c r="Q7370"/>
      <c r="R7370"/>
    </row>
    <row r="7371" spans="14:18" x14ac:dyDescent="0.25">
      <c r="N7371"/>
      <c r="O7371"/>
      <c r="P7371"/>
      <c r="Q7371"/>
      <c r="R7371"/>
    </row>
    <row r="7372" spans="14:18" x14ac:dyDescent="0.25">
      <c r="N7372"/>
      <c r="O7372"/>
      <c r="P7372"/>
      <c r="Q7372"/>
      <c r="R7372"/>
    </row>
    <row r="7373" spans="14:18" x14ac:dyDescent="0.25">
      <c r="N7373"/>
      <c r="O7373"/>
      <c r="P7373"/>
      <c r="Q7373"/>
      <c r="R7373"/>
    </row>
    <row r="7374" spans="14:18" x14ac:dyDescent="0.25">
      <c r="N7374"/>
      <c r="O7374"/>
      <c r="P7374"/>
      <c r="Q7374"/>
      <c r="R7374"/>
    </row>
    <row r="7375" spans="14:18" x14ac:dyDescent="0.25">
      <c r="N7375"/>
      <c r="O7375"/>
      <c r="P7375"/>
      <c r="Q7375"/>
      <c r="R7375"/>
    </row>
    <row r="7376" spans="14:18" x14ac:dyDescent="0.25">
      <c r="N7376"/>
      <c r="O7376"/>
      <c r="P7376"/>
      <c r="Q7376"/>
      <c r="R7376"/>
    </row>
    <row r="7377" spans="14:18" x14ac:dyDescent="0.25">
      <c r="N7377"/>
      <c r="O7377"/>
      <c r="P7377"/>
      <c r="Q7377"/>
      <c r="R7377"/>
    </row>
    <row r="7378" spans="14:18" x14ac:dyDescent="0.25">
      <c r="N7378"/>
      <c r="O7378"/>
      <c r="P7378"/>
      <c r="Q7378"/>
      <c r="R7378"/>
    </row>
    <row r="7379" spans="14:18" x14ac:dyDescent="0.25">
      <c r="N7379"/>
      <c r="O7379"/>
      <c r="P7379"/>
      <c r="Q7379"/>
      <c r="R7379"/>
    </row>
    <row r="7380" spans="14:18" x14ac:dyDescent="0.25">
      <c r="N7380"/>
      <c r="O7380"/>
      <c r="P7380"/>
      <c r="Q7380"/>
      <c r="R7380"/>
    </row>
    <row r="7381" spans="14:18" x14ac:dyDescent="0.25">
      <c r="N7381"/>
      <c r="O7381"/>
      <c r="P7381"/>
      <c r="Q7381"/>
      <c r="R7381"/>
    </row>
    <row r="7382" spans="14:18" x14ac:dyDescent="0.25">
      <c r="N7382"/>
      <c r="O7382"/>
      <c r="P7382"/>
      <c r="Q7382"/>
      <c r="R7382"/>
    </row>
    <row r="7383" spans="14:18" x14ac:dyDescent="0.25">
      <c r="N7383"/>
      <c r="O7383"/>
      <c r="P7383"/>
      <c r="Q7383"/>
      <c r="R7383"/>
    </row>
    <row r="7384" spans="14:18" x14ac:dyDescent="0.25">
      <c r="N7384"/>
      <c r="O7384"/>
      <c r="P7384"/>
      <c r="Q7384"/>
      <c r="R7384"/>
    </row>
    <row r="7385" spans="14:18" x14ac:dyDescent="0.25">
      <c r="N7385"/>
      <c r="O7385"/>
      <c r="P7385"/>
      <c r="Q7385"/>
      <c r="R7385"/>
    </row>
    <row r="7386" spans="14:18" x14ac:dyDescent="0.25">
      <c r="N7386"/>
      <c r="O7386"/>
      <c r="P7386"/>
      <c r="Q7386"/>
      <c r="R7386"/>
    </row>
    <row r="7387" spans="14:18" x14ac:dyDescent="0.25">
      <c r="N7387"/>
      <c r="O7387"/>
      <c r="P7387"/>
      <c r="Q7387"/>
      <c r="R7387"/>
    </row>
    <row r="7388" spans="14:18" x14ac:dyDescent="0.25">
      <c r="N7388"/>
      <c r="O7388"/>
      <c r="P7388"/>
      <c r="Q7388"/>
      <c r="R7388"/>
    </row>
    <row r="7389" spans="14:18" x14ac:dyDescent="0.25">
      <c r="N7389"/>
      <c r="O7389"/>
      <c r="P7389"/>
      <c r="Q7389"/>
      <c r="R7389"/>
    </row>
    <row r="7390" spans="14:18" x14ac:dyDescent="0.25">
      <c r="N7390"/>
      <c r="O7390"/>
      <c r="P7390"/>
      <c r="Q7390"/>
      <c r="R7390"/>
    </row>
    <row r="7391" spans="14:18" x14ac:dyDescent="0.25">
      <c r="N7391"/>
      <c r="O7391"/>
      <c r="P7391"/>
      <c r="Q7391"/>
      <c r="R7391"/>
    </row>
    <row r="7392" spans="14:18" x14ac:dyDescent="0.25">
      <c r="N7392"/>
      <c r="O7392"/>
      <c r="P7392"/>
      <c r="Q7392"/>
      <c r="R7392"/>
    </row>
    <row r="7393" spans="14:18" x14ac:dyDescent="0.25">
      <c r="N7393"/>
      <c r="O7393"/>
      <c r="P7393"/>
      <c r="Q7393"/>
      <c r="R7393"/>
    </row>
    <row r="7394" spans="14:18" x14ac:dyDescent="0.25">
      <c r="N7394"/>
      <c r="O7394"/>
      <c r="P7394"/>
      <c r="Q7394"/>
      <c r="R7394"/>
    </row>
    <row r="7395" spans="14:18" x14ac:dyDescent="0.25">
      <c r="N7395"/>
      <c r="O7395"/>
      <c r="P7395"/>
      <c r="Q7395"/>
      <c r="R7395"/>
    </row>
    <row r="7396" spans="14:18" x14ac:dyDescent="0.25">
      <c r="N7396"/>
      <c r="O7396"/>
      <c r="P7396"/>
      <c r="Q7396"/>
      <c r="R7396"/>
    </row>
    <row r="7397" spans="14:18" x14ac:dyDescent="0.25">
      <c r="N7397"/>
      <c r="O7397"/>
      <c r="P7397"/>
      <c r="Q7397"/>
      <c r="R7397"/>
    </row>
    <row r="7398" spans="14:18" x14ac:dyDescent="0.25">
      <c r="N7398"/>
      <c r="O7398"/>
      <c r="P7398"/>
      <c r="Q7398"/>
      <c r="R7398"/>
    </row>
    <row r="7399" spans="14:18" x14ac:dyDescent="0.25">
      <c r="N7399"/>
      <c r="O7399"/>
      <c r="P7399"/>
      <c r="Q7399"/>
      <c r="R7399"/>
    </row>
    <row r="7400" spans="14:18" x14ac:dyDescent="0.25">
      <c r="N7400"/>
      <c r="O7400"/>
      <c r="P7400"/>
      <c r="Q7400"/>
      <c r="R7400"/>
    </row>
    <row r="7401" spans="14:18" x14ac:dyDescent="0.25">
      <c r="N7401"/>
      <c r="O7401"/>
      <c r="P7401"/>
      <c r="Q7401"/>
      <c r="R7401"/>
    </row>
    <row r="7402" spans="14:18" x14ac:dyDescent="0.25">
      <c r="N7402"/>
      <c r="O7402"/>
      <c r="P7402"/>
      <c r="Q7402"/>
      <c r="R7402"/>
    </row>
    <row r="7403" spans="14:18" x14ac:dyDescent="0.25">
      <c r="N7403"/>
      <c r="O7403"/>
      <c r="P7403"/>
      <c r="Q7403"/>
      <c r="R7403"/>
    </row>
    <row r="7404" spans="14:18" x14ac:dyDescent="0.25">
      <c r="N7404"/>
      <c r="O7404"/>
      <c r="P7404"/>
      <c r="Q7404"/>
      <c r="R7404"/>
    </row>
    <row r="7405" spans="14:18" x14ac:dyDescent="0.25">
      <c r="N7405"/>
      <c r="O7405"/>
      <c r="P7405"/>
      <c r="Q7405"/>
      <c r="R7405"/>
    </row>
    <row r="7406" spans="14:18" x14ac:dyDescent="0.25">
      <c r="N7406"/>
      <c r="O7406"/>
      <c r="P7406"/>
      <c r="Q7406"/>
      <c r="R7406"/>
    </row>
    <row r="7407" spans="14:18" x14ac:dyDescent="0.25">
      <c r="N7407"/>
      <c r="O7407"/>
      <c r="P7407"/>
      <c r="Q7407"/>
      <c r="R7407"/>
    </row>
    <row r="7408" spans="14:18" x14ac:dyDescent="0.25">
      <c r="N7408"/>
      <c r="O7408"/>
      <c r="P7408"/>
      <c r="Q7408"/>
      <c r="R7408"/>
    </row>
    <row r="7409" spans="14:18" x14ac:dyDescent="0.25">
      <c r="N7409"/>
      <c r="O7409"/>
      <c r="P7409"/>
      <c r="Q7409"/>
      <c r="R7409"/>
    </row>
    <row r="7410" spans="14:18" x14ac:dyDescent="0.25">
      <c r="N7410"/>
      <c r="O7410"/>
      <c r="P7410"/>
      <c r="Q7410"/>
      <c r="R7410"/>
    </row>
    <row r="7411" spans="14:18" x14ac:dyDescent="0.25">
      <c r="N7411"/>
      <c r="O7411"/>
      <c r="P7411"/>
      <c r="Q7411"/>
      <c r="R7411"/>
    </row>
    <row r="7412" spans="14:18" x14ac:dyDescent="0.25">
      <c r="N7412"/>
      <c r="O7412"/>
      <c r="P7412"/>
      <c r="Q7412"/>
      <c r="R7412"/>
    </row>
    <row r="7413" spans="14:18" x14ac:dyDescent="0.25">
      <c r="N7413"/>
      <c r="O7413"/>
      <c r="P7413"/>
      <c r="Q7413"/>
      <c r="R7413"/>
    </row>
    <row r="7414" spans="14:18" x14ac:dyDescent="0.25">
      <c r="N7414"/>
      <c r="O7414"/>
      <c r="P7414"/>
      <c r="Q7414"/>
      <c r="R7414"/>
    </row>
    <row r="7415" spans="14:18" x14ac:dyDescent="0.25">
      <c r="N7415"/>
      <c r="O7415"/>
      <c r="P7415"/>
      <c r="Q7415"/>
      <c r="R7415"/>
    </row>
    <row r="7416" spans="14:18" x14ac:dyDescent="0.25">
      <c r="N7416"/>
      <c r="O7416"/>
      <c r="P7416"/>
      <c r="Q7416"/>
      <c r="R7416"/>
    </row>
    <row r="7417" spans="14:18" x14ac:dyDescent="0.25">
      <c r="N7417"/>
      <c r="O7417"/>
      <c r="P7417"/>
      <c r="Q7417"/>
      <c r="R7417"/>
    </row>
    <row r="7418" spans="14:18" x14ac:dyDescent="0.25">
      <c r="N7418"/>
      <c r="O7418"/>
      <c r="P7418"/>
      <c r="Q7418"/>
      <c r="R7418"/>
    </row>
    <row r="7419" spans="14:18" x14ac:dyDescent="0.25">
      <c r="N7419"/>
      <c r="O7419"/>
      <c r="P7419"/>
      <c r="Q7419"/>
      <c r="R7419"/>
    </row>
    <row r="7420" spans="14:18" x14ac:dyDescent="0.25">
      <c r="N7420"/>
      <c r="O7420"/>
      <c r="P7420"/>
      <c r="Q7420"/>
      <c r="R7420"/>
    </row>
    <row r="7421" spans="14:18" x14ac:dyDescent="0.25">
      <c r="N7421"/>
      <c r="O7421"/>
      <c r="P7421"/>
      <c r="Q7421"/>
      <c r="R7421"/>
    </row>
    <row r="7422" spans="14:18" x14ac:dyDescent="0.25">
      <c r="N7422"/>
      <c r="O7422"/>
      <c r="P7422"/>
      <c r="Q7422"/>
      <c r="R7422"/>
    </row>
    <row r="7423" spans="14:18" x14ac:dyDescent="0.25">
      <c r="N7423"/>
      <c r="O7423"/>
      <c r="P7423"/>
      <c r="Q7423"/>
      <c r="R7423"/>
    </row>
    <row r="7424" spans="14:18" x14ac:dyDescent="0.25">
      <c r="N7424"/>
      <c r="O7424"/>
      <c r="P7424"/>
      <c r="Q7424"/>
      <c r="R7424"/>
    </row>
    <row r="7425" spans="14:18" x14ac:dyDescent="0.25">
      <c r="N7425"/>
      <c r="O7425"/>
      <c r="P7425"/>
      <c r="Q7425"/>
      <c r="R7425"/>
    </row>
    <row r="7426" spans="14:18" x14ac:dyDescent="0.25">
      <c r="N7426"/>
      <c r="O7426"/>
      <c r="P7426"/>
      <c r="Q7426"/>
      <c r="R7426"/>
    </row>
    <row r="7427" spans="14:18" x14ac:dyDescent="0.25">
      <c r="N7427"/>
      <c r="O7427"/>
      <c r="P7427"/>
      <c r="Q7427"/>
      <c r="R7427"/>
    </row>
    <row r="7428" spans="14:18" x14ac:dyDescent="0.25">
      <c r="N7428"/>
      <c r="O7428"/>
      <c r="P7428"/>
      <c r="Q7428"/>
      <c r="R7428"/>
    </row>
    <row r="7429" spans="14:18" x14ac:dyDescent="0.25">
      <c r="N7429"/>
      <c r="O7429"/>
      <c r="P7429"/>
      <c r="Q7429"/>
      <c r="R7429"/>
    </row>
    <row r="7430" spans="14:18" x14ac:dyDescent="0.25">
      <c r="N7430"/>
      <c r="O7430"/>
      <c r="P7430"/>
      <c r="Q7430"/>
      <c r="R7430"/>
    </row>
    <row r="7431" spans="14:18" x14ac:dyDescent="0.25">
      <c r="N7431"/>
      <c r="O7431"/>
      <c r="P7431"/>
      <c r="Q7431"/>
      <c r="R7431"/>
    </row>
    <row r="7432" spans="14:18" x14ac:dyDescent="0.25">
      <c r="N7432"/>
      <c r="O7432"/>
      <c r="P7432"/>
      <c r="Q7432"/>
      <c r="R7432"/>
    </row>
    <row r="7433" spans="14:18" x14ac:dyDescent="0.25">
      <c r="N7433"/>
      <c r="O7433"/>
      <c r="P7433"/>
      <c r="Q7433"/>
      <c r="R7433"/>
    </row>
    <row r="7434" spans="14:18" x14ac:dyDescent="0.25">
      <c r="N7434"/>
      <c r="O7434"/>
      <c r="P7434"/>
      <c r="Q7434"/>
      <c r="R7434"/>
    </row>
    <row r="7435" spans="14:18" x14ac:dyDescent="0.25">
      <c r="N7435"/>
      <c r="O7435"/>
      <c r="P7435"/>
      <c r="Q7435"/>
      <c r="R7435"/>
    </row>
    <row r="7436" spans="14:18" x14ac:dyDescent="0.25">
      <c r="N7436"/>
      <c r="O7436"/>
      <c r="P7436"/>
      <c r="Q7436"/>
      <c r="R7436"/>
    </row>
    <row r="7437" spans="14:18" x14ac:dyDescent="0.25">
      <c r="N7437"/>
      <c r="O7437"/>
      <c r="P7437"/>
      <c r="Q7437"/>
      <c r="R7437"/>
    </row>
    <row r="7438" spans="14:18" x14ac:dyDescent="0.25">
      <c r="N7438"/>
      <c r="O7438"/>
      <c r="P7438"/>
      <c r="Q7438"/>
      <c r="R7438"/>
    </row>
    <row r="7439" spans="14:18" x14ac:dyDescent="0.25">
      <c r="N7439"/>
      <c r="O7439"/>
      <c r="P7439"/>
      <c r="Q7439"/>
      <c r="R7439"/>
    </row>
    <row r="7440" spans="14:18" x14ac:dyDescent="0.25">
      <c r="N7440"/>
      <c r="O7440"/>
      <c r="P7440"/>
      <c r="Q7440"/>
      <c r="R7440"/>
    </row>
    <row r="7441" spans="14:18" x14ac:dyDescent="0.25">
      <c r="N7441"/>
      <c r="O7441"/>
      <c r="P7441"/>
      <c r="Q7441"/>
      <c r="R7441"/>
    </row>
    <row r="7442" spans="14:18" x14ac:dyDescent="0.25">
      <c r="N7442"/>
      <c r="O7442"/>
      <c r="P7442"/>
      <c r="Q7442"/>
      <c r="R7442"/>
    </row>
    <row r="7443" spans="14:18" x14ac:dyDescent="0.25">
      <c r="N7443"/>
      <c r="O7443"/>
      <c r="P7443"/>
      <c r="Q7443"/>
      <c r="R7443"/>
    </row>
    <row r="7444" spans="14:18" x14ac:dyDescent="0.25">
      <c r="N7444"/>
      <c r="O7444"/>
      <c r="P7444"/>
      <c r="Q7444"/>
      <c r="R7444"/>
    </row>
    <row r="7445" spans="14:18" x14ac:dyDescent="0.25">
      <c r="N7445"/>
      <c r="O7445"/>
      <c r="P7445"/>
      <c r="Q7445"/>
      <c r="R7445"/>
    </row>
    <row r="7446" spans="14:18" x14ac:dyDescent="0.25">
      <c r="N7446"/>
      <c r="O7446"/>
      <c r="P7446"/>
      <c r="Q7446"/>
      <c r="R7446"/>
    </row>
    <row r="7447" spans="14:18" x14ac:dyDescent="0.25">
      <c r="N7447"/>
      <c r="O7447"/>
      <c r="P7447"/>
      <c r="Q7447"/>
      <c r="R7447"/>
    </row>
    <row r="7448" spans="14:18" x14ac:dyDescent="0.25">
      <c r="N7448"/>
      <c r="O7448"/>
      <c r="P7448"/>
      <c r="Q7448"/>
      <c r="R7448"/>
    </row>
    <row r="7449" spans="14:18" x14ac:dyDescent="0.25">
      <c r="N7449"/>
      <c r="O7449"/>
      <c r="P7449"/>
      <c r="Q7449"/>
      <c r="R7449"/>
    </row>
    <row r="7450" spans="14:18" x14ac:dyDescent="0.25">
      <c r="N7450"/>
      <c r="O7450"/>
      <c r="P7450"/>
      <c r="Q7450"/>
      <c r="R7450"/>
    </row>
    <row r="7451" spans="14:18" x14ac:dyDescent="0.25">
      <c r="N7451"/>
      <c r="O7451"/>
      <c r="P7451"/>
      <c r="Q7451"/>
      <c r="R7451"/>
    </row>
    <row r="7452" spans="14:18" x14ac:dyDescent="0.25">
      <c r="N7452"/>
      <c r="O7452"/>
      <c r="P7452"/>
      <c r="Q7452"/>
      <c r="R7452"/>
    </row>
    <row r="7453" spans="14:18" x14ac:dyDescent="0.25">
      <c r="N7453"/>
      <c r="O7453"/>
      <c r="P7453"/>
      <c r="Q7453"/>
      <c r="R7453"/>
    </row>
    <row r="7454" spans="14:18" x14ac:dyDescent="0.25">
      <c r="N7454"/>
      <c r="O7454"/>
      <c r="P7454"/>
      <c r="Q7454"/>
      <c r="R7454"/>
    </row>
    <row r="7455" spans="14:18" x14ac:dyDescent="0.25">
      <c r="N7455"/>
      <c r="O7455"/>
      <c r="P7455"/>
      <c r="Q7455"/>
      <c r="R7455"/>
    </row>
    <row r="7456" spans="14:18" x14ac:dyDescent="0.25">
      <c r="N7456"/>
      <c r="O7456"/>
      <c r="P7456"/>
      <c r="Q7456"/>
      <c r="R7456"/>
    </row>
    <row r="7457" spans="14:18" x14ac:dyDescent="0.25">
      <c r="N7457"/>
      <c r="O7457"/>
      <c r="P7457"/>
      <c r="Q7457"/>
      <c r="R7457"/>
    </row>
    <row r="7458" spans="14:18" x14ac:dyDescent="0.25">
      <c r="N7458"/>
      <c r="O7458"/>
      <c r="P7458"/>
      <c r="Q7458"/>
      <c r="R7458"/>
    </row>
    <row r="7459" spans="14:18" x14ac:dyDescent="0.25">
      <c r="N7459"/>
      <c r="O7459"/>
      <c r="P7459"/>
      <c r="Q7459"/>
      <c r="R7459"/>
    </row>
    <row r="7460" spans="14:18" x14ac:dyDescent="0.25">
      <c r="N7460"/>
      <c r="O7460"/>
      <c r="P7460"/>
      <c r="Q7460"/>
      <c r="R7460"/>
    </row>
    <row r="7461" spans="14:18" x14ac:dyDescent="0.25">
      <c r="N7461"/>
      <c r="O7461"/>
      <c r="P7461"/>
      <c r="Q7461"/>
      <c r="R7461"/>
    </row>
    <row r="7462" spans="14:18" x14ac:dyDescent="0.25">
      <c r="N7462"/>
      <c r="O7462"/>
      <c r="P7462"/>
      <c r="Q7462"/>
      <c r="R7462"/>
    </row>
    <row r="7463" spans="14:18" x14ac:dyDescent="0.25">
      <c r="N7463"/>
      <c r="O7463"/>
      <c r="P7463"/>
      <c r="Q7463"/>
      <c r="R7463"/>
    </row>
    <row r="7464" spans="14:18" x14ac:dyDescent="0.25">
      <c r="N7464"/>
      <c r="O7464"/>
      <c r="P7464"/>
      <c r="Q7464"/>
      <c r="R7464"/>
    </row>
    <row r="7465" spans="14:18" x14ac:dyDescent="0.25">
      <c r="N7465"/>
      <c r="O7465"/>
      <c r="P7465"/>
      <c r="Q7465"/>
      <c r="R7465"/>
    </row>
    <row r="7466" spans="14:18" x14ac:dyDescent="0.25">
      <c r="N7466"/>
      <c r="O7466"/>
      <c r="P7466"/>
      <c r="Q7466"/>
      <c r="R7466"/>
    </row>
    <row r="7467" spans="14:18" x14ac:dyDescent="0.25">
      <c r="N7467"/>
      <c r="O7467"/>
      <c r="P7467"/>
      <c r="Q7467"/>
      <c r="R7467"/>
    </row>
    <row r="7468" spans="14:18" x14ac:dyDescent="0.25">
      <c r="N7468"/>
      <c r="O7468"/>
      <c r="P7468"/>
      <c r="Q7468"/>
      <c r="R7468"/>
    </row>
    <row r="7469" spans="14:18" x14ac:dyDescent="0.25">
      <c r="N7469"/>
      <c r="O7469"/>
      <c r="P7469"/>
      <c r="Q7469"/>
      <c r="R7469"/>
    </row>
    <row r="7470" spans="14:18" x14ac:dyDescent="0.25">
      <c r="N7470"/>
      <c r="O7470"/>
      <c r="P7470"/>
      <c r="Q7470"/>
      <c r="R7470"/>
    </row>
    <row r="7471" spans="14:18" x14ac:dyDescent="0.25">
      <c r="N7471"/>
      <c r="O7471"/>
      <c r="P7471"/>
      <c r="Q7471"/>
      <c r="R7471"/>
    </row>
    <row r="7472" spans="14:18" x14ac:dyDescent="0.25">
      <c r="N7472"/>
      <c r="O7472"/>
      <c r="P7472"/>
      <c r="Q7472"/>
      <c r="R7472"/>
    </row>
    <row r="7473" spans="14:18" x14ac:dyDescent="0.25">
      <c r="N7473"/>
      <c r="O7473"/>
      <c r="P7473"/>
      <c r="Q7473"/>
      <c r="R7473"/>
    </row>
    <row r="7474" spans="14:18" x14ac:dyDescent="0.25">
      <c r="N7474"/>
      <c r="O7474"/>
      <c r="P7474"/>
      <c r="Q7474"/>
      <c r="R7474"/>
    </row>
    <row r="7475" spans="14:18" x14ac:dyDescent="0.25">
      <c r="N7475"/>
      <c r="O7475"/>
      <c r="P7475"/>
      <c r="Q7475"/>
      <c r="R7475"/>
    </row>
    <row r="7476" spans="14:18" x14ac:dyDescent="0.25">
      <c r="N7476"/>
      <c r="O7476"/>
      <c r="P7476"/>
      <c r="Q7476"/>
      <c r="R7476"/>
    </row>
    <row r="7477" spans="14:18" x14ac:dyDescent="0.25">
      <c r="N7477"/>
      <c r="O7477"/>
      <c r="P7477"/>
      <c r="Q7477"/>
      <c r="R7477"/>
    </row>
    <row r="7478" spans="14:18" x14ac:dyDescent="0.25">
      <c r="N7478"/>
      <c r="O7478"/>
      <c r="P7478"/>
      <c r="Q7478"/>
      <c r="R7478"/>
    </row>
    <row r="7479" spans="14:18" x14ac:dyDescent="0.25">
      <c r="N7479"/>
      <c r="O7479"/>
      <c r="P7479"/>
      <c r="Q7479"/>
      <c r="R7479"/>
    </row>
    <row r="7480" spans="14:18" x14ac:dyDescent="0.25">
      <c r="N7480"/>
      <c r="O7480"/>
      <c r="P7480"/>
      <c r="Q7480"/>
      <c r="R7480"/>
    </row>
    <row r="7481" spans="14:18" x14ac:dyDescent="0.25">
      <c r="N7481"/>
      <c r="O7481"/>
      <c r="P7481"/>
      <c r="Q7481"/>
      <c r="R7481"/>
    </row>
    <row r="7482" spans="14:18" x14ac:dyDescent="0.25">
      <c r="N7482"/>
      <c r="O7482"/>
      <c r="P7482"/>
      <c r="Q7482"/>
      <c r="R7482"/>
    </row>
    <row r="7483" spans="14:18" x14ac:dyDescent="0.25">
      <c r="N7483"/>
      <c r="O7483"/>
      <c r="P7483"/>
      <c r="Q7483"/>
      <c r="R7483"/>
    </row>
    <row r="7484" spans="14:18" x14ac:dyDescent="0.25">
      <c r="N7484"/>
      <c r="O7484"/>
      <c r="P7484"/>
      <c r="Q7484"/>
      <c r="R7484"/>
    </row>
    <row r="7485" spans="14:18" x14ac:dyDescent="0.25">
      <c r="N7485"/>
      <c r="O7485"/>
      <c r="P7485"/>
      <c r="Q7485"/>
      <c r="R7485"/>
    </row>
    <row r="7486" spans="14:18" x14ac:dyDescent="0.25">
      <c r="N7486"/>
      <c r="O7486"/>
      <c r="P7486"/>
      <c r="Q7486"/>
      <c r="R7486"/>
    </row>
    <row r="7487" spans="14:18" x14ac:dyDescent="0.25">
      <c r="N7487"/>
      <c r="O7487"/>
      <c r="P7487"/>
      <c r="Q7487"/>
      <c r="R7487"/>
    </row>
    <row r="7488" spans="14:18" x14ac:dyDescent="0.25">
      <c r="N7488"/>
      <c r="O7488"/>
      <c r="P7488"/>
      <c r="Q7488"/>
      <c r="R7488"/>
    </row>
    <row r="7489" spans="14:18" x14ac:dyDescent="0.25">
      <c r="N7489"/>
      <c r="O7489"/>
      <c r="P7489"/>
      <c r="Q7489"/>
      <c r="R7489"/>
    </row>
    <row r="7490" spans="14:18" x14ac:dyDescent="0.25">
      <c r="N7490"/>
      <c r="O7490"/>
      <c r="P7490"/>
      <c r="Q7490"/>
      <c r="R7490"/>
    </row>
    <row r="7491" spans="14:18" x14ac:dyDescent="0.25">
      <c r="N7491"/>
      <c r="O7491"/>
      <c r="P7491"/>
      <c r="Q7491"/>
      <c r="R7491"/>
    </row>
    <row r="7492" spans="14:18" x14ac:dyDescent="0.25">
      <c r="N7492"/>
      <c r="O7492"/>
      <c r="P7492"/>
      <c r="Q7492"/>
      <c r="R7492"/>
    </row>
    <row r="7493" spans="14:18" x14ac:dyDescent="0.25">
      <c r="N7493"/>
      <c r="O7493"/>
      <c r="P7493"/>
      <c r="Q7493"/>
      <c r="R7493"/>
    </row>
    <row r="7494" spans="14:18" x14ac:dyDescent="0.25">
      <c r="N7494"/>
      <c r="O7494"/>
      <c r="P7494"/>
      <c r="Q7494"/>
      <c r="R7494"/>
    </row>
    <row r="7495" spans="14:18" x14ac:dyDescent="0.25">
      <c r="N7495"/>
      <c r="O7495"/>
      <c r="P7495"/>
      <c r="Q7495"/>
      <c r="R7495"/>
    </row>
    <row r="7496" spans="14:18" x14ac:dyDescent="0.25">
      <c r="N7496"/>
      <c r="O7496"/>
      <c r="P7496"/>
      <c r="Q7496"/>
      <c r="R7496"/>
    </row>
    <row r="7497" spans="14:18" x14ac:dyDescent="0.25">
      <c r="N7497"/>
      <c r="O7497"/>
      <c r="P7497"/>
      <c r="Q7497"/>
      <c r="R7497"/>
    </row>
    <row r="7498" spans="14:18" x14ac:dyDescent="0.25">
      <c r="N7498"/>
      <c r="O7498"/>
      <c r="P7498"/>
      <c r="Q7498"/>
      <c r="R7498"/>
    </row>
    <row r="7499" spans="14:18" x14ac:dyDescent="0.25">
      <c r="N7499"/>
      <c r="O7499"/>
      <c r="P7499"/>
      <c r="Q7499"/>
      <c r="R7499"/>
    </row>
    <row r="7500" spans="14:18" x14ac:dyDescent="0.25">
      <c r="N7500"/>
      <c r="O7500"/>
      <c r="P7500"/>
      <c r="Q7500"/>
      <c r="R7500"/>
    </row>
    <row r="7501" spans="14:18" x14ac:dyDescent="0.25">
      <c r="N7501"/>
      <c r="O7501"/>
      <c r="P7501"/>
      <c r="Q7501"/>
      <c r="R7501"/>
    </row>
    <row r="7502" spans="14:18" x14ac:dyDescent="0.25">
      <c r="N7502"/>
      <c r="O7502"/>
      <c r="P7502"/>
      <c r="Q7502"/>
      <c r="R7502"/>
    </row>
    <row r="7503" spans="14:18" x14ac:dyDescent="0.25">
      <c r="N7503"/>
      <c r="O7503"/>
      <c r="P7503"/>
      <c r="Q7503"/>
      <c r="R7503"/>
    </row>
    <row r="7504" spans="14:18" x14ac:dyDescent="0.25">
      <c r="N7504"/>
      <c r="O7504"/>
      <c r="P7504"/>
      <c r="Q7504"/>
      <c r="R7504"/>
    </row>
    <row r="7505" spans="14:18" x14ac:dyDescent="0.25">
      <c r="N7505"/>
      <c r="O7505"/>
      <c r="P7505"/>
      <c r="Q7505"/>
      <c r="R7505"/>
    </row>
    <row r="7506" spans="14:18" x14ac:dyDescent="0.25">
      <c r="N7506"/>
      <c r="O7506"/>
      <c r="P7506"/>
      <c r="Q7506"/>
      <c r="R7506"/>
    </row>
    <row r="7507" spans="14:18" x14ac:dyDescent="0.25">
      <c r="N7507"/>
      <c r="O7507"/>
      <c r="P7507"/>
      <c r="Q7507"/>
      <c r="R7507"/>
    </row>
    <row r="7508" spans="14:18" x14ac:dyDescent="0.25">
      <c r="N7508"/>
      <c r="O7508"/>
      <c r="P7508"/>
      <c r="Q7508"/>
      <c r="R7508"/>
    </row>
    <row r="7509" spans="14:18" x14ac:dyDescent="0.25">
      <c r="N7509"/>
      <c r="O7509"/>
      <c r="P7509"/>
      <c r="Q7509"/>
      <c r="R7509"/>
    </row>
    <row r="7510" spans="14:18" x14ac:dyDescent="0.25">
      <c r="N7510"/>
      <c r="O7510"/>
      <c r="P7510"/>
      <c r="Q7510"/>
      <c r="R7510"/>
    </row>
    <row r="7511" spans="14:18" x14ac:dyDescent="0.25">
      <c r="N7511"/>
      <c r="O7511"/>
      <c r="P7511"/>
      <c r="Q7511"/>
      <c r="R7511"/>
    </row>
    <row r="7512" spans="14:18" x14ac:dyDescent="0.25">
      <c r="N7512"/>
      <c r="O7512"/>
      <c r="P7512"/>
      <c r="Q7512"/>
      <c r="R7512"/>
    </row>
    <row r="7513" spans="14:18" x14ac:dyDescent="0.25">
      <c r="N7513"/>
      <c r="O7513"/>
      <c r="P7513"/>
      <c r="Q7513"/>
      <c r="R7513"/>
    </row>
    <row r="7514" spans="14:18" x14ac:dyDescent="0.25">
      <c r="N7514"/>
      <c r="O7514"/>
      <c r="P7514"/>
      <c r="Q7514"/>
      <c r="R7514"/>
    </row>
    <row r="7515" spans="14:18" x14ac:dyDescent="0.25">
      <c r="N7515"/>
      <c r="O7515"/>
      <c r="P7515"/>
      <c r="Q7515"/>
      <c r="R7515"/>
    </row>
    <row r="7516" spans="14:18" x14ac:dyDescent="0.25">
      <c r="N7516"/>
      <c r="O7516"/>
      <c r="P7516"/>
      <c r="Q7516"/>
      <c r="R7516"/>
    </row>
    <row r="7517" spans="14:18" x14ac:dyDescent="0.25">
      <c r="N7517"/>
      <c r="O7517"/>
      <c r="P7517"/>
      <c r="Q7517"/>
      <c r="R7517"/>
    </row>
    <row r="7518" spans="14:18" x14ac:dyDescent="0.25">
      <c r="N7518"/>
      <c r="O7518"/>
      <c r="P7518"/>
      <c r="Q7518"/>
      <c r="R7518"/>
    </row>
    <row r="7519" spans="14:18" x14ac:dyDescent="0.25">
      <c r="N7519"/>
      <c r="O7519"/>
      <c r="P7519"/>
      <c r="Q7519"/>
      <c r="R7519"/>
    </row>
    <row r="7520" spans="14:18" x14ac:dyDescent="0.25">
      <c r="N7520"/>
      <c r="O7520"/>
      <c r="P7520"/>
      <c r="Q7520"/>
      <c r="R7520"/>
    </row>
    <row r="7521" spans="14:18" x14ac:dyDescent="0.25">
      <c r="N7521"/>
      <c r="O7521"/>
      <c r="P7521"/>
      <c r="Q7521"/>
      <c r="R7521"/>
    </row>
    <row r="7522" spans="14:18" x14ac:dyDescent="0.25">
      <c r="N7522"/>
      <c r="O7522"/>
      <c r="P7522"/>
      <c r="Q7522"/>
      <c r="R7522"/>
    </row>
    <row r="7523" spans="14:18" x14ac:dyDescent="0.25">
      <c r="N7523"/>
      <c r="O7523"/>
      <c r="P7523"/>
      <c r="Q7523"/>
      <c r="R7523"/>
    </row>
    <row r="7524" spans="14:18" x14ac:dyDescent="0.25">
      <c r="N7524"/>
      <c r="O7524"/>
      <c r="P7524"/>
      <c r="Q7524"/>
      <c r="R7524"/>
    </row>
    <row r="7525" spans="14:18" x14ac:dyDescent="0.25">
      <c r="N7525"/>
      <c r="O7525"/>
      <c r="P7525"/>
      <c r="Q7525"/>
      <c r="R7525"/>
    </row>
    <row r="7526" spans="14:18" x14ac:dyDescent="0.25">
      <c r="N7526"/>
      <c r="O7526"/>
      <c r="P7526"/>
      <c r="Q7526"/>
      <c r="R7526"/>
    </row>
    <row r="7527" spans="14:18" x14ac:dyDescent="0.25">
      <c r="N7527"/>
      <c r="O7527"/>
      <c r="P7527"/>
      <c r="Q7527"/>
      <c r="R7527"/>
    </row>
    <row r="7528" spans="14:18" x14ac:dyDescent="0.25">
      <c r="N7528"/>
      <c r="O7528"/>
      <c r="P7528"/>
      <c r="Q7528"/>
      <c r="R7528"/>
    </row>
    <row r="7529" spans="14:18" x14ac:dyDescent="0.25">
      <c r="N7529"/>
      <c r="O7529"/>
      <c r="P7529"/>
      <c r="Q7529"/>
      <c r="R7529"/>
    </row>
    <row r="7530" spans="14:18" x14ac:dyDescent="0.25">
      <c r="N7530"/>
      <c r="O7530"/>
      <c r="P7530"/>
      <c r="Q7530"/>
      <c r="R7530"/>
    </row>
    <row r="7531" spans="14:18" x14ac:dyDescent="0.25">
      <c r="N7531"/>
      <c r="O7531"/>
      <c r="P7531"/>
      <c r="Q7531"/>
      <c r="R7531"/>
    </row>
    <row r="7532" spans="14:18" x14ac:dyDescent="0.25">
      <c r="N7532"/>
      <c r="O7532"/>
      <c r="P7532"/>
      <c r="Q7532"/>
      <c r="R7532"/>
    </row>
    <row r="7533" spans="14:18" x14ac:dyDescent="0.25">
      <c r="N7533"/>
      <c r="O7533"/>
      <c r="P7533"/>
      <c r="Q7533"/>
      <c r="R7533"/>
    </row>
    <row r="7534" spans="14:18" x14ac:dyDescent="0.25">
      <c r="N7534"/>
      <c r="O7534"/>
      <c r="P7534"/>
      <c r="Q7534"/>
      <c r="R7534"/>
    </row>
    <row r="7535" spans="14:18" x14ac:dyDescent="0.25">
      <c r="N7535"/>
      <c r="O7535"/>
      <c r="P7535"/>
      <c r="Q7535"/>
      <c r="R7535"/>
    </row>
    <row r="7536" spans="14:18" x14ac:dyDescent="0.25">
      <c r="N7536"/>
      <c r="O7536"/>
      <c r="P7536"/>
      <c r="Q7536"/>
      <c r="R7536"/>
    </row>
    <row r="7537" spans="14:18" x14ac:dyDescent="0.25">
      <c r="N7537"/>
      <c r="O7537"/>
      <c r="P7537"/>
      <c r="Q7537"/>
      <c r="R7537"/>
    </row>
    <row r="7538" spans="14:18" x14ac:dyDescent="0.25">
      <c r="N7538"/>
      <c r="O7538"/>
      <c r="P7538"/>
      <c r="Q7538"/>
      <c r="R7538"/>
    </row>
    <row r="7539" spans="14:18" x14ac:dyDescent="0.25">
      <c r="N7539"/>
      <c r="O7539"/>
      <c r="P7539"/>
      <c r="Q7539"/>
      <c r="R7539"/>
    </row>
    <row r="7540" spans="14:18" x14ac:dyDescent="0.25">
      <c r="N7540"/>
      <c r="O7540"/>
      <c r="P7540"/>
      <c r="Q7540"/>
      <c r="R7540"/>
    </row>
    <row r="7541" spans="14:18" x14ac:dyDescent="0.25">
      <c r="N7541"/>
      <c r="O7541"/>
      <c r="P7541"/>
      <c r="Q7541"/>
      <c r="R7541"/>
    </row>
    <row r="7542" spans="14:18" x14ac:dyDescent="0.25">
      <c r="N7542"/>
      <c r="O7542"/>
      <c r="P7542"/>
      <c r="Q7542"/>
      <c r="R7542"/>
    </row>
    <row r="7543" spans="14:18" x14ac:dyDescent="0.25">
      <c r="N7543"/>
      <c r="O7543"/>
      <c r="P7543"/>
      <c r="Q7543"/>
      <c r="R7543"/>
    </row>
    <row r="7544" spans="14:18" x14ac:dyDescent="0.25">
      <c r="N7544"/>
      <c r="O7544"/>
      <c r="P7544"/>
      <c r="Q7544"/>
      <c r="R7544"/>
    </row>
    <row r="7545" spans="14:18" x14ac:dyDescent="0.25">
      <c r="N7545"/>
      <c r="O7545"/>
      <c r="P7545"/>
      <c r="Q7545"/>
      <c r="R7545"/>
    </row>
    <row r="7546" spans="14:18" x14ac:dyDescent="0.25">
      <c r="N7546"/>
      <c r="O7546"/>
      <c r="P7546"/>
      <c r="Q7546"/>
      <c r="R7546"/>
    </row>
    <row r="7547" spans="14:18" x14ac:dyDescent="0.25">
      <c r="N7547"/>
      <c r="O7547"/>
      <c r="P7547"/>
      <c r="Q7547"/>
      <c r="R7547"/>
    </row>
    <row r="7548" spans="14:18" x14ac:dyDescent="0.25">
      <c r="N7548"/>
      <c r="O7548"/>
      <c r="P7548"/>
      <c r="Q7548"/>
      <c r="R7548"/>
    </row>
    <row r="7549" spans="14:18" x14ac:dyDescent="0.25">
      <c r="N7549"/>
      <c r="O7549"/>
      <c r="P7549"/>
      <c r="Q7549"/>
      <c r="R7549"/>
    </row>
    <row r="7550" spans="14:18" x14ac:dyDescent="0.25">
      <c r="N7550"/>
      <c r="O7550"/>
      <c r="P7550"/>
      <c r="Q7550"/>
      <c r="R7550"/>
    </row>
    <row r="7551" spans="14:18" x14ac:dyDescent="0.25">
      <c r="N7551"/>
      <c r="O7551"/>
      <c r="P7551"/>
      <c r="Q7551"/>
      <c r="R7551"/>
    </row>
    <row r="7552" spans="14:18" x14ac:dyDescent="0.25">
      <c r="N7552"/>
      <c r="O7552"/>
      <c r="P7552"/>
      <c r="Q7552"/>
      <c r="R7552"/>
    </row>
    <row r="7553" spans="14:18" x14ac:dyDescent="0.25">
      <c r="N7553"/>
      <c r="O7553"/>
      <c r="P7553"/>
      <c r="Q7553"/>
      <c r="R7553"/>
    </row>
    <row r="7554" spans="14:18" x14ac:dyDescent="0.25">
      <c r="N7554"/>
      <c r="O7554"/>
      <c r="P7554"/>
      <c r="Q7554"/>
      <c r="R7554"/>
    </row>
    <row r="7555" spans="14:18" x14ac:dyDescent="0.25">
      <c r="N7555"/>
      <c r="O7555"/>
      <c r="P7555"/>
      <c r="Q7555"/>
      <c r="R7555"/>
    </row>
    <row r="7556" spans="14:18" x14ac:dyDescent="0.25">
      <c r="N7556"/>
      <c r="O7556"/>
      <c r="P7556"/>
      <c r="Q7556"/>
      <c r="R7556"/>
    </row>
    <row r="7557" spans="14:18" x14ac:dyDescent="0.25">
      <c r="N7557"/>
      <c r="O7557"/>
      <c r="P7557"/>
      <c r="Q7557"/>
      <c r="R7557"/>
    </row>
    <row r="7558" spans="14:18" x14ac:dyDescent="0.25">
      <c r="N7558"/>
      <c r="O7558"/>
      <c r="P7558"/>
      <c r="Q7558"/>
      <c r="R7558"/>
    </row>
    <row r="7559" spans="14:18" x14ac:dyDescent="0.25">
      <c r="N7559"/>
      <c r="O7559"/>
      <c r="P7559"/>
      <c r="Q7559"/>
      <c r="R7559"/>
    </row>
    <row r="7560" spans="14:18" x14ac:dyDescent="0.25">
      <c r="N7560"/>
      <c r="O7560"/>
      <c r="P7560"/>
      <c r="Q7560"/>
      <c r="R7560"/>
    </row>
    <row r="7561" spans="14:18" x14ac:dyDescent="0.25">
      <c r="N7561"/>
      <c r="O7561"/>
      <c r="P7561"/>
      <c r="Q7561"/>
      <c r="R7561"/>
    </row>
    <row r="7562" spans="14:18" x14ac:dyDescent="0.25">
      <c r="N7562"/>
      <c r="O7562"/>
      <c r="P7562"/>
      <c r="Q7562"/>
      <c r="R7562"/>
    </row>
    <row r="7563" spans="14:18" x14ac:dyDescent="0.25">
      <c r="N7563"/>
      <c r="O7563"/>
      <c r="P7563"/>
      <c r="Q7563"/>
      <c r="R7563"/>
    </row>
    <row r="7564" spans="14:18" x14ac:dyDescent="0.25">
      <c r="N7564"/>
      <c r="O7564"/>
      <c r="P7564"/>
      <c r="Q7564"/>
      <c r="R7564"/>
    </row>
    <row r="7565" spans="14:18" x14ac:dyDescent="0.25">
      <c r="N7565"/>
      <c r="O7565"/>
      <c r="P7565"/>
      <c r="Q7565"/>
      <c r="R7565"/>
    </row>
    <row r="7566" spans="14:18" x14ac:dyDescent="0.25">
      <c r="N7566"/>
      <c r="O7566"/>
      <c r="P7566"/>
      <c r="Q7566"/>
      <c r="R7566"/>
    </row>
    <row r="7567" spans="14:18" x14ac:dyDescent="0.25">
      <c r="N7567"/>
      <c r="O7567"/>
      <c r="P7567"/>
      <c r="Q7567"/>
      <c r="R7567"/>
    </row>
    <row r="7568" spans="14:18" x14ac:dyDescent="0.25">
      <c r="N7568"/>
      <c r="O7568"/>
      <c r="P7568"/>
      <c r="Q7568"/>
      <c r="R7568"/>
    </row>
    <row r="7569" spans="14:18" x14ac:dyDescent="0.25">
      <c r="N7569"/>
      <c r="O7569"/>
      <c r="P7569"/>
      <c r="Q7569"/>
      <c r="R7569"/>
    </row>
    <row r="7570" spans="14:18" x14ac:dyDescent="0.25">
      <c r="N7570"/>
      <c r="O7570"/>
      <c r="P7570"/>
      <c r="Q7570"/>
      <c r="R7570"/>
    </row>
    <row r="7571" spans="14:18" x14ac:dyDescent="0.25">
      <c r="N7571"/>
      <c r="O7571"/>
      <c r="P7571"/>
      <c r="Q7571"/>
      <c r="R7571"/>
    </row>
    <row r="7572" spans="14:18" x14ac:dyDescent="0.25">
      <c r="N7572"/>
      <c r="O7572"/>
      <c r="P7572"/>
      <c r="Q7572"/>
      <c r="R7572"/>
    </row>
    <row r="7573" spans="14:18" x14ac:dyDescent="0.25">
      <c r="N7573"/>
      <c r="O7573"/>
      <c r="P7573"/>
      <c r="Q7573"/>
      <c r="R7573"/>
    </row>
    <row r="7574" spans="14:18" x14ac:dyDescent="0.25">
      <c r="N7574"/>
      <c r="O7574"/>
      <c r="P7574"/>
      <c r="Q7574"/>
      <c r="R7574"/>
    </row>
    <row r="7575" spans="14:18" x14ac:dyDescent="0.25">
      <c r="N7575"/>
      <c r="O7575"/>
      <c r="P7575"/>
      <c r="Q7575"/>
      <c r="R7575"/>
    </row>
    <row r="7576" spans="14:18" x14ac:dyDescent="0.25">
      <c r="N7576"/>
      <c r="O7576"/>
      <c r="P7576"/>
      <c r="Q7576"/>
      <c r="R7576"/>
    </row>
    <row r="7577" spans="14:18" x14ac:dyDescent="0.25">
      <c r="N7577"/>
      <c r="O7577"/>
      <c r="P7577"/>
      <c r="Q7577"/>
      <c r="R7577"/>
    </row>
    <row r="7578" spans="14:18" x14ac:dyDescent="0.25">
      <c r="N7578"/>
      <c r="O7578"/>
      <c r="P7578"/>
      <c r="Q7578"/>
      <c r="R7578"/>
    </row>
    <row r="7579" spans="14:18" x14ac:dyDescent="0.25">
      <c r="N7579"/>
      <c r="O7579"/>
      <c r="P7579"/>
      <c r="Q7579"/>
      <c r="R7579"/>
    </row>
    <row r="7580" spans="14:18" x14ac:dyDescent="0.25">
      <c r="N7580"/>
      <c r="O7580"/>
      <c r="P7580"/>
      <c r="Q7580"/>
      <c r="R7580"/>
    </row>
    <row r="7581" spans="14:18" x14ac:dyDescent="0.25">
      <c r="N7581"/>
      <c r="O7581"/>
      <c r="P7581"/>
      <c r="Q7581"/>
      <c r="R7581"/>
    </row>
    <row r="7582" spans="14:18" x14ac:dyDescent="0.25">
      <c r="N7582"/>
      <c r="O7582"/>
      <c r="P7582"/>
      <c r="Q7582"/>
      <c r="R7582"/>
    </row>
    <row r="7583" spans="14:18" x14ac:dyDescent="0.25">
      <c r="N7583"/>
      <c r="O7583"/>
      <c r="P7583"/>
      <c r="Q7583"/>
      <c r="R7583"/>
    </row>
    <row r="7584" spans="14:18" x14ac:dyDescent="0.25">
      <c r="N7584"/>
      <c r="O7584"/>
      <c r="P7584"/>
      <c r="Q7584"/>
      <c r="R7584"/>
    </row>
    <row r="7585" spans="14:18" x14ac:dyDescent="0.25">
      <c r="N7585"/>
      <c r="O7585"/>
      <c r="P7585"/>
      <c r="Q7585"/>
      <c r="R7585"/>
    </row>
    <row r="7586" spans="14:18" x14ac:dyDescent="0.25">
      <c r="N7586"/>
      <c r="O7586"/>
      <c r="P7586"/>
      <c r="Q7586"/>
      <c r="R7586"/>
    </row>
    <row r="7587" spans="14:18" x14ac:dyDescent="0.25">
      <c r="N7587"/>
      <c r="O7587"/>
      <c r="P7587"/>
      <c r="Q7587"/>
      <c r="R7587"/>
    </row>
    <row r="7588" spans="14:18" x14ac:dyDescent="0.25">
      <c r="N7588"/>
      <c r="O7588"/>
      <c r="P7588"/>
      <c r="Q7588"/>
      <c r="R7588"/>
    </row>
    <row r="7589" spans="14:18" x14ac:dyDescent="0.25">
      <c r="N7589"/>
      <c r="O7589"/>
      <c r="P7589"/>
      <c r="Q7589"/>
      <c r="R7589"/>
    </row>
    <row r="7590" spans="14:18" x14ac:dyDescent="0.25">
      <c r="N7590"/>
      <c r="O7590"/>
      <c r="P7590"/>
      <c r="Q7590"/>
      <c r="R7590"/>
    </row>
    <row r="7591" spans="14:18" x14ac:dyDescent="0.25">
      <c r="N7591"/>
      <c r="O7591"/>
      <c r="P7591"/>
      <c r="Q7591"/>
      <c r="R7591"/>
    </row>
    <row r="7592" spans="14:18" x14ac:dyDescent="0.25">
      <c r="N7592"/>
      <c r="O7592"/>
      <c r="P7592"/>
      <c r="Q7592"/>
      <c r="R7592"/>
    </row>
    <row r="7593" spans="14:18" x14ac:dyDescent="0.25">
      <c r="N7593"/>
      <c r="O7593"/>
      <c r="P7593"/>
      <c r="Q7593"/>
      <c r="R7593"/>
    </row>
    <row r="7594" spans="14:18" x14ac:dyDescent="0.25">
      <c r="N7594"/>
      <c r="O7594"/>
      <c r="P7594"/>
      <c r="Q7594"/>
      <c r="R7594"/>
    </row>
    <row r="7595" spans="14:18" x14ac:dyDescent="0.25">
      <c r="N7595"/>
      <c r="O7595"/>
      <c r="P7595"/>
      <c r="Q7595"/>
      <c r="R7595"/>
    </row>
    <row r="7596" spans="14:18" x14ac:dyDescent="0.25">
      <c r="N7596"/>
      <c r="O7596"/>
      <c r="P7596"/>
      <c r="Q7596"/>
      <c r="R7596"/>
    </row>
    <row r="7597" spans="14:18" x14ac:dyDescent="0.25">
      <c r="N7597"/>
      <c r="O7597"/>
      <c r="P7597"/>
      <c r="Q7597"/>
      <c r="R7597"/>
    </row>
    <row r="7598" spans="14:18" x14ac:dyDescent="0.25">
      <c r="N7598"/>
      <c r="O7598"/>
      <c r="P7598"/>
      <c r="Q7598"/>
      <c r="R7598"/>
    </row>
    <row r="7599" spans="14:18" x14ac:dyDescent="0.25">
      <c r="N7599"/>
      <c r="O7599"/>
      <c r="P7599"/>
      <c r="Q7599"/>
      <c r="R7599"/>
    </row>
    <row r="7600" spans="14:18" x14ac:dyDescent="0.25">
      <c r="N7600"/>
      <c r="O7600"/>
      <c r="P7600"/>
      <c r="Q7600"/>
      <c r="R7600"/>
    </row>
    <row r="7601" spans="14:18" x14ac:dyDescent="0.25">
      <c r="N7601"/>
      <c r="O7601"/>
      <c r="P7601"/>
      <c r="Q7601"/>
      <c r="R7601"/>
    </row>
    <row r="7602" spans="14:18" x14ac:dyDescent="0.25">
      <c r="N7602"/>
      <c r="O7602"/>
      <c r="P7602"/>
      <c r="Q7602"/>
      <c r="R7602"/>
    </row>
    <row r="7603" spans="14:18" x14ac:dyDescent="0.25">
      <c r="N7603"/>
      <c r="O7603"/>
      <c r="P7603"/>
      <c r="Q7603"/>
      <c r="R7603"/>
    </row>
    <row r="7604" spans="14:18" x14ac:dyDescent="0.25">
      <c r="N7604"/>
      <c r="O7604"/>
      <c r="P7604"/>
      <c r="Q7604"/>
      <c r="R7604"/>
    </row>
    <row r="7605" spans="14:18" x14ac:dyDescent="0.25">
      <c r="N7605"/>
      <c r="O7605"/>
      <c r="P7605"/>
      <c r="Q7605"/>
      <c r="R7605"/>
    </row>
    <row r="7606" spans="14:18" x14ac:dyDescent="0.25">
      <c r="N7606"/>
      <c r="O7606"/>
      <c r="P7606"/>
      <c r="Q7606"/>
      <c r="R7606"/>
    </row>
    <row r="7607" spans="14:18" x14ac:dyDescent="0.25">
      <c r="N7607"/>
      <c r="O7607"/>
      <c r="P7607"/>
      <c r="Q7607"/>
      <c r="R7607"/>
    </row>
    <row r="7608" spans="14:18" x14ac:dyDescent="0.25">
      <c r="N7608"/>
      <c r="O7608"/>
      <c r="P7608"/>
      <c r="Q7608"/>
      <c r="R7608"/>
    </row>
    <row r="7609" spans="14:18" x14ac:dyDescent="0.25">
      <c r="N7609"/>
      <c r="O7609"/>
      <c r="P7609"/>
      <c r="Q7609"/>
      <c r="R7609"/>
    </row>
    <row r="7610" spans="14:18" x14ac:dyDescent="0.25">
      <c r="N7610"/>
      <c r="O7610"/>
      <c r="P7610"/>
      <c r="Q7610"/>
      <c r="R7610"/>
    </row>
    <row r="7611" spans="14:18" x14ac:dyDescent="0.25">
      <c r="N7611"/>
      <c r="O7611"/>
      <c r="P7611"/>
      <c r="Q7611"/>
      <c r="R7611"/>
    </row>
    <row r="7612" spans="14:18" x14ac:dyDescent="0.25">
      <c r="N7612"/>
      <c r="O7612"/>
      <c r="P7612"/>
      <c r="Q7612"/>
      <c r="R7612"/>
    </row>
    <row r="7613" spans="14:18" x14ac:dyDescent="0.25">
      <c r="N7613"/>
      <c r="O7613"/>
      <c r="P7613"/>
      <c r="Q7613"/>
      <c r="R7613"/>
    </row>
    <row r="7614" spans="14:18" x14ac:dyDescent="0.25">
      <c r="N7614"/>
      <c r="O7614"/>
      <c r="P7614"/>
      <c r="Q7614"/>
      <c r="R7614"/>
    </row>
    <row r="7615" spans="14:18" x14ac:dyDescent="0.25">
      <c r="N7615"/>
      <c r="O7615"/>
      <c r="P7615"/>
      <c r="Q7615"/>
      <c r="R7615"/>
    </row>
    <row r="7616" spans="14:18" x14ac:dyDescent="0.25">
      <c r="N7616"/>
      <c r="O7616"/>
      <c r="P7616"/>
      <c r="Q7616"/>
      <c r="R7616"/>
    </row>
    <row r="7617" spans="14:18" x14ac:dyDescent="0.25">
      <c r="N7617"/>
      <c r="O7617"/>
      <c r="P7617"/>
      <c r="Q7617"/>
      <c r="R7617"/>
    </row>
    <row r="7618" spans="14:18" x14ac:dyDescent="0.25">
      <c r="N7618"/>
      <c r="O7618"/>
      <c r="P7618"/>
      <c r="Q7618"/>
      <c r="R7618"/>
    </row>
    <row r="7619" spans="14:18" x14ac:dyDescent="0.25">
      <c r="N7619"/>
      <c r="O7619"/>
      <c r="P7619"/>
      <c r="Q7619"/>
      <c r="R7619"/>
    </row>
    <row r="7620" spans="14:18" x14ac:dyDescent="0.25">
      <c r="N7620"/>
      <c r="O7620"/>
      <c r="P7620"/>
      <c r="Q7620"/>
      <c r="R7620"/>
    </row>
    <row r="7621" spans="14:18" x14ac:dyDescent="0.25">
      <c r="N7621"/>
      <c r="O7621"/>
      <c r="P7621"/>
      <c r="Q7621"/>
      <c r="R7621"/>
    </row>
    <row r="7622" spans="14:18" x14ac:dyDescent="0.25">
      <c r="N7622"/>
      <c r="O7622"/>
      <c r="P7622"/>
      <c r="Q7622"/>
      <c r="R7622"/>
    </row>
    <row r="7623" spans="14:18" x14ac:dyDescent="0.25">
      <c r="N7623"/>
      <c r="O7623"/>
      <c r="P7623"/>
      <c r="Q7623"/>
      <c r="R7623"/>
    </row>
    <row r="7624" spans="14:18" x14ac:dyDescent="0.25">
      <c r="N7624"/>
      <c r="O7624"/>
      <c r="P7624"/>
      <c r="Q7624"/>
      <c r="R7624"/>
    </row>
    <row r="7625" spans="14:18" x14ac:dyDescent="0.25">
      <c r="N7625"/>
      <c r="O7625"/>
      <c r="P7625"/>
      <c r="Q7625"/>
      <c r="R7625"/>
    </row>
    <row r="7626" spans="14:18" x14ac:dyDescent="0.25">
      <c r="N7626"/>
      <c r="O7626"/>
      <c r="P7626"/>
      <c r="Q7626"/>
      <c r="R7626"/>
    </row>
    <row r="7627" spans="14:18" x14ac:dyDescent="0.25">
      <c r="N7627"/>
      <c r="O7627"/>
      <c r="P7627"/>
      <c r="Q7627"/>
      <c r="R7627"/>
    </row>
    <row r="7628" spans="14:18" x14ac:dyDescent="0.25">
      <c r="N7628"/>
      <c r="O7628"/>
      <c r="P7628"/>
      <c r="Q7628"/>
      <c r="R7628"/>
    </row>
    <row r="7629" spans="14:18" x14ac:dyDescent="0.25">
      <c r="N7629"/>
      <c r="O7629"/>
      <c r="P7629"/>
      <c r="Q7629"/>
      <c r="R7629"/>
    </row>
    <row r="7630" spans="14:18" x14ac:dyDescent="0.25">
      <c r="N7630"/>
      <c r="O7630"/>
      <c r="P7630"/>
      <c r="Q7630"/>
      <c r="R7630"/>
    </row>
    <row r="7631" spans="14:18" x14ac:dyDescent="0.25">
      <c r="N7631"/>
      <c r="O7631"/>
      <c r="P7631"/>
      <c r="Q7631"/>
      <c r="R7631"/>
    </row>
    <row r="7632" spans="14:18" x14ac:dyDescent="0.25">
      <c r="N7632"/>
      <c r="O7632"/>
      <c r="P7632"/>
      <c r="Q7632"/>
      <c r="R7632"/>
    </row>
    <row r="7633" spans="14:18" x14ac:dyDescent="0.25">
      <c r="N7633"/>
      <c r="O7633"/>
      <c r="P7633"/>
      <c r="Q7633"/>
      <c r="R7633"/>
    </row>
    <row r="7634" spans="14:18" x14ac:dyDescent="0.25">
      <c r="N7634"/>
      <c r="O7634"/>
      <c r="P7634"/>
      <c r="Q7634"/>
      <c r="R7634"/>
    </row>
    <row r="7635" spans="14:18" x14ac:dyDescent="0.25">
      <c r="N7635"/>
      <c r="O7635"/>
      <c r="P7635"/>
      <c r="Q7635"/>
      <c r="R7635"/>
    </row>
    <row r="7636" spans="14:18" x14ac:dyDescent="0.25">
      <c r="N7636"/>
      <c r="O7636"/>
      <c r="P7636"/>
      <c r="Q7636"/>
      <c r="R7636"/>
    </row>
    <row r="7637" spans="14:18" x14ac:dyDescent="0.25">
      <c r="N7637"/>
      <c r="O7637"/>
      <c r="P7637"/>
      <c r="Q7637"/>
      <c r="R7637"/>
    </row>
    <row r="7638" spans="14:18" x14ac:dyDescent="0.25">
      <c r="N7638"/>
      <c r="O7638"/>
      <c r="P7638"/>
      <c r="Q7638"/>
      <c r="R7638"/>
    </row>
    <row r="7639" spans="14:18" x14ac:dyDescent="0.25">
      <c r="N7639"/>
      <c r="O7639"/>
      <c r="P7639"/>
      <c r="Q7639"/>
      <c r="R7639"/>
    </row>
    <row r="7640" spans="14:18" x14ac:dyDescent="0.25">
      <c r="N7640"/>
      <c r="O7640"/>
      <c r="P7640"/>
      <c r="Q7640"/>
      <c r="R7640"/>
    </row>
    <row r="7641" spans="14:18" x14ac:dyDescent="0.25">
      <c r="N7641"/>
      <c r="O7641"/>
      <c r="P7641"/>
      <c r="Q7641"/>
      <c r="R7641"/>
    </row>
    <row r="7642" spans="14:18" x14ac:dyDescent="0.25">
      <c r="N7642"/>
      <c r="O7642"/>
      <c r="P7642"/>
      <c r="Q7642"/>
      <c r="R7642"/>
    </row>
    <row r="7643" spans="14:18" x14ac:dyDescent="0.25">
      <c r="N7643"/>
      <c r="O7643"/>
      <c r="P7643"/>
      <c r="Q7643"/>
      <c r="R7643"/>
    </row>
    <row r="7644" spans="14:18" x14ac:dyDescent="0.25">
      <c r="N7644"/>
      <c r="O7644"/>
      <c r="P7644"/>
      <c r="Q7644"/>
      <c r="R7644"/>
    </row>
    <row r="7645" spans="14:18" x14ac:dyDescent="0.25">
      <c r="N7645"/>
      <c r="O7645"/>
      <c r="P7645"/>
      <c r="Q7645"/>
      <c r="R7645"/>
    </row>
    <row r="7646" spans="14:18" x14ac:dyDescent="0.25">
      <c r="N7646"/>
      <c r="O7646"/>
      <c r="P7646"/>
      <c r="Q7646"/>
      <c r="R7646"/>
    </row>
    <row r="7647" spans="14:18" x14ac:dyDescent="0.25">
      <c r="N7647"/>
      <c r="O7647"/>
      <c r="P7647"/>
      <c r="Q7647"/>
      <c r="R7647"/>
    </row>
    <row r="7648" spans="14:18" x14ac:dyDescent="0.25">
      <c r="N7648"/>
      <c r="O7648"/>
      <c r="P7648"/>
      <c r="Q7648"/>
      <c r="R7648"/>
    </row>
    <row r="7649" spans="14:18" x14ac:dyDescent="0.25">
      <c r="N7649"/>
      <c r="O7649"/>
      <c r="P7649"/>
      <c r="Q7649"/>
      <c r="R7649"/>
    </row>
    <row r="7650" spans="14:18" x14ac:dyDescent="0.25">
      <c r="N7650"/>
      <c r="O7650"/>
      <c r="P7650"/>
      <c r="Q7650"/>
      <c r="R7650"/>
    </row>
    <row r="7651" spans="14:18" x14ac:dyDescent="0.25">
      <c r="N7651"/>
      <c r="O7651"/>
      <c r="P7651"/>
      <c r="Q7651"/>
      <c r="R7651"/>
    </row>
    <row r="7652" spans="14:18" x14ac:dyDescent="0.25">
      <c r="N7652"/>
      <c r="O7652"/>
      <c r="P7652"/>
      <c r="Q7652"/>
      <c r="R7652"/>
    </row>
    <row r="7653" spans="14:18" x14ac:dyDescent="0.25">
      <c r="N7653"/>
      <c r="O7653"/>
      <c r="P7653"/>
      <c r="Q7653"/>
      <c r="R7653"/>
    </row>
    <row r="7654" spans="14:18" x14ac:dyDescent="0.25">
      <c r="N7654"/>
      <c r="O7654"/>
      <c r="P7654"/>
      <c r="Q7654"/>
      <c r="R7654"/>
    </row>
    <row r="7655" spans="14:18" x14ac:dyDescent="0.25">
      <c r="N7655"/>
      <c r="O7655"/>
      <c r="P7655"/>
      <c r="Q7655"/>
      <c r="R7655"/>
    </row>
    <row r="7656" spans="14:18" x14ac:dyDescent="0.25">
      <c r="N7656"/>
      <c r="O7656"/>
      <c r="P7656"/>
      <c r="Q7656"/>
      <c r="R7656"/>
    </row>
    <row r="7657" spans="14:18" x14ac:dyDescent="0.25">
      <c r="N7657"/>
      <c r="O7657"/>
      <c r="P7657"/>
      <c r="Q7657"/>
      <c r="R7657"/>
    </row>
    <row r="7658" spans="14:18" x14ac:dyDescent="0.25">
      <c r="N7658"/>
      <c r="O7658"/>
      <c r="P7658"/>
      <c r="Q7658"/>
      <c r="R7658"/>
    </row>
    <row r="7659" spans="14:18" x14ac:dyDescent="0.25">
      <c r="N7659"/>
      <c r="O7659"/>
      <c r="P7659"/>
      <c r="Q7659"/>
      <c r="R7659"/>
    </row>
    <row r="7660" spans="14:18" x14ac:dyDescent="0.25">
      <c r="N7660"/>
      <c r="O7660"/>
      <c r="P7660"/>
      <c r="Q7660"/>
      <c r="R7660"/>
    </row>
    <row r="7661" spans="14:18" x14ac:dyDescent="0.25">
      <c r="N7661"/>
      <c r="O7661"/>
      <c r="P7661"/>
      <c r="Q7661"/>
      <c r="R7661"/>
    </row>
    <row r="7662" spans="14:18" x14ac:dyDescent="0.25">
      <c r="N7662"/>
      <c r="O7662"/>
      <c r="P7662"/>
      <c r="Q7662"/>
      <c r="R7662"/>
    </row>
    <row r="7663" spans="14:18" x14ac:dyDescent="0.25">
      <c r="N7663"/>
      <c r="O7663"/>
      <c r="P7663"/>
      <c r="Q7663"/>
      <c r="R7663"/>
    </row>
    <row r="7664" spans="14:18" x14ac:dyDescent="0.25">
      <c r="N7664"/>
      <c r="O7664"/>
      <c r="P7664"/>
      <c r="Q7664"/>
      <c r="R7664"/>
    </row>
    <row r="7665" spans="14:18" x14ac:dyDescent="0.25">
      <c r="N7665"/>
      <c r="O7665"/>
      <c r="P7665"/>
      <c r="Q7665"/>
      <c r="R7665"/>
    </row>
    <row r="7666" spans="14:18" x14ac:dyDescent="0.25">
      <c r="N7666"/>
      <c r="O7666"/>
      <c r="P7666"/>
      <c r="Q7666"/>
      <c r="R7666"/>
    </row>
    <row r="7667" spans="14:18" x14ac:dyDescent="0.25">
      <c r="N7667"/>
      <c r="O7667"/>
      <c r="P7667"/>
      <c r="Q7667"/>
      <c r="R7667"/>
    </row>
    <row r="7668" spans="14:18" x14ac:dyDescent="0.25">
      <c r="N7668"/>
      <c r="O7668"/>
      <c r="P7668"/>
      <c r="Q7668"/>
      <c r="R7668"/>
    </row>
    <row r="7669" spans="14:18" x14ac:dyDescent="0.25">
      <c r="N7669"/>
      <c r="O7669"/>
      <c r="P7669"/>
      <c r="Q7669"/>
      <c r="R7669"/>
    </row>
    <row r="7670" spans="14:18" x14ac:dyDescent="0.25">
      <c r="N7670"/>
      <c r="O7670"/>
      <c r="P7670"/>
      <c r="Q7670"/>
      <c r="R7670"/>
    </row>
    <row r="7671" spans="14:18" x14ac:dyDescent="0.25">
      <c r="N7671"/>
      <c r="O7671"/>
      <c r="P7671"/>
      <c r="Q7671"/>
      <c r="R7671"/>
    </row>
    <row r="7672" spans="14:18" x14ac:dyDescent="0.25">
      <c r="N7672"/>
      <c r="O7672"/>
      <c r="P7672"/>
      <c r="Q7672"/>
      <c r="R7672"/>
    </row>
    <row r="7673" spans="14:18" x14ac:dyDescent="0.25">
      <c r="N7673"/>
      <c r="O7673"/>
      <c r="P7673"/>
      <c r="Q7673"/>
      <c r="R7673"/>
    </row>
    <row r="7674" spans="14:18" x14ac:dyDescent="0.25">
      <c r="N7674"/>
      <c r="O7674"/>
      <c r="P7674"/>
      <c r="Q7674"/>
      <c r="R7674"/>
    </row>
    <row r="7675" spans="14:18" x14ac:dyDescent="0.25">
      <c r="N7675"/>
      <c r="O7675"/>
      <c r="P7675"/>
      <c r="Q7675"/>
      <c r="R7675"/>
    </row>
    <row r="7676" spans="14:18" x14ac:dyDescent="0.25">
      <c r="N7676"/>
      <c r="O7676"/>
      <c r="P7676"/>
      <c r="Q7676"/>
      <c r="R7676"/>
    </row>
    <row r="7677" spans="14:18" x14ac:dyDescent="0.25">
      <c r="N7677"/>
      <c r="O7677"/>
      <c r="P7677"/>
      <c r="Q7677"/>
      <c r="R7677"/>
    </row>
    <row r="7678" spans="14:18" x14ac:dyDescent="0.25">
      <c r="N7678"/>
      <c r="O7678"/>
      <c r="P7678"/>
      <c r="Q7678"/>
      <c r="R7678"/>
    </row>
    <row r="7679" spans="14:18" x14ac:dyDescent="0.25">
      <c r="N7679"/>
      <c r="O7679"/>
      <c r="P7679"/>
      <c r="Q7679"/>
      <c r="R7679"/>
    </row>
    <row r="7680" spans="14:18" x14ac:dyDescent="0.25">
      <c r="N7680"/>
      <c r="O7680"/>
      <c r="P7680"/>
      <c r="Q7680"/>
      <c r="R7680"/>
    </row>
    <row r="7681" spans="14:18" x14ac:dyDescent="0.25">
      <c r="N7681"/>
      <c r="O7681"/>
      <c r="P7681"/>
      <c r="Q7681"/>
      <c r="R7681"/>
    </row>
    <row r="7682" spans="14:18" x14ac:dyDescent="0.25">
      <c r="N7682"/>
      <c r="O7682"/>
      <c r="P7682"/>
      <c r="Q7682"/>
      <c r="R7682"/>
    </row>
    <row r="7683" spans="14:18" x14ac:dyDescent="0.25">
      <c r="N7683"/>
      <c r="O7683"/>
      <c r="P7683"/>
      <c r="Q7683"/>
      <c r="R7683"/>
    </row>
    <row r="7684" spans="14:18" x14ac:dyDescent="0.25">
      <c r="N7684"/>
      <c r="O7684"/>
      <c r="P7684"/>
      <c r="Q7684"/>
      <c r="R7684"/>
    </row>
    <row r="7685" spans="14:18" x14ac:dyDescent="0.25">
      <c r="N7685"/>
      <c r="O7685"/>
      <c r="P7685"/>
      <c r="Q7685"/>
      <c r="R7685"/>
    </row>
    <row r="7686" spans="14:18" x14ac:dyDescent="0.25">
      <c r="N7686"/>
      <c r="O7686"/>
      <c r="P7686"/>
      <c r="Q7686"/>
      <c r="R7686"/>
    </row>
    <row r="7687" spans="14:18" x14ac:dyDescent="0.25">
      <c r="N7687"/>
      <c r="O7687"/>
      <c r="P7687"/>
      <c r="Q7687"/>
      <c r="R7687"/>
    </row>
    <row r="7688" spans="14:18" x14ac:dyDescent="0.25">
      <c r="N7688"/>
      <c r="O7688"/>
      <c r="P7688"/>
      <c r="Q7688"/>
      <c r="R7688"/>
    </row>
    <row r="7689" spans="14:18" x14ac:dyDescent="0.25">
      <c r="N7689"/>
      <c r="O7689"/>
      <c r="P7689"/>
      <c r="Q7689"/>
      <c r="R7689"/>
    </row>
    <row r="7690" spans="14:18" x14ac:dyDescent="0.25">
      <c r="N7690"/>
      <c r="O7690"/>
      <c r="P7690"/>
      <c r="Q7690"/>
      <c r="R7690"/>
    </row>
    <row r="7691" spans="14:18" x14ac:dyDescent="0.25">
      <c r="N7691"/>
      <c r="O7691"/>
      <c r="P7691"/>
      <c r="Q7691"/>
      <c r="R7691"/>
    </row>
    <row r="7692" spans="14:18" x14ac:dyDescent="0.25">
      <c r="N7692"/>
      <c r="O7692"/>
      <c r="P7692"/>
      <c r="Q7692"/>
      <c r="R7692"/>
    </row>
    <row r="7693" spans="14:18" x14ac:dyDescent="0.25">
      <c r="N7693"/>
      <c r="O7693"/>
      <c r="P7693"/>
      <c r="Q7693"/>
      <c r="R7693"/>
    </row>
    <row r="7694" spans="14:18" x14ac:dyDescent="0.25">
      <c r="N7694"/>
      <c r="O7694"/>
      <c r="P7694"/>
      <c r="Q7694"/>
      <c r="R7694"/>
    </row>
    <row r="7695" spans="14:18" x14ac:dyDescent="0.25">
      <c r="N7695"/>
      <c r="O7695"/>
      <c r="P7695"/>
      <c r="Q7695"/>
      <c r="R7695"/>
    </row>
    <row r="7696" spans="14:18" x14ac:dyDescent="0.25">
      <c r="N7696"/>
      <c r="O7696"/>
      <c r="P7696"/>
      <c r="Q7696"/>
      <c r="R7696"/>
    </row>
    <row r="7697" spans="14:18" x14ac:dyDescent="0.25">
      <c r="N7697"/>
      <c r="O7697"/>
      <c r="P7697"/>
      <c r="Q7697"/>
      <c r="R7697"/>
    </row>
    <row r="7698" spans="14:18" x14ac:dyDescent="0.25">
      <c r="N7698"/>
      <c r="O7698"/>
      <c r="P7698"/>
      <c r="Q7698"/>
      <c r="R7698"/>
    </row>
    <row r="7699" spans="14:18" x14ac:dyDescent="0.25">
      <c r="N7699"/>
      <c r="O7699"/>
      <c r="P7699"/>
      <c r="Q7699"/>
      <c r="R7699"/>
    </row>
    <row r="7700" spans="14:18" x14ac:dyDescent="0.25">
      <c r="N7700"/>
      <c r="O7700"/>
      <c r="P7700"/>
      <c r="Q7700"/>
      <c r="R7700"/>
    </row>
    <row r="7701" spans="14:18" x14ac:dyDescent="0.25">
      <c r="N7701"/>
      <c r="O7701"/>
      <c r="P7701"/>
      <c r="Q7701"/>
      <c r="R7701"/>
    </row>
    <row r="7702" spans="14:18" x14ac:dyDescent="0.25">
      <c r="N7702"/>
      <c r="O7702"/>
      <c r="P7702"/>
      <c r="Q7702"/>
      <c r="R7702"/>
    </row>
    <row r="7703" spans="14:18" x14ac:dyDescent="0.25">
      <c r="N7703"/>
      <c r="O7703"/>
      <c r="P7703"/>
      <c r="Q7703"/>
      <c r="R7703"/>
    </row>
    <row r="7704" spans="14:18" x14ac:dyDescent="0.25">
      <c r="N7704"/>
      <c r="O7704"/>
      <c r="P7704"/>
      <c r="Q7704"/>
      <c r="R7704"/>
    </row>
    <row r="7705" spans="14:18" x14ac:dyDescent="0.25">
      <c r="N7705"/>
      <c r="O7705"/>
      <c r="P7705"/>
      <c r="Q7705"/>
      <c r="R7705"/>
    </row>
    <row r="7706" spans="14:18" x14ac:dyDescent="0.25">
      <c r="N7706"/>
      <c r="O7706"/>
      <c r="P7706"/>
      <c r="Q7706"/>
      <c r="R7706"/>
    </row>
    <row r="7707" spans="14:18" x14ac:dyDescent="0.25">
      <c r="N7707"/>
      <c r="O7707"/>
      <c r="P7707"/>
      <c r="Q7707"/>
      <c r="R7707"/>
    </row>
    <row r="7708" spans="14:18" x14ac:dyDescent="0.25">
      <c r="N7708"/>
      <c r="O7708"/>
      <c r="P7708"/>
      <c r="Q7708"/>
      <c r="R7708"/>
    </row>
    <row r="7709" spans="14:18" x14ac:dyDescent="0.25">
      <c r="N7709"/>
      <c r="O7709"/>
      <c r="P7709"/>
      <c r="Q7709"/>
      <c r="R7709"/>
    </row>
    <row r="7710" spans="14:18" x14ac:dyDescent="0.25">
      <c r="N7710"/>
      <c r="O7710"/>
      <c r="P7710"/>
      <c r="Q7710"/>
      <c r="R7710"/>
    </row>
    <row r="7711" spans="14:18" x14ac:dyDescent="0.25">
      <c r="N7711"/>
      <c r="O7711"/>
      <c r="P7711"/>
      <c r="Q7711"/>
      <c r="R7711"/>
    </row>
    <row r="7712" spans="14:18" x14ac:dyDescent="0.25">
      <c r="N7712"/>
      <c r="O7712"/>
      <c r="P7712"/>
      <c r="Q7712"/>
      <c r="R7712"/>
    </row>
    <row r="7713" spans="14:18" x14ac:dyDescent="0.25">
      <c r="N7713"/>
      <c r="O7713"/>
      <c r="P7713"/>
      <c r="Q7713"/>
      <c r="R7713"/>
    </row>
    <row r="7714" spans="14:18" x14ac:dyDescent="0.25">
      <c r="N7714"/>
      <c r="O7714"/>
      <c r="P7714"/>
      <c r="Q7714"/>
      <c r="R7714"/>
    </row>
    <row r="7715" spans="14:18" x14ac:dyDescent="0.25">
      <c r="N7715"/>
      <c r="O7715"/>
      <c r="P7715"/>
      <c r="Q7715"/>
      <c r="R7715"/>
    </row>
    <row r="7716" spans="14:18" x14ac:dyDescent="0.25">
      <c r="N7716"/>
      <c r="O7716"/>
      <c r="P7716"/>
      <c r="Q7716"/>
      <c r="R7716"/>
    </row>
    <row r="7717" spans="14:18" x14ac:dyDescent="0.25">
      <c r="N7717"/>
      <c r="O7717"/>
      <c r="P7717"/>
      <c r="Q7717"/>
      <c r="R7717"/>
    </row>
    <row r="7718" spans="14:18" x14ac:dyDescent="0.25">
      <c r="N7718"/>
      <c r="O7718"/>
      <c r="P7718"/>
      <c r="Q7718"/>
      <c r="R7718"/>
    </row>
    <row r="7719" spans="14:18" x14ac:dyDescent="0.25">
      <c r="N7719"/>
      <c r="O7719"/>
      <c r="P7719"/>
      <c r="Q7719"/>
      <c r="R7719"/>
    </row>
    <row r="7720" spans="14:18" x14ac:dyDescent="0.25">
      <c r="N7720"/>
      <c r="O7720"/>
      <c r="P7720"/>
      <c r="Q7720"/>
      <c r="R7720"/>
    </row>
    <row r="7721" spans="14:18" x14ac:dyDescent="0.25">
      <c r="N7721"/>
      <c r="O7721"/>
      <c r="P7721"/>
      <c r="Q7721"/>
      <c r="R7721"/>
    </row>
    <row r="7722" spans="14:18" x14ac:dyDescent="0.25">
      <c r="N7722"/>
      <c r="O7722"/>
      <c r="P7722"/>
      <c r="Q7722"/>
      <c r="R7722"/>
    </row>
    <row r="7723" spans="14:18" x14ac:dyDescent="0.25">
      <c r="N7723"/>
      <c r="O7723"/>
      <c r="P7723"/>
      <c r="Q7723"/>
      <c r="R7723"/>
    </row>
    <row r="7724" spans="14:18" x14ac:dyDescent="0.25">
      <c r="N7724"/>
      <c r="O7724"/>
      <c r="P7724"/>
      <c r="Q7724"/>
      <c r="R7724"/>
    </row>
    <row r="7725" spans="14:18" x14ac:dyDescent="0.25">
      <c r="N7725"/>
      <c r="O7725"/>
      <c r="P7725"/>
      <c r="Q7725"/>
      <c r="R7725"/>
    </row>
    <row r="7726" spans="14:18" x14ac:dyDescent="0.25">
      <c r="N7726"/>
      <c r="O7726"/>
      <c r="P7726"/>
      <c r="Q7726"/>
      <c r="R7726"/>
    </row>
    <row r="7727" spans="14:18" x14ac:dyDescent="0.25">
      <c r="N7727"/>
      <c r="O7727"/>
      <c r="P7727"/>
      <c r="Q7727"/>
      <c r="R7727"/>
    </row>
    <row r="7728" spans="14:18" x14ac:dyDescent="0.25">
      <c r="N7728"/>
      <c r="O7728"/>
      <c r="P7728"/>
      <c r="Q7728"/>
      <c r="R7728"/>
    </row>
    <row r="7729" spans="14:18" x14ac:dyDescent="0.25">
      <c r="N7729"/>
      <c r="O7729"/>
      <c r="P7729"/>
      <c r="Q7729"/>
      <c r="R7729"/>
    </row>
    <row r="7730" spans="14:18" x14ac:dyDescent="0.25">
      <c r="N7730"/>
      <c r="O7730"/>
      <c r="P7730"/>
      <c r="Q7730"/>
      <c r="R7730"/>
    </row>
    <row r="7731" spans="14:18" x14ac:dyDescent="0.25">
      <c r="N7731"/>
      <c r="O7731"/>
      <c r="P7731"/>
      <c r="Q7731"/>
      <c r="R7731"/>
    </row>
    <row r="7732" spans="14:18" x14ac:dyDescent="0.25">
      <c r="N7732"/>
      <c r="O7732"/>
      <c r="P7732"/>
      <c r="Q7732"/>
      <c r="R7732"/>
    </row>
    <row r="7733" spans="14:18" x14ac:dyDescent="0.25">
      <c r="N7733"/>
      <c r="O7733"/>
      <c r="P7733"/>
      <c r="Q7733"/>
      <c r="R7733"/>
    </row>
    <row r="7734" spans="14:18" x14ac:dyDescent="0.25">
      <c r="N7734"/>
      <c r="O7734"/>
      <c r="P7734"/>
      <c r="Q7734"/>
      <c r="R7734"/>
    </row>
    <row r="7735" spans="14:18" x14ac:dyDescent="0.25">
      <c r="N7735"/>
      <c r="O7735"/>
      <c r="P7735"/>
      <c r="Q7735"/>
      <c r="R7735"/>
    </row>
    <row r="7736" spans="14:18" x14ac:dyDescent="0.25">
      <c r="N7736"/>
      <c r="O7736"/>
      <c r="P7736"/>
      <c r="Q7736"/>
      <c r="R7736"/>
    </row>
    <row r="7737" spans="14:18" x14ac:dyDescent="0.25">
      <c r="N7737"/>
      <c r="O7737"/>
      <c r="P7737"/>
      <c r="Q7737"/>
      <c r="R7737"/>
    </row>
    <row r="7738" spans="14:18" x14ac:dyDescent="0.25">
      <c r="N7738"/>
      <c r="O7738"/>
      <c r="P7738"/>
      <c r="Q7738"/>
      <c r="R7738"/>
    </row>
    <row r="7739" spans="14:18" x14ac:dyDescent="0.25">
      <c r="N7739"/>
      <c r="O7739"/>
      <c r="P7739"/>
      <c r="Q7739"/>
      <c r="R7739"/>
    </row>
    <row r="7740" spans="14:18" x14ac:dyDescent="0.25">
      <c r="N7740"/>
      <c r="O7740"/>
      <c r="P7740"/>
      <c r="Q7740"/>
      <c r="R7740"/>
    </row>
    <row r="7741" spans="14:18" x14ac:dyDescent="0.25">
      <c r="N7741"/>
      <c r="O7741"/>
      <c r="P7741"/>
      <c r="Q7741"/>
      <c r="R7741"/>
    </row>
    <row r="7742" spans="14:18" x14ac:dyDescent="0.25">
      <c r="N7742"/>
      <c r="O7742"/>
      <c r="P7742"/>
      <c r="Q7742"/>
      <c r="R7742"/>
    </row>
    <row r="7743" spans="14:18" x14ac:dyDescent="0.25">
      <c r="N7743"/>
      <c r="O7743"/>
      <c r="P7743"/>
      <c r="Q7743"/>
      <c r="R7743"/>
    </row>
    <row r="7744" spans="14:18" x14ac:dyDescent="0.25">
      <c r="N7744"/>
      <c r="O7744"/>
      <c r="P7744"/>
      <c r="Q7744"/>
      <c r="R7744"/>
    </row>
    <row r="7745" spans="14:18" x14ac:dyDescent="0.25">
      <c r="N7745"/>
      <c r="O7745"/>
      <c r="P7745"/>
      <c r="Q7745"/>
      <c r="R7745"/>
    </row>
    <row r="7746" spans="14:18" x14ac:dyDescent="0.25">
      <c r="N7746"/>
      <c r="O7746"/>
      <c r="P7746"/>
      <c r="Q7746"/>
      <c r="R7746"/>
    </row>
    <row r="7747" spans="14:18" x14ac:dyDescent="0.25">
      <c r="N7747"/>
      <c r="O7747"/>
      <c r="P7747"/>
      <c r="Q7747"/>
      <c r="R7747"/>
    </row>
    <row r="7748" spans="14:18" x14ac:dyDescent="0.25">
      <c r="N7748"/>
      <c r="O7748"/>
      <c r="P7748"/>
      <c r="Q7748"/>
      <c r="R7748"/>
    </row>
    <row r="7749" spans="14:18" x14ac:dyDescent="0.25">
      <c r="N7749"/>
      <c r="O7749"/>
      <c r="P7749"/>
      <c r="Q7749"/>
      <c r="R7749"/>
    </row>
    <row r="7750" spans="14:18" x14ac:dyDescent="0.25">
      <c r="N7750"/>
      <c r="O7750"/>
      <c r="P7750"/>
      <c r="Q7750"/>
      <c r="R7750"/>
    </row>
    <row r="7751" spans="14:18" x14ac:dyDescent="0.25">
      <c r="N7751"/>
      <c r="O7751"/>
      <c r="P7751"/>
      <c r="Q7751"/>
      <c r="R7751"/>
    </row>
    <row r="7752" spans="14:18" x14ac:dyDescent="0.25">
      <c r="N7752"/>
      <c r="O7752"/>
      <c r="P7752"/>
      <c r="Q7752"/>
      <c r="R7752"/>
    </row>
    <row r="7753" spans="14:18" x14ac:dyDescent="0.25">
      <c r="N7753"/>
      <c r="O7753"/>
      <c r="P7753"/>
      <c r="Q7753"/>
      <c r="R7753"/>
    </row>
    <row r="7754" spans="14:18" x14ac:dyDescent="0.25">
      <c r="N7754"/>
      <c r="O7754"/>
      <c r="P7754"/>
      <c r="Q7754"/>
      <c r="R7754"/>
    </row>
    <row r="7755" spans="14:18" x14ac:dyDescent="0.25">
      <c r="N7755"/>
      <c r="O7755"/>
      <c r="P7755"/>
      <c r="Q7755"/>
      <c r="R7755"/>
    </row>
    <row r="7756" spans="14:18" x14ac:dyDescent="0.25">
      <c r="N7756"/>
      <c r="O7756"/>
      <c r="P7756"/>
      <c r="Q7756"/>
      <c r="R7756"/>
    </row>
    <row r="7757" spans="14:18" x14ac:dyDescent="0.25">
      <c r="N7757"/>
      <c r="O7757"/>
      <c r="P7757"/>
      <c r="Q7757"/>
      <c r="R7757"/>
    </row>
    <row r="7758" spans="14:18" x14ac:dyDescent="0.25">
      <c r="N7758"/>
      <c r="O7758"/>
      <c r="P7758"/>
      <c r="Q7758"/>
      <c r="R7758"/>
    </row>
    <row r="7759" spans="14:18" x14ac:dyDescent="0.25">
      <c r="N7759"/>
      <c r="O7759"/>
      <c r="P7759"/>
      <c r="Q7759"/>
      <c r="R7759"/>
    </row>
    <row r="7760" spans="14:18" x14ac:dyDescent="0.25">
      <c r="N7760"/>
      <c r="O7760"/>
      <c r="P7760"/>
      <c r="Q7760"/>
      <c r="R7760"/>
    </row>
    <row r="7761" spans="14:18" x14ac:dyDescent="0.25">
      <c r="N7761"/>
      <c r="O7761"/>
      <c r="P7761"/>
      <c r="Q7761"/>
      <c r="R7761"/>
    </row>
    <row r="7762" spans="14:18" x14ac:dyDescent="0.25">
      <c r="N7762"/>
      <c r="O7762"/>
      <c r="P7762"/>
      <c r="Q7762"/>
      <c r="R7762"/>
    </row>
    <row r="7763" spans="14:18" x14ac:dyDescent="0.25">
      <c r="N7763"/>
      <c r="O7763"/>
      <c r="P7763"/>
      <c r="Q7763"/>
      <c r="R7763"/>
    </row>
    <row r="7764" spans="14:18" x14ac:dyDescent="0.25">
      <c r="N7764"/>
      <c r="O7764"/>
      <c r="P7764"/>
      <c r="Q7764"/>
      <c r="R7764"/>
    </row>
    <row r="7765" spans="14:18" x14ac:dyDescent="0.25">
      <c r="N7765"/>
      <c r="O7765"/>
      <c r="P7765"/>
      <c r="Q7765"/>
      <c r="R7765"/>
    </row>
    <row r="7766" spans="14:18" x14ac:dyDescent="0.25">
      <c r="N7766"/>
      <c r="O7766"/>
      <c r="P7766"/>
      <c r="Q7766"/>
      <c r="R7766"/>
    </row>
    <row r="7767" spans="14:18" x14ac:dyDescent="0.25">
      <c r="N7767"/>
      <c r="O7767"/>
      <c r="P7767"/>
      <c r="Q7767"/>
      <c r="R7767"/>
    </row>
    <row r="7768" spans="14:18" x14ac:dyDescent="0.25">
      <c r="N7768"/>
      <c r="O7768"/>
      <c r="P7768"/>
      <c r="Q7768"/>
      <c r="R7768"/>
    </row>
    <row r="7769" spans="14:18" x14ac:dyDescent="0.25">
      <c r="N7769"/>
      <c r="O7769"/>
      <c r="P7769"/>
      <c r="Q7769"/>
      <c r="R7769"/>
    </row>
    <row r="7770" spans="14:18" x14ac:dyDescent="0.25">
      <c r="N7770"/>
      <c r="O7770"/>
      <c r="P7770"/>
      <c r="Q7770"/>
      <c r="R7770"/>
    </row>
    <row r="7771" spans="14:18" x14ac:dyDescent="0.25">
      <c r="N7771"/>
      <c r="O7771"/>
      <c r="P7771"/>
      <c r="Q7771"/>
      <c r="R7771"/>
    </row>
    <row r="7772" spans="14:18" x14ac:dyDescent="0.25">
      <c r="N7772"/>
      <c r="O7772"/>
      <c r="P7772"/>
      <c r="Q7772"/>
      <c r="R7772"/>
    </row>
    <row r="7773" spans="14:18" x14ac:dyDescent="0.25">
      <c r="N7773"/>
      <c r="O7773"/>
      <c r="P7773"/>
      <c r="Q7773"/>
      <c r="R7773"/>
    </row>
    <row r="7774" spans="14:18" x14ac:dyDescent="0.25">
      <c r="N7774"/>
      <c r="O7774"/>
      <c r="P7774"/>
      <c r="Q7774"/>
      <c r="R7774"/>
    </row>
    <row r="7775" spans="14:18" x14ac:dyDescent="0.25">
      <c r="N7775"/>
      <c r="O7775"/>
      <c r="P7775"/>
      <c r="Q7775"/>
      <c r="R7775"/>
    </row>
    <row r="7776" spans="14:18" x14ac:dyDescent="0.25">
      <c r="N7776"/>
      <c r="O7776"/>
      <c r="P7776"/>
      <c r="Q7776"/>
      <c r="R7776"/>
    </row>
    <row r="7777" spans="14:18" x14ac:dyDescent="0.25">
      <c r="N7777"/>
      <c r="O7777"/>
      <c r="P7777"/>
      <c r="Q7777"/>
      <c r="R7777"/>
    </row>
    <row r="7778" spans="14:18" x14ac:dyDescent="0.25">
      <c r="N7778"/>
      <c r="O7778"/>
      <c r="P7778"/>
      <c r="Q7778"/>
      <c r="R7778"/>
    </row>
    <row r="7779" spans="14:18" x14ac:dyDescent="0.25">
      <c r="N7779"/>
      <c r="O7779"/>
      <c r="P7779"/>
      <c r="Q7779"/>
      <c r="R7779"/>
    </row>
    <row r="7780" spans="14:18" x14ac:dyDescent="0.25">
      <c r="N7780"/>
      <c r="O7780"/>
      <c r="P7780"/>
      <c r="Q7780"/>
      <c r="R7780"/>
    </row>
    <row r="7781" spans="14:18" x14ac:dyDescent="0.25">
      <c r="N7781"/>
      <c r="O7781"/>
      <c r="P7781"/>
      <c r="Q7781"/>
      <c r="R7781"/>
    </row>
    <row r="7782" spans="14:18" x14ac:dyDescent="0.25">
      <c r="N7782"/>
      <c r="O7782"/>
      <c r="P7782"/>
      <c r="Q7782"/>
      <c r="R7782"/>
    </row>
    <row r="7783" spans="14:18" x14ac:dyDescent="0.25">
      <c r="N7783"/>
      <c r="O7783"/>
      <c r="P7783"/>
      <c r="Q7783"/>
      <c r="R7783"/>
    </row>
    <row r="7784" spans="14:18" x14ac:dyDescent="0.25">
      <c r="N7784"/>
      <c r="O7784"/>
      <c r="P7784"/>
      <c r="Q7784"/>
      <c r="R7784"/>
    </row>
    <row r="7785" spans="14:18" x14ac:dyDescent="0.25">
      <c r="N7785"/>
      <c r="O7785"/>
      <c r="P7785"/>
      <c r="Q7785"/>
      <c r="R7785"/>
    </row>
    <row r="7786" spans="14:18" x14ac:dyDescent="0.25">
      <c r="N7786"/>
      <c r="O7786"/>
      <c r="P7786"/>
      <c r="Q7786"/>
      <c r="R7786"/>
    </row>
    <row r="7787" spans="14:18" x14ac:dyDescent="0.25">
      <c r="N7787"/>
      <c r="O7787"/>
      <c r="P7787"/>
      <c r="Q7787"/>
      <c r="R7787"/>
    </row>
    <row r="7788" spans="14:18" x14ac:dyDescent="0.25">
      <c r="N7788"/>
      <c r="O7788"/>
      <c r="P7788"/>
      <c r="Q7788"/>
      <c r="R7788"/>
    </row>
    <row r="7789" spans="14:18" x14ac:dyDescent="0.25">
      <c r="N7789"/>
      <c r="O7789"/>
      <c r="P7789"/>
      <c r="Q7789"/>
      <c r="R7789"/>
    </row>
    <row r="7790" spans="14:18" x14ac:dyDescent="0.25">
      <c r="N7790"/>
      <c r="O7790"/>
      <c r="P7790"/>
      <c r="Q7790"/>
      <c r="R7790"/>
    </row>
    <row r="7791" spans="14:18" x14ac:dyDescent="0.25">
      <c r="N7791"/>
      <c r="O7791"/>
      <c r="P7791"/>
      <c r="Q7791"/>
      <c r="R7791"/>
    </row>
    <row r="7792" spans="14:18" x14ac:dyDescent="0.25">
      <c r="N7792"/>
      <c r="O7792"/>
      <c r="P7792"/>
      <c r="Q7792"/>
      <c r="R7792"/>
    </row>
    <row r="7793" spans="14:18" x14ac:dyDescent="0.25">
      <c r="N7793"/>
      <c r="O7793"/>
      <c r="P7793"/>
      <c r="Q7793"/>
      <c r="R7793"/>
    </row>
    <row r="7794" spans="14:18" x14ac:dyDescent="0.25">
      <c r="N7794"/>
      <c r="O7794"/>
      <c r="P7794"/>
      <c r="Q7794"/>
      <c r="R7794"/>
    </row>
    <row r="7795" spans="14:18" x14ac:dyDescent="0.25">
      <c r="N7795"/>
      <c r="O7795"/>
      <c r="P7795"/>
      <c r="Q7795"/>
      <c r="R7795"/>
    </row>
    <row r="7796" spans="14:18" x14ac:dyDescent="0.25">
      <c r="N7796"/>
      <c r="O7796"/>
      <c r="P7796"/>
      <c r="Q7796"/>
      <c r="R7796"/>
    </row>
    <row r="7797" spans="14:18" x14ac:dyDescent="0.25">
      <c r="N7797"/>
      <c r="O7797"/>
      <c r="P7797"/>
      <c r="Q7797"/>
      <c r="R7797"/>
    </row>
    <row r="7798" spans="14:18" x14ac:dyDescent="0.25">
      <c r="N7798"/>
      <c r="O7798"/>
      <c r="P7798"/>
      <c r="Q7798"/>
      <c r="R7798"/>
    </row>
    <row r="7799" spans="14:18" x14ac:dyDescent="0.25">
      <c r="N7799"/>
      <c r="O7799"/>
      <c r="P7799"/>
      <c r="Q7799"/>
      <c r="R7799"/>
    </row>
    <row r="7800" spans="14:18" x14ac:dyDescent="0.25">
      <c r="N7800"/>
      <c r="O7800"/>
      <c r="P7800"/>
      <c r="Q7800"/>
      <c r="R7800"/>
    </row>
    <row r="7801" spans="14:18" x14ac:dyDescent="0.25">
      <c r="N7801"/>
      <c r="O7801"/>
      <c r="P7801"/>
      <c r="Q7801"/>
      <c r="R7801"/>
    </row>
    <row r="7802" spans="14:18" x14ac:dyDescent="0.25">
      <c r="N7802"/>
      <c r="O7802"/>
      <c r="P7802"/>
      <c r="Q7802"/>
      <c r="R7802"/>
    </row>
    <row r="7803" spans="14:18" x14ac:dyDescent="0.25">
      <c r="N7803"/>
      <c r="O7803"/>
      <c r="P7803"/>
      <c r="Q7803"/>
      <c r="R7803"/>
    </row>
    <row r="7804" spans="14:18" x14ac:dyDescent="0.25">
      <c r="N7804"/>
      <c r="O7804"/>
      <c r="P7804"/>
      <c r="Q7804"/>
      <c r="R7804"/>
    </row>
    <row r="7805" spans="14:18" x14ac:dyDescent="0.25">
      <c r="N7805"/>
      <c r="O7805"/>
      <c r="P7805"/>
      <c r="Q7805"/>
      <c r="R7805"/>
    </row>
    <row r="7806" spans="14:18" x14ac:dyDescent="0.25">
      <c r="N7806"/>
      <c r="O7806"/>
      <c r="P7806"/>
      <c r="Q7806"/>
      <c r="R7806"/>
    </row>
    <row r="7807" spans="14:18" x14ac:dyDescent="0.25">
      <c r="N7807"/>
      <c r="O7807"/>
      <c r="P7807"/>
      <c r="Q7807"/>
      <c r="R7807"/>
    </row>
    <row r="7808" spans="14:18" x14ac:dyDescent="0.25">
      <c r="N7808"/>
      <c r="O7808"/>
      <c r="P7808"/>
      <c r="Q7808"/>
      <c r="R7808"/>
    </row>
    <row r="7809" spans="14:18" x14ac:dyDescent="0.25">
      <c r="N7809"/>
      <c r="O7809"/>
      <c r="P7809"/>
      <c r="Q7809"/>
      <c r="R7809"/>
    </row>
    <row r="7810" spans="14:18" x14ac:dyDescent="0.25">
      <c r="N7810"/>
      <c r="O7810"/>
      <c r="P7810"/>
      <c r="Q7810"/>
      <c r="R7810"/>
    </row>
    <row r="7811" spans="14:18" x14ac:dyDescent="0.25">
      <c r="N7811"/>
      <c r="O7811"/>
      <c r="P7811"/>
      <c r="Q7811"/>
      <c r="R7811"/>
    </row>
    <row r="7812" spans="14:18" x14ac:dyDescent="0.25">
      <c r="N7812"/>
      <c r="O7812"/>
      <c r="P7812"/>
      <c r="Q7812"/>
      <c r="R7812"/>
    </row>
    <row r="7813" spans="14:18" x14ac:dyDescent="0.25">
      <c r="N7813"/>
      <c r="O7813"/>
      <c r="P7813"/>
      <c r="Q7813"/>
      <c r="R7813"/>
    </row>
    <row r="7814" spans="14:18" x14ac:dyDescent="0.25">
      <c r="N7814"/>
      <c r="O7814"/>
      <c r="P7814"/>
      <c r="Q7814"/>
      <c r="R7814"/>
    </row>
    <row r="7815" spans="14:18" x14ac:dyDescent="0.25">
      <c r="N7815"/>
      <c r="O7815"/>
      <c r="P7815"/>
      <c r="Q7815"/>
      <c r="R7815"/>
    </row>
    <row r="7816" spans="14:18" x14ac:dyDescent="0.25">
      <c r="N7816"/>
      <c r="O7816"/>
      <c r="P7816"/>
      <c r="Q7816"/>
      <c r="R7816"/>
    </row>
    <row r="7817" spans="14:18" x14ac:dyDescent="0.25">
      <c r="N7817"/>
      <c r="O7817"/>
      <c r="P7817"/>
      <c r="Q7817"/>
      <c r="R7817"/>
    </row>
    <row r="7818" spans="14:18" x14ac:dyDescent="0.25">
      <c r="N7818"/>
      <c r="O7818"/>
      <c r="P7818"/>
      <c r="Q7818"/>
      <c r="R7818"/>
    </row>
    <row r="7819" spans="14:18" x14ac:dyDescent="0.25">
      <c r="N7819"/>
      <c r="O7819"/>
      <c r="P7819"/>
      <c r="Q7819"/>
      <c r="R7819"/>
    </row>
    <row r="7820" spans="14:18" x14ac:dyDescent="0.25">
      <c r="N7820"/>
      <c r="O7820"/>
      <c r="P7820"/>
      <c r="Q7820"/>
      <c r="R7820"/>
    </row>
    <row r="7821" spans="14:18" x14ac:dyDescent="0.25">
      <c r="N7821"/>
      <c r="O7821"/>
      <c r="P7821"/>
      <c r="Q7821"/>
      <c r="R7821"/>
    </row>
    <row r="7822" spans="14:18" x14ac:dyDescent="0.25">
      <c r="N7822"/>
      <c r="O7822"/>
      <c r="P7822"/>
      <c r="Q7822"/>
      <c r="R7822"/>
    </row>
    <row r="7823" spans="14:18" x14ac:dyDescent="0.25">
      <c r="N7823"/>
      <c r="O7823"/>
      <c r="P7823"/>
      <c r="Q7823"/>
      <c r="R7823"/>
    </row>
    <row r="7824" spans="14:18" x14ac:dyDescent="0.25">
      <c r="N7824"/>
      <c r="O7824"/>
      <c r="P7824"/>
      <c r="Q7824"/>
      <c r="R7824"/>
    </row>
    <row r="7825" spans="14:18" x14ac:dyDescent="0.25">
      <c r="N7825"/>
      <c r="O7825"/>
      <c r="P7825"/>
      <c r="Q7825"/>
      <c r="R7825"/>
    </row>
    <row r="7826" spans="14:18" x14ac:dyDescent="0.25">
      <c r="N7826"/>
      <c r="O7826"/>
      <c r="P7826"/>
      <c r="Q7826"/>
      <c r="R7826"/>
    </row>
    <row r="7827" spans="14:18" x14ac:dyDescent="0.25">
      <c r="N7827"/>
      <c r="O7827"/>
      <c r="P7827"/>
      <c r="Q7827"/>
      <c r="R7827"/>
    </row>
    <row r="7828" spans="14:18" x14ac:dyDescent="0.25">
      <c r="N7828"/>
      <c r="O7828"/>
      <c r="P7828"/>
      <c r="Q7828"/>
      <c r="R7828"/>
    </row>
    <row r="7829" spans="14:18" x14ac:dyDescent="0.25">
      <c r="N7829"/>
      <c r="O7829"/>
      <c r="P7829"/>
      <c r="Q7829"/>
      <c r="R7829"/>
    </row>
    <row r="7830" spans="14:18" x14ac:dyDescent="0.25">
      <c r="N7830"/>
      <c r="O7830"/>
      <c r="P7830"/>
      <c r="Q7830"/>
      <c r="R7830"/>
    </row>
    <row r="7831" spans="14:18" x14ac:dyDescent="0.25">
      <c r="N7831"/>
      <c r="O7831"/>
      <c r="P7831"/>
      <c r="Q7831"/>
      <c r="R7831"/>
    </row>
    <row r="7832" spans="14:18" x14ac:dyDescent="0.25">
      <c r="N7832"/>
      <c r="O7832"/>
      <c r="P7832"/>
      <c r="Q7832"/>
      <c r="R7832"/>
    </row>
    <row r="7833" spans="14:18" x14ac:dyDescent="0.25">
      <c r="N7833"/>
      <c r="O7833"/>
      <c r="P7833"/>
      <c r="Q7833"/>
      <c r="R7833"/>
    </row>
    <row r="7834" spans="14:18" x14ac:dyDescent="0.25">
      <c r="N7834"/>
      <c r="O7834"/>
      <c r="P7834"/>
      <c r="Q7834"/>
      <c r="R7834"/>
    </row>
    <row r="7835" spans="14:18" x14ac:dyDescent="0.25">
      <c r="N7835"/>
      <c r="O7835"/>
      <c r="P7835"/>
      <c r="Q7835"/>
      <c r="R7835"/>
    </row>
    <row r="7836" spans="14:18" x14ac:dyDescent="0.25">
      <c r="N7836"/>
      <c r="O7836"/>
      <c r="P7836"/>
      <c r="Q7836"/>
      <c r="R7836"/>
    </row>
    <row r="7837" spans="14:18" x14ac:dyDescent="0.25">
      <c r="N7837"/>
      <c r="O7837"/>
      <c r="P7837"/>
      <c r="Q7837"/>
      <c r="R7837"/>
    </row>
    <row r="7838" spans="14:18" x14ac:dyDescent="0.25">
      <c r="N7838"/>
      <c r="O7838"/>
      <c r="P7838"/>
      <c r="Q7838"/>
      <c r="R7838"/>
    </row>
    <row r="7839" spans="14:18" x14ac:dyDescent="0.25">
      <c r="N7839"/>
      <c r="O7839"/>
      <c r="P7839"/>
      <c r="Q7839"/>
      <c r="R7839"/>
    </row>
    <row r="7840" spans="14:18" x14ac:dyDescent="0.25">
      <c r="N7840"/>
      <c r="O7840"/>
      <c r="P7840"/>
      <c r="Q7840"/>
      <c r="R7840"/>
    </row>
    <row r="7841" spans="14:18" x14ac:dyDescent="0.25">
      <c r="N7841"/>
      <c r="O7841"/>
      <c r="P7841"/>
      <c r="Q7841"/>
      <c r="R7841"/>
    </row>
    <row r="7842" spans="14:18" x14ac:dyDescent="0.25">
      <c r="N7842"/>
      <c r="O7842"/>
      <c r="P7842"/>
      <c r="Q7842"/>
      <c r="R7842"/>
    </row>
    <row r="7843" spans="14:18" x14ac:dyDescent="0.25">
      <c r="N7843"/>
      <c r="O7843"/>
      <c r="P7843"/>
      <c r="Q7843"/>
      <c r="R7843"/>
    </row>
    <row r="7844" spans="14:18" x14ac:dyDescent="0.25">
      <c r="N7844"/>
      <c r="O7844"/>
      <c r="P7844"/>
      <c r="Q7844"/>
      <c r="R7844"/>
    </row>
    <row r="7845" spans="14:18" x14ac:dyDescent="0.25">
      <c r="N7845"/>
      <c r="O7845"/>
      <c r="P7845"/>
      <c r="Q7845"/>
      <c r="R7845"/>
    </row>
    <row r="7846" spans="14:18" x14ac:dyDescent="0.25">
      <c r="N7846"/>
      <c r="O7846"/>
      <c r="P7846"/>
      <c r="Q7846"/>
      <c r="R7846"/>
    </row>
    <row r="7847" spans="14:18" x14ac:dyDescent="0.25">
      <c r="N7847"/>
      <c r="O7847"/>
      <c r="P7847"/>
      <c r="Q7847"/>
      <c r="R7847"/>
    </row>
    <row r="7848" spans="14:18" x14ac:dyDescent="0.25">
      <c r="N7848"/>
      <c r="O7848"/>
      <c r="P7848"/>
      <c r="Q7848"/>
      <c r="R7848"/>
    </row>
    <row r="7849" spans="14:18" x14ac:dyDescent="0.25">
      <c r="N7849"/>
      <c r="O7849"/>
      <c r="P7849"/>
      <c r="Q7849"/>
      <c r="R7849"/>
    </row>
    <row r="7850" spans="14:18" x14ac:dyDescent="0.25">
      <c r="N7850"/>
      <c r="O7850"/>
      <c r="P7850"/>
      <c r="Q7850"/>
      <c r="R7850"/>
    </row>
    <row r="7851" spans="14:18" x14ac:dyDescent="0.25">
      <c r="N7851"/>
      <c r="O7851"/>
      <c r="P7851"/>
      <c r="Q7851"/>
      <c r="R7851"/>
    </row>
    <row r="7852" spans="14:18" x14ac:dyDescent="0.25">
      <c r="N7852"/>
      <c r="O7852"/>
      <c r="P7852"/>
      <c r="Q7852"/>
      <c r="R7852"/>
    </row>
    <row r="7853" spans="14:18" x14ac:dyDescent="0.25">
      <c r="N7853"/>
      <c r="O7853"/>
      <c r="P7853"/>
      <c r="Q7853"/>
      <c r="R7853"/>
    </row>
    <row r="7854" spans="14:18" x14ac:dyDescent="0.25">
      <c r="N7854"/>
      <c r="O7854"/>
      <c r="P7854"/>
      <c r="Q7854"/>
      <c r="R7854"/>
    </row>
    <row r="7855" spans="14:18" x14ac:dyDescent="0.25">
      <c r="N7855"/>
      <c r="O7855"/>
      <c r="P7855"/>
      <c r="Q7855"/>
      <c r="R7855"/>
    </row>
    <row r="7856" spans="14:18" x14ac:dyDescent="0.25">
      <c r="N7856"/>
      <c r="O7856"/>
      <c r="P7856"/>
      <c r="Q7856"/>
      <c r="R7856"/>
    </row>
    <row r="7857" spans="14:18" x14ac:dyDescent="0.25">
      <c r="N7857"/>
      <c r="O7857"/>
      <c r="P7857"/>
      <c r="Q7857"/>
      <c r="R7857"/>
    </row>
    <row r="7858" spans="14:18" x14ac:dyDescent="0.25">
      <c r="N7858"/>
      <c r="O7858"/>
      <c r="P7858"/>
      <c r="Q7858"/>
      <c r="R7858"/>
    </row>
    <row r="7859" spans="14:18" x14ac:dyDescent="0.25">
      <c r="N7859"/>
      <c r="O7859"/>
      <c r="P7859"/>
      <c r="Q7859"/>
      <c r="R7859"/>
    </row>
    <row r="7860" spans="14:18" x14ac:dyDescent="0.25">
      <c r="N7860"/>
      <c r="O7860"/>
      <c r="P7860"/>
      <c r="Q7860"/>
      <c r="R7860"/>
    </row>
    <row r="7861" spans="14:18" x14ac:dyDescent="0.25">
      <c r="N7861"/>
      <c r="O7861"/>
      <c r="P7861"/>
      <c r="Q7861"/>
      <c r="R7861"/>
    </row>
    <row r="7862" spans="14:18" x14ac:dyDescent="0.25">
      <c r="N7862"/>
      <c r="O7862"/>
      <c r="P7862"/>
      <c r="Q7862"/>
      <c r="R7862"/>
    </row>
    <row r="7863" spans="14:18" x14ac:dyDescent="0.25">
      <c r="N7863"/>
      <c r="O7863"/>
      <c r="P7863"/>
      <c r="Q7863"/>
      <c r="R7863"/>
    </row>
    <row r="7864" spans="14:18" x14ac:dyDescent="0.25">
      <c r="N7864"/>
      <c r="O7864"/>
      <c r="P7864"/>
      <c r="Q7864"/>
      <c r="R7864"/>
    </row>
    <row r="7865" spans="14:18" x14ac:dyDescent="0.25">
      <c r="N7865"/>
      <c r="O7865"/>
      <c r="P7865"/>
      <c r="Q7865"/>
      <c r="R7865"/>
    </row>
    <row r="7866" spans="14:18" x14ac:dyDescent="0.25">
      <c r="N7866"/>
      <c r="O7866"/>
      <c r="P7866"/>
      <c r="Q7866"/>
      <c r="R7866"/>
    </row>
    <row r="7867" spans="14:18" x14ac:dyDescent="0.25">
      <c r="N7867"/>
      <c r="O7867"/>
      <c r="P7867"/>
      <c r="Q7867"/>
      <c r="R7867"/>
    </row>
    <row r="7868" spans="14:18" x14ac:dyDescent="0.25">
      <c r="N7868"/>
      <c r="O7868"/>
      <c r="P7868"/>
      <c r="Q7868"/>
      <c r="R7868"/>
    </row>
    <row r="7869" spans="14:18" x14ac:dyDescent="0.25">
      <c r="N7869"/>
      <c r="O7869"/>
      <c r="P7869"/>
      <c r="Q7869"/>
      <c r="R7869"/>
    </row>
    <row r="7870" spans="14:18" x14ac:dyDescent="0.25">
      <c r="N7870"/>
      <c r="O7870"/>
      <c r="P7870"/>
      <c r="Q7870"/>
      <c r="R7870"/>
    </row>
    <row r="7871" spans="14:18" x14ac:dyDescent="0.25">
      <c r="N7871"/>
      <c r="O7871"/>
      <c r="P7871"/>
      <c r="Q7871"/>
      <c r="R7871"/>
    </row>
    <row r="7872" spans="14:18" x14ac:dyDescent="0.25">
      <c r="N7872"/>
      <c r="O7872"/>
      <c r="P7872"/>
      <c r="Q7872"/>
      <c r="R7872"/>
    </row>
    <row r="7873" spans="14:18" x14ac:dyDescent="0.25">
      <c r="N7873"/>
      <c r="O7873"/>
      <c r="P7873"/>
      <c r="Q7873"/>
      <c r="R7873"/>
    </row>
    <row r="7874" spans="14:18" x14ac:dyDescent="0.25">
      <c r="N7874"/>
      <c r="O7874"/>
      <c r="P7874"/>
      <c r="Q7874"/>
      <c r="R7874"/>
    </row>
    <row r="7875" spans="14:18" x14ac:dyDescent="0.25">
      <c r="N7875"/>
      <c r="O7875"/>
      <c r="P7875"/>
      <c r="Q7875"/>
      <c r="R7875"/>
    </row>
    <row r="7876" spans="14:18" x14ac:dyDescent="0.25">
      <c r="N7876"/>
      <c r="O7876"/>
      <c r="P7876"/>
      <c r="Q7876"/>
      <c r="R7876"/>
    </row>
    <row r="7877" spans="14:18" x14ac:dyDescent="0.25">
      <c r="N7877"/>
      <c r="O7877"/>
      <c r="P7877"/>
      <c r="Q7877"/>
      <c r="R7877"/>
    </row>
    <row r="7878" spans="14:18" x14ac:dyDescent="0.25">
      <c r="N7878"/>
      <c r="O7878"/>
      <c r="P7878"/>
      <c r="Q7878"/>
      <c r="R7878"/>
    </row>
    <row r="7879" spans="14:18" x14ac:dyDescent="0.25">
      <c r="N7879"/>
      <c r="O7879"/>
      <c r="P7879"/>
      <c r="Q7879"/>
      <c r="R7879"/>
    </row>
    <row r="7880" spans="14:18" x14ac:dyDescent="0.25">
      <c r="N7880"/>
      <c r="O7880"/>
      <c r="P7880"/>
      <c r="Q7880"/>
      <c r="R7880"/>
    </row>
    <row r="7881" spans="14:18" x14ac:dyDescent="0.25">
      <c r="N7881"/>
      <c r="O7881"/>
      <c r="P7881"/>
      <c r="Q7881"/>
      <c r="R7881"/>
    </row>
    <row r="7882" spans="14:18" x14ac:dyDescent="0.25">
      <c r="N7882"/>
      <c r="O7882"/>
      <c r="P7882"/>
      <c r="Q7882"/>
      <c r="R7882"/>
    </row>
    <row r="7883" spans="14:18" x14ac:dyDescent="0.25">
      <c r="N7883"/>
      <c r="O7883"/>
      <c r="P7883"/>
      <c r="Q7883"/>
      <c r="R7883"/>
    </row>
    <row r="7884" spans="14:18" x14ac:dyDescent="0.25">
      <c r="N7884"/>
      <c r="O7884"/>
      <c r="P7884"/>
      <c r="Q7884"/>
      <c r="R7884"/>
    </row>
    <row r="7885" spans="14:18" x14ac:dyDescent="0.25">
      <c r="N7885"/>
      <c r="O7885"/>
      <c r="P7885"/>
      <c r="Q7885"/>
      <c r="R7885"/>
    </row>
    <row r="7886" spans="14:18" x14ac:dyDescent="0.25">
      <c r="N7886"/>
      <c r="O7886"/>
      <c r="P7886"/>
      <c r="Q7886"/>
      <c r="R7886"/>
    </row>
    <row r="7887" spans="14:18" x14ac:dyDescent="0.25">
      <c r="N7887"/>
      <c r="O7887"/>
      <c r="P7887"/>
      <c r="Q7887"/>
      <c r="R7887"/>
    </row>
    <row r="7888" spans="14:18" x14ac:dyDescent="0.25">
      <c r="N7888"/>
      <c r="O7888"/>
      <c r="P7888"/>
      <c r="Q7888"/>
      <c r="R7888"/>
    </row>
    <row r="7889" spans="14:18" x14ac:dyDescent="0.25">
      <c r="N7889"/>
      <c r="O7889"/>
      <c r="P7889"/>
      <c r="Q7889"/>
      <c r="R7889"/>
    </row>
    <row r="7890" spans="14:18" x14ac:dyDescent="0.25">
      <c r="N7890"/>
      <c r="O7890"/>
      <c r="P7890"/>
      <c r="Q7890"/>
      <c r="R7890"/>
    </row>
    <row r="7891" spans="14:18" x14ac:dyDescent="0.25">
      <c r="N7891"/>
      <c r="O7891"/>
      <c r="P7891"/>
      <c r="Q7891"/>
      <c r="R7891"/>
    </row>
    <row r="7892" spans="14:18" x14ac:dyDescent="0.25">
      <c r="N7892"/>
      <c r="O7892"/>
      <c r="P7892"/>
      <c r="Q7892"/>
      <c r="R7892"/>
    </row>
    <row r="7893" spans="14:18" x14ac:dyDescent="0.25">
      <c r="N7893"/>
      <c r="O7893"/>
      <c r="P7893"/>
      <c r="Q7893"/>
      <c r="R7893"/>
    </row>
    <row r="7894" spans="14:18" x14ac:dyDescent="0.25">
      <c r="N7894"/>
      <c r="O7894"/>
      <c r="P7894"/>
      <c r="Q7894"/>
      <c r="R7894"/>
    </row>
    <row r="7895" spans="14:18" x14ac:dyDescent="0.25">
      <c r="N7895"/>
      <c r="O7895"/>
      <c r="P7895"/>
      <c r="Q7895"/>
      <c r="R7895"/>
    </row>
    <row r="7896" spans="14:18" x14ac:dyDescent="0.25">
      <c r="N7896"/>
      <c r="O7896"/>
      <c r="P7896"/>
      <c r="Q7896"/>
      <c r="R7896"/>
    </row>
    <row r="7897" spans="14:18" x14ac:dyDescent="0.25">
      <c r="N7897"/>
      <c r="O7897"/>
      <c r="P7897"/>
      <c r="Q7897"/>
      <c r="R7897"/>
    </row>
    <row r="7898" spans="14:18" x14ac:dyDescent="0.25">
      <c r="N7898"/>
      <c r="O7898"/>
      <c r="P7898"/>
      <c r="Q7898"/>
      <c r="R7898"/>
    </row>
    <row r="7899" spans="14:18" x14ac:dyDescent="0.25">
      <c r="N7899"/>
      <c r="O7899"/>
      <c r="P7899"/>
      <c r="Q7899"/>
      <c r="R7899"/>
    </row>
    <row r="7900" spans="14:18" x14ac:dyDescent="0.25">
      <c r="N7900"/>
      <c r="O7900"/>
      <c r="P7900"/>
      <c r="Q7900"/>
      <c r="R7900"/>
    </row>
    <row r="7901" spans="14:18" x14ac:dyDescent="0.25">
      <c r="N7901"/>
      <c r="O7901"/>
      <c r="P7901"/>
      <c r="Q7901"/>
      <c r="R7901"/>
    </row>
    <row r="7902" spans="14:18" x14ac:dyDescent="0.25">
      <c r="N7902"/>
      <c r="O7902"/>
      <c r="P7902"/>
      <c r="Q7902"/>
      <c r="R7902"/>
    </row>
    <row r="7903" spans="14:18" x14ac:dyDescent="0.25">
      <c r="N7903"/>
      <c r="O7903"/>
      <c r="P7903"/>
      <c r="Q7903"/>
      <c r="R7903"/>
    </row>
    <row r="7904" spans="14:18" x14ac:dyDescent="0.25">
      <c r="N7904"/>
      <c r="O7904"/>
      <c r="P7904"/>
      <c r="Q7904"/>
      <c r="R7904"/>
    </row>
    <row r="7905" spans="14:18" x14ac:dyDescent="0.25">
      <c r="N7905"/>
      <c r="O7905"/>
      <c r="P7905"/>
      <c r="Q7905"/>
      <c r="R7905"/>
    </row>
    <row r="7906" spans="14:18" x14ac:dyDescent="0.25">
      <c r="N7906"/>
      <c r="O7906"/>
      <c r="P7906"/>
      <c r="Q7906"/>
      <c r="R7906"/>
    </row>
    <row r="7907" spans="14:18" x14ac:dyDescent="0.25">
      <c r="N7907"/>
      <c r="O7907"/>
      <c r="P7907"/>
      <c r="Q7907"/>
      <c r="R7907"/>
    </row>
    <row r="7908" spans="14:18" x14ac:dyDescent="0.25">
      <c r="N7908"/>
      <c r="O7908"/>
      <c r="P7908"/>
      <c r="Q7908"/>
      <c r="R7908"/>
    </row>
  </sheetData>
  <autoFilter ref="B1:AV113" xr:uid="{3386AE17-49C8-4771-BFE9-C5884E653155}"/>
  <sortState xmlns:xlrd2="http://schemas.microsoft.com/office/spreadsheetml/2017/richdata2" ref="A71:AX111">
    <sortCondition ref="B2:B113"/>
  </sortState>
  <conditionalFormatting sqref="S1:S1048576">
    <cfRule type="containsBlanks" dxfId="8" priority="2">
      <formula>LEN(TRIM(S1))=0</formula>
    </cfRule>
    <cfRule type="cellIs" dxfId="7" priority="3" operator="equal">
      <formula>"NO"</formula>
    </cfRule>
    <cfRule type="cellIs" dxfId="6" priority="4" operator="equal">
      <formula>"YES"</formula>
    </cfRule>
  </conditionalFormatting>
  <conditionalFormatting sqref="AD113:AG1048576 AD1:AG111">
    <cfRule type="cellIs" dxfId="5" priority="1" operator="equal">
      <formula>"X"</formula>
    </cfRule>
  </conditionalFormatting>
  <hyperlinks>
    <hyperlink ref="M27" r:id="rId1" xr:uid="{5BACABFD-F724-420A-8FBB-91E4A1566852}"/>
    <hyperlink ref="M45" r:id="rId2" xr:uid="{1E76BABB-B812-4B5A-A96F-00AF90C49F4F}"/>
    <hyperlink ref="M66" r:id="rId3" xr:uid="{1112EAEE-13A2-4F46-9C5E-A7BCEB0A4882}"/>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014A-8140-48DF-8C5A-28D6365E08C9}">
  <dimension ref="A1:AB48"/>
  <sheetViews>
    <sheetView workbookViewId="0">
      <selection activeCell="B5" sqref="B5:D5"/>
    </sheetView>
  </sheetViews>
  <sheetFormatPr defaultRowHeight="15" x14ac:dyDescent="0.25"/>
  <cols>
    <col min="1" max="1" width="4.28515625" customWidth="1"/>
    <col min="2" max="2" width="24" bestFit="1" customWidth="1"/>
    <col min="3" max="3" width="13.7109375" bestFit="1" customWidth="1"/>
    <col min="4" max="5" width="23" bestFit="1" customWidth="1"/>
    <col min="6" max="6" width="19.5703125" bestFit="1" customWidth="1"/>
    <col min="7" max="7" width="7.42578125" customWidth="1"/>
    <col min="8" max="8" width="8.5703125" customWidth="1"/>
    <col min="10" max="10" width="9.85546875" bestFit="1" customWidth="1"/>
    <col min="11" max="11" width="18.42578125" bestFit="1" customWidth="1"/>
    <col min="12" max="12" width="28.28515625" hidden="1" customWidth="1"/>
    <col min="13" max="13" width="20" hidden="1" customWidth="1"/>
    <col min="14" max="21" width="0" hidden="1" customWidth="1"/>
  </cols>
  <sheetData>
    <row r="1" spans="1:28" ht="15.75" x14ac:dyDescent="0.25">
      <c r="A1" s="2" t="s">
        <v>0</v>
      </c>
      <c r="B1" s="3" t="s">
        <v>1</v>
      </c>
      <c r="C1" s="4" t="s">
        <v>2</v>
      </c>
      <c r="D1" s="4" t="s">
        <v>5</v>
      </c>
      <c r="E1" s="4" t="s">
        <v>6</v>
      </c>
      <c r="F1" s="4" t="s">
        <v>7</v>
      </c>
      <c r="G1" s="5" t="s">
        <v>8</v>
      </c>
      <c r="H1" s="4" t="s">
        <v>9</v>
      </c>
      <c r="I1" s="4" t="s">
        <v>12</v>
      </c>
      <c r="J1" s="4" t="s">
        <v>13</v>
      </c>
      <c r="K1" s="4" t="s">
        <v>14</v>
      </c>
      <c r="L1" s="4" t="s">
        <v>15</v>
      </c>
      <c r="M1" s="4" t="s">
        <v>16</v>
      </c>
      <c r="N1" s="4" t="s">
        <v>17</v>
      </c>
      <c r="O1" s="1" t="s">
        <v>20</v>
      </c>
      <c r="P1" s="1" t="s">
        <v>23</v>
      </c>
      <c r="Q1" s="1" t="s">
        <v>24</v>
      </c>
      <c r="R1" s="1" t="s">
        <v>25</v>
      </c>
      <c r="S1" s="1" t="s">
        <v>26</v>
      </c>
      <c r="T1" s="1" t="s">
        <v>27</v>
      </c>
      <c r="U1" s="1" t="s">
        <v>41</v>
      </c>
      <c r="V1" s="16" t="s">
        <v>1322</v>
      </c>
      <c r="W1" s="16" t="s">
        <v>1322</v>
      </c>
      <c r="X1" s="16" t="s">
        <v>1322</v>
      </c>
      <c r="Y1" s="16" t="s">
        <v>1322</v>
      </c>
      <c r="Z1" s="16" t="s">
        <v>1322</v>
      </c>
      <c r="AA1" s="16" t="s">
        <v>1322</v>
      </c>
      <c r="AB1" s="16" t="s">
        <v>1322</v>
      </c>
    </row>
    <row r="2" spans="1:28" x14ac:dyDescent="0.25">
      <c r="B2" t="s">
        <v>1333</v>
      </c>
      <c r="C2" t="s">
        <v>1319</v>
      </c>
      <c r="D2" t="s">
        <v>1316</v>
      </c>
      <c r="F2" t="s">
        <v>305</v>
      </c>
      <c r="G2" t="s">
        <v>45</v>
      </c>
      <c r="H2">
        <v>91406</v>
      </c>
      <c r="K2" t="s">
        <v>1317</v>
      </c>
      <c r="V2" t="s">
        <v>1329</v>
      </c>
      <c r="W2" t="s">
        <v>1330</v>
      </c>
      <c r="X2" t="s">
        <v>1332</v>
      </c>
    </row>
    <row r="3" spans="1:28" x14ac:dyDescent="0.25">
      <c r="B3" t="s">
        <v>1318</v>
      </c>
      <c r="D3" t="s">
        <v>1320</v>
      </c>
      <c r="F3" t="s">
        <v>305</v>
      </c>
      <c r="G3" t="s">
        <v>45</v>
      </c>
      <c r="H3">
        <v>91406</v>
      </c>
      <c r="K3" s="15" t="s">
        <v>1321</v>
      </c>
      <c r="V3" t="s">
        <v>1331</v>
      </c>
      <c r="W3" t="s">
        <v>1328</v>
      </c>
      <c r="X3" t="s">
        <v>1329</v>
      </c>
      <c r="Y3" t="s">
        <v>1330</v>
      </c>
      <c r="Z3" t="s">
        <v>1332</v>
      </c>
    </row>
    <row r="4" spans="1:28" x14ac:dyDescent="0.25">
      <c r="B4" t="s">
        <v>1323</v>
      </c>
      <c r="D4" t="s">
        <v>1324</v>
      </c>
      <c r="F4" t="s">
        <v>305</v>
      </c>
      <c r="G4" t="s">
        <v>45</v>
      </c>
      <c r="H4">
        <v>91406</v>
      </c>
      <c r="K4" t="s">
        <v>1325</v>
      </c>
      <c r="V4" t="s">
        <v>1329</v>
      </c>
    </row>
    <row r="5" spans="1:28" x14ac:dyDescent="0.25">
      <c r="B5" s="20" t="s">
        <v>320</v>
      </c>
      <c r="C5" s="20"/>
      <c r="D5" s="20" t="s">
        <v>1326</v>
      </c>
      <c r="F5" t="s">
        <v>305</v>
      </c>
      <c r="G5" t="s">
        <v>45</v>
      </c>
      <c r="H5">
        <v>91406</v>
      </c>
      <c r="K5" t="s">
        <v>1346</v>
      </c>
      <c r="V5" t="s">
        <v>1327</v>
      </c>
    </row>
    <row r="6" spans="1:28" x14ac:dyDescent="0.25">
      <c r="B6" t="s">
        <v>1337</v>
      </c>
      <c r="D6" t="s">
        <v>1334</v>
      </c>
      <c r="F6" t="s">
        <v>1335</v>
      </c>
      <c r="G6" t="s">
        <v>45</v>
      </c>
      <c r="H6">
        <v>91343</v>
      </c>
      <c r="K6" t="s">
        <v>1336</v>
      </c>
      <c r="V6" t="s">
        <v>1331</v>
      </c>
      <c r="W6" t="s">
        <v>1328</v>
      </c>
      <c r="X6" t="s">
        <v>1329</v>
      </c>
      <c r="Y6" t="s">
        <v>1330</v>
      </c>
      <c r="Z6" t="s">
        <v>1332</v>
      </c>
      <c r="AA6" t="s">
        <v>1338</v>
      </c>
    </row>
    <row r="7" spans="1:28" x14ac:dyDescent="0.25">
      <c r="B7" t="s">
        <v>1339</v>
      </c>
      <c r="D7" t="s">
        <v>1340</v>
      </c>
      <c r="F7" t="s">
        <v>305</v>
      </c>
      <c r="G7" t="s">
        <v>45</v>
      </c>
      <c r="H7">
        <v>91406</v>
      </c>
      <c r="K7" t="s">
        <v>1341</v>
      </c>
      <c r="V7" t="s">
        <v>1342</v>
      </c>
      <c r="W7" t="s">
        <v>1343</v>
      </c>
    </row>
    <row r="8" spans="1:28" x14ac:dyDescent="0.25">
      <c r="B8" t="s">
        <v>1344</v>
      </c>
      <c r="D8" t="s">
        <v>1345</v>
      </c>
      <c r="F8" t="s">
        <v>305</v>
      </c>
      <c r="G8" t="s">
        <v>45</v>
      </c>
      <c r="H8">
        <v>91406</v>
      </c>
      <c r="K8" t="s">
        <v>1347</v>
      </c>
      <c r="V8" t="s">
        <v>1327</v>
      </c>
    </row>
    <row r="9" spans="1:28" x14ac:dyDescent="0.25">
      <c r="B9" t="s">
        <v>1350</v>
      </c>
      <c r="D9" t="s">
        <v>1348</v>
      </c>
      <c r="F9" t="s">
        <v>44</v>
      </c>
      <c r="G9" t="s">
        <v>45</v>
      </c>
      <c r="H9">
        <v>91505</v>
      </c>
      <c r="K9" t="s">
        <v>1349</v>
      </c>
      <c r="V9" t="s">
        <v>1327</v>
      </c>
    </row>
    <row r="10" spans="1:28" x14ac:dyDescent="0.25">
      <c r="B10" t="s">
        <v>1351</v>
      </c>
      <c r="D10" t="s">
        <v>1348</v>
      </c>
      <c r="F10" t="s">
        <v>44</v>
      </c>
      <c r="G10" t="s">
        <v>45</v>
      </c>
      <c r="H10">
        <v>91505</v>
      </c>
      <c r="K10" t="s">
        <v>1352</v>
      </c>
      <c r="V10" t="s">
        <v>1353</v>
      </c>
      <c r="W10" t="s">
        <v>1354</v>
      </c>
    </row>
    <row r="11" spans="1:28" x14ac:dyDescent="0.25">
      <c r="B11" t="s">
        <v>790</v>
      </c>
      <c r="D11" t="s">
        <v>1355</v>
      </c>
      <c r="F11" t="s">
        <v>44</v>
      </c>
      <c r="G11" t="s">
        <v>45</v>
      </c>
      <c r="H11">
        <v>91505</v>
      </c>
      <c r="K11" t="s">
        <v>795</v>
      </c>
      <c r="V11" t="s">
        <v>1356</v>
      </c>
      <c r="W11" t="s">
        <v>1354</v>
      </c>
    </row>
    <row r="12" spans="1:28" x14ac:dyDescent="0.25">
      <c r="B12" t="s">
        <v>1357</v>
      </c>
      <c r="D12" t="s">
        <v>1358</v>
      </c>
      <c r="F12" t="s">
        <v>44</v>
      </c>
      <c r="G12" t="s">
        <v>45</v>
      </c>
      <c r="H12">
        <v>91505</v>
      </c>
      <c r="K12" t="s">
        <v>1359</v>
      </c>
      <c r="V12" t="s">
        <v>1360</v>
      </c>
    </row>
    <row r="13" spans="1:28" x14ac:dyDescent="0.25">
      <c r="B13" t="s">
        <v>1361</v>
      </c>
      <c r="D13" t="s">
        <v>1362</v>
      </c>
      <c r="F13" t="s">
        <v>44</v>
      </c>
      <c r="G13" t="s">
        <v>45</v>
      </c>
      <c r="H13">
        <v>91505</v>
      </c>
      <c r="K13" t="s">
        <v>1363</v>
      </c>
      <c r="V13" t="s">
        <v>1364</v>
      </c>
    </row>
    <row r="14" spans="1:28" x14ac:dyDescent="0.25">
      <c r="B14" t="s">
        <v>172</v>
      </c>
      <c r="D14" t="s">
        <v>157</v>
      </c>
      <c r="E14" t="s">
        <v>65</v>
      </c>
      <c r="F14" t="s">
        <v>141</v>
      </c>
      <c r="G14" t="s">
        <v>45</v>
      </c>
      <c r="H14">
        <v>90806</v>
      </c>
      <c r="K14" t="s">
        <v>765</v>
      </c>
      <c r="V14" s="17" t="s">
        <v>1365</v>
      </c>
      <c r="W14" s="17" t="s">
        <v>1366</v>
      </c>
      <c r="X14" s="17" t="s">
        <v>1367</v>
      </c>
      <c r="Y14" s="17" t="s">
        <v>1368</v>
      </c>
      <c r="Z14" s="17" t="s">
        <v>1369</v>
      </c>
      <c r="AA14" s="17" t="s">
        <v>1328</v>
      </c>
    </row>
    <row r="15" spans="1:28" x14ac:dyDescent="0.25">
      <c r="B15" t="s">
        <v>1370</v>
      </c>
      <c r="D15" t="s">
        <v>1371</v>
      </c>
      <c r="F15" t="s">
        <v>141</v>
      </c>
      <c r="G15" t="s">
        <v>45</v>
      </c>
      <c r="H15">
        <v>90807</v>
      </c>
      <c r="K15" t="s">
        <v>1372</v>
      </c>
      <c r="V15" s="17" t="s">
        <v>1343</v>
      </c>
    </row>
    <row r="16" spans="1:28" x14ac:dyDescent="0.25">
      <c r="B16" t="s">
        <v>1373</v>
      </c>
      <c r="D16" t="s">
        <v>154</v>
      </c>
      <c r="F16" t="s">
        <v>141</v>
      </c>
      <c r="G16" t="s">
        <v>45</v>
      </c>
      <c r="H16">
        <v>90807</v>
      </c>
      <c r="K16" t="s">
        <v>1374</v>
      </c>
      <c r="V16" s="17" t="s">
        <v>1327</v>
      </c>
    </row>
    <row r="17" spans="2:23" x14ac:dyDescent="0.25">
      <c r="B17" t="s">
        <v>1375</v>
      </c>
      <c r="D17" t="s">
        <v>1376</v>
      </c>
      <c r="F17" t="s">
        <v>141</v>
      </c>
      <c r="G17" t="s">
        <v>45</v>
      </c>
      <c r="H17">
        <v>90807</v>
      </c>
      <c r="K17" t="s">
        <v>1377</v>
      </c>
      <c r="V17" s="17" t="s">
        <v>1327</v>
      </c>
    </row>
    <row r="18" spans="2:23" x14ac:dyDescent="0.25">
      <c r="B18" t="s">
        <v>1378</v>
      </c>
      <c r="D18" t="s">
        <v>1379</v>
      </c>
      <c r="F18" t="s">
        <v>141</v>
      </c>
      <c r="G18" t="s">
        <v>45</v>
      </c>
      <c r="H18">
        <v>90806</v>
      </c>
      <c r="K18" t="s">
        <v>1380</v>
      </c>
      <c r="V18" s="17" t="s">
        <v>1381</v>
      </c>
      <c r="W18" t="s">
        <v>1342</v>
      </c>
    </row>
    <row r="19" spans="2:23" x14ac:dyDescent="0.25">
      <c r="B19" t="s">
        <v>1382</v>
      </c>
      <c r="D19" t="s">
        <v>1383</v>
      </c>
      <c r="F19" t="s">
        <v>80</v>
      </c>
      <c r="G19" t="s">
        <v>45</v>
      </c>
      <c r="H19">
        <v>92011</v>
      </c>
      <c r="K19" t="s">
        <v>1384</v>
      </c>
      <c r="V19" s="17" t="s">
        <v>1327</v>
      </c>
    </row>
    <row r="20" spans="2:23" x14ac:dyDescent="0.25">
      <c r="B20" t="s">
        <v>1385</v>
      </c>
      <c r="D20" t="s">
        <v>78</v>
      </c>
      <c r="F20" t="s">
        <v>80</v>
      </c>
      <c r="G20" t="s">
        <v>45</v>
      </c>
      <c r="H20">
        <v>92011</v>
      </c>
      <c r="K20" t="s">
        <v>1386</v>
      </c>
      <c r="V20" s="17" t="s">
        <v>1327</v>
      </c>
    </row>
    <row r="21" spans="2:23" x14ac:dyDescent="0.25">
      <c r="B21" t="s">
        <v>1388</v>
      </c>
      <c r="D21" t="s">
        <v>90</v>
      </c>
      <c r="E21" t="s">
        <v>1387</v>
      </c>
      <c r="F21" t="s">
        <v>80</v>
      </c>
      <c r="G21" t="s">
        <v>45</v>
      </c>
      <c r="H21">
        <v>92011</v>
      </c>
      <c r="K21" t="s">
        <v>1389</v>
      </c>
      <c r="V21" s="17" t="s">
        <v>1390</v>
      </c>
    </row>
    <row r="22" spans="2:23" x14ac:dyDescent="0.25">
      <c r="B22" t="s">
        <v>1391</v>
      </c>
      <c r="D22" t="s">
        <v>1392</v>
      </c>
      <c r="F22" t="s">
        <v>80</v>
      </c>
      <c r="G22" t="s">
        <v>45</v>
      </c>
      <c r="H22">
        <v>92011</v>
      </c>
      <c r="K22" t="s">
        <v>1393</v>
      </c>
      <c r="V22" s="17" t="s">
        <v>1353</v>
      </c>
    </row>
    <row r="23" spans="2:23" x14ac:dyDescent="0.25">
      <c r="B23" t="s">
        <v>1394</v>
      </c>
      <c r="D23" t="s">
        <v>1395</v>
      </c>
      <c r="F23" t="s">
        <v>80</v>
      </c>
      <c r="G23" t="s">
        <v>45</v>
      </c>
      <c r="H23">
        <v>92011</v>
      </c>
      <c r="K23" t="s">
        <v>1396</v>
      </c>
      <c r="V23" s="17" t="s">
        <v>1381</v>
      </c>
    </row>
    <row r="24" spans="2:23" x14ac:dyDescent="0.25">
      <c r="B24" t="s">
        <v>1397</v>
      </c>
      <c r="D24" t="s">
        <v>1398</v>
      </c>
      <c r="F24" t="s">
        <v>80</v>
      </c>
      <c r="G24" t="s">
        <v>45</v>
      </c>
      <c r="H24">
        <v>92011</v>
      </c>
      <c r="K24" t="s">
        <v>1399</v>
      </c>
      <c r="V24" s="17" t="s">
        <v>1327</v>
      </c>
    </row>
    <row r="25" spans="2:23" x14ac:dyDescent="0.25">
      <c r="B25" t="s">
        <v>1400</v>
      </c>
      <c r="D25" t="s">
        <v>1401</v>
      </c>
      <c r="F25" t="s">
        <v>80</v>
      </c>
      <c r="G25" t="s">
        <v>45</v>
      </c>
      <c r="H25">
        <v>92008</v>
      </c>
      <c r="K25" t="s">
        <v>1386</v>
      </c>
      <c r="V25" s="17" t="s">
        <v>1327</v>
      </c>
    </row>
    <row r="26" spans="2:23" x14ac:dyDescent="0.25">
      <c r="B26" t="s">
        <v>1402</v>
      </c>
      <c r="D26" t="s">
        <v>1401</v>
      </c>
      <c r="F26" t="s">
        <v>80</v>
      </c>
      <c r="G26" t="s">
        <v>45</v>
      </c>
      <c r="H26">
        <v>92008</v>
      </c>
      <c r="K26" t="s">
        <v>1434</v>
      </c>
      <c r="V26" s="17" t="s">
        <v>1353</v>
      </c>
    </row>
    <row r="27" spans="2:23" x14ac:dyDescent="0.25">
      <c r="B27" t="s">
        <v>1427</v>
      </c>
      <c r="D27" t="s">
        <v>1403</v>
      </c>
      <c r="F27" t="s">
        <v>181</v>
      </c>
      <c r="G27" t="s">
        <v>45</v>
      </c>
      <c r="H27">
        <v>94621</v>
      </c>
      <c r="K27" t="s">
        <v>1404</v>
      </c>
      <c r="V27" s="17" t="s">
        <v>1327</v>
      </c>
    </row>
    <row r="28" spans="2:23" x14ac:dyDescent="0.25">
      <c r="B28" t="s">
        <v>1405</v>
      </c>
      <c r="D28" t="s">
        <v>1406</v>
      </c>
      <c r="F28" t="s">
        <v>181</v>
      </c>
      <c r="G28" t="s">
        <v>45</v>
      </c>
      <c r="H28">
        <v>94621</v>
      </c>
      <c r="K28" t="s">
        <v>1407</v>
      </c>
      <c r="V28" s="17" t="s">
        <v>1408</v>
      </c>
    </row>
    <row r="29" spans="2:23" x14ac:dyDescent="0.25">
      <c r="B29" t="s">
        <v>1409</v>
      </c>
      <c r="D29" t="s">
        <v>1410</v>
      </c>
      <c r="F29" t="s">
        <v>1411</v>
      </c>
      <c r="G29" t="s">
        <v>45</v>
      </c>
      <c r="H29">
        <v>94541</v>
      </c>
      <c r="K29" t="s">
        <v>1412</v>
      </c>
      <c r="V29" s="17" t="s">
        <v>1331</v>
      </c>
      <c r="W29" t="s">
        <v>1328</v>
      </c>
    </row>
    <row r="30" spans="2:23" x14ac:dyDescent="0.25">
      <c r="B30" t="s">
        <v>1414</v>
      </c>
      <c r="D30" t="s">
        <v>1413</v>
      </c>
      <c r="F30" t="s">
        <v>1411</v>
      </c>
      <c r="G30" t="s">
        <v>45</v>
      </c>
      <c r="H30">
        <v>94541</v>
      </c>
      <c r="K30" t="s">
        <v>1415</v>
      </c>
      <c r="V30" s="17" t="s">
        <v>1343</v>
      </c>
    </row>
    <row r="31" spans="2:23" x14ac:dyDescent="0.25">
      <c r="B31" t="s">
        <v>1416</v>
      </c>
      <c r="D31" t="s">
        <v>1421</v>
      </c>
      <c r="F31" t="s">
        <v>181</v>
      </c>
      <c r="G31" t="s">
        <v>45</v>
      </c>
      <c r="H31">
        <v>94621</v>
      </c>
      <c r="K31" t="s">
        <v>1417</v>
      </c>
      <c r="V31" s="17" t="s">
        <v>1342</v>
      </c>
      <c r="W31" t="s">
        <v>1418</v>
      </c>
    </row>
    <row r="32" spans="2:23" x14ac:dyDescent="0.25">
      <c r="B32" t="s">
        <v>1419</v>
      </c>
      <c r="D32" t="s">
        <v>1420</v>
      </c>
      <c r="F32" t="s">
        <v>181</v>
      </c>
      <c r="G32" t="s">
        <v>45</v>
      </c>
      <c r="H32">
        <v>94621</v>
      </c>
      <c r="K32" t="s">
        <v>1422</v>
      </c>
      <c r="V32" s="17" t="s">
        <v>1353</v>
      </c>
    </row>
    <row r="33" spans="2:23" x14ac:dyDescent="0.25">
      <c r="B33" t="s">
        <v>1423</v>
      </c>
      <c r="D33" t="s">
        <v>1424</v>
      </c>
      <c r="F33" t="s">
        <v>229</v>
      </c>
      <c r="G33" t="s">
        <v>45</v>
      </c>
      <c r="H33">
        <v>95110</v>
      </c>
      <c r="K33" t="s">
        <v>1425</v>
      </c>
      <c r="V33" s="17" t="s">
        <v>1327</v>
      </c>
    </row>
    <row r="34" spans="2:23" x14ac:dyDescent="0.25">
      <c r="B34" t="s">
        <v>1426</v>
      </c>
      <c r="D34" t="s">
        <v>1429</v>
      </c>
      <c r="F34" t="s">
        <v>1428</v>
      </c>
      <c r="G34" t="s">
        <v>45</v>
      </c>
      <c r="H34">
        <v>95050</v>
      </c>
      <c r="K34" t="s">
        <v>1430</v>
      </c>
      <c r="V34" s="17" t="s">
        <v>1327</v>
      </c>
    </row>
    <row r="35" spans="2:23" x14ac:dyDescent="0.25">
      <c r="B35" t="s">
        <v>869</v>
      </c>
      <c r="D35" t="s">
        <v>1424</v>
      </c>
      <c r="E35" t="s">
        <v>1431</v>
      </c>
      <c r="F35" t="s">
        <v>229</v>
      </c>
      <c r="G35" t="s">
        <v>45</v>
      </c>
      <c r="H35">
        <v>95110</v>
      </c>
      <c r="K35" t="s">
        <v>874</v>
      </c>
      <c r="V35" s="17" t="s">
        <v>1331</v>
      </c>
    </row>
    <row r="36" spans="2:23" x14ac:dyDescent="0.25">
      <c r="B36" t="s">
        <v>1432</v>
      </c>
      <c r="D36" t="s">
        <v>1429</v>
      </c>
      <c r="E36" t="s">
        <v>1433</v>
      </c>
      <c r="F36" t="s">
        <v>1428</v>
      </c>
      <c r="G36" t="s">
        <v>45</v>
      </c>
      <c r="H36">
        <v>95050</v>
      </c>
      <c r="K36" t="s">
        <v>1434</v>
      </c>
      <c r="V36" s="17" t="s">
        <v>1353</v>
      </c>
    </row>
    <row r="37" spans="2:23" x14ac:dyDescent="0.25">
      <c r="B37" t="s">
        <v>1435</v>
      </c>
      <c r="D37" t="s">
        <v>1424</v>
      </c>
      <c r="F37" t="s">
        <v>229</v>
      </c>
      <c r="G37" t="s">
        <v>45</v>
      </c>
      <c r="H37">
        <v>95110</v>
      </c>
      <c r="K37" t="s">
        <v>1436</v>
      </c>
      <c r="V37" s="17" t="s">
        <v>1327</v>
      </c>
      <c r="W37" s="17" t="s">
        <v>1353</v>
      </c>
    </row>
    <row r="38" spans="2:23" x14ac:dyDescent="0.25">
      <c r="B38" t="s">
        <v>1437</v>
      </c>
      <c r="D38" t="s">
        <v>1424</v>
      </c>
      <c r="F38" t="s">
        <v>229</v>
      </c>
      <c r="G38" t="s">
        <v>45</v>
      </c>
      <c r="H38">
        <v>95110</v>
      </c>
      <c r="K38" t="s">
        <v>1438</v>
      </c>
      <c r="V38" s="17" t="s">
        <v>1439</v>
      </c>
    </row>
    <row r="39" spans="2:23" x14ac:dyDescent="0.25">
      <c r="B39" t="s">
        <v>1440</v>
      </c>
      <c r="D39" t="s">
        <v>1442</v>
      </c>
      <c r="E39" t="s">
        <v>1441</v>
      </c>
      <c r="F39" t="s">
        <v>258</v>
      </c>
      <c r="G39" t="s">
        <v>45</v>
      </c>
      <c r="H39">
        <v>92707</v>
      </c>
      <c r="K39" t="s">
        <v>1443</v>
      </c>
      <c r="V39" s="17" t="s">
        <v>1327</v>
      </c>
      <c r="W39" t="s">
        <v>1331</v>
      </c>
    </row>
    <row r="40" spans="2:23" x14ac:dyDescent="0.25">
      <c r="B40" t="s">
        <v>1444</v>
      </c>
      <c r="D40" t="s">
        <v>1446</v>
      </c>
      <c r="F40" t="s">
        <v>1445</v>
      </c>
      <c r="G40" t="s">
        <v>45</v>
      </c>
      <c r="H40">
        <v>92626</v>
      </c>
      <c r="K40" t="s">
        <v>1447</v>
      </c>
      <c r="V40" s="17" t="s">
        <v>1331</v>
      </c>
    </row>
    <row r="41" spans="2:23" x14ac:dyDescent="0.25">
      <c r="B41" t="s">
        <v>1450</v>
      </c>
      <c r="D41" t="s">
        <v>1448</v>
      </c>
      <c r="F41" t="s">
        <v>1445</v>
      </c>
      <c r="G41" t="s">
        <v>45</v>
      </c>
      <c r="H41">
        <v>92626</v>
      </c>
      <c r="K41" t="s">
        <v>1449</v>
      </c>
      <c r="V41" s="17" t="s">
        <v>1327</v>
      </c>
    </row>
    <row r="42" spans="2:23" x14ac:dyDescent="0.25">
      <c r="B42" t="s">
        <v>1451</v>
      </c>
      <c r="D42" t="s">
        <v>1453</v>
      </c>
      <c r="F42" t="s">
        <v>1452</v>
      </c>
      <c r="G42" t="s">
        <v>45</v>
      </c>
      <c r="H42">
        <v>90405</v>
      </c>
      <c r="K42" t="s">
        <v>1454</v>
      </c>
      <c r="V42" s="17" t="s">
        <v>1327</v>
      </c>
    </row>
    <row r="43" spans="2:23" x14ac:dyDescent="0.25">
      <c r="B43" t="s">
        <v>1455</v>
      </c>
      <c r="D43" t="s">
        <v>1456</v>
      </c>
      <c r="F43" t="s">
        <v>1452</v>
      </c>
      <c r="G43" t="s">
        <v>45</v>
      </c>
      <c r="H43">
        <v>90405</v>
      </c>
      <c r="K43" t="s">
        <v>1457</v>
      </c>
      <c r="V43" s="17" t="s">
        <v>1342</v>
      </c>
    </row>
    <row r="44" spans="2:23" x14ac:dyDescent="0.25">
      <c r="B44" t="s">
        <v>1460</v>
      </c>
      <c r="D44" t="s">
        <v>1458</v>
      </c>
      <c r="F44" t="s">
        <v>1452</v>
      </c>
      <c r="G44" t="s">
        <v>45</v>
      </c>
      <c r="H44">
        <v>90405</v>
      </c>
      <c r="K44" t="s">
        <v>1459</v>
      </c>
      <c r="V44" s="17" t="s">
        <v>1342</v>
      </c>
    </row>
    <row r="45" spans="2:23" x14ac:dyDescent="0.25">
      <c r="B45" t="s">
        <v>1461</v>
      </c>
      <c r="D45" t="s">
        <v>1462</v>
      </c>
      <c r="F45" t="s">
        <v>1452</v>
      </c>
      <c r="G45" t="s">
        <v>45</v>
      </c>
      <c r="H45">
        <v>90405</v>
      </c>
      <c r="K45" t="s">
        <v>1463</v>
      </c>
      <c r="V45" s="17" t="s">
        <v>1342</v>
      </c>
    </row>
    <row r="46" spans="2:23" x14ac:dyDescent="0.25">
      <c r="B46" t="s">
        <v>1464</v>
      </c>
      <c r="D46" t="s">
        <v>1467</v>
      </c>
      <c r="E46" t="s">
        <v>1466</v>
      </c>
      <c r="F46" t="s">
        <v>1465</v>
      </c>
      <c r="H46">
        <v>90292</v>
      </c>
      <c r="K46" t="s">
        <v>1468</v>
      </c>
      <c r="V46" s="17" t="s">
        <v>1329</v>
      </c>
    </row>
    <row r="47" spans="2:23" x14ac:dyDescent="0.25">
      <c r="B47" t="s">
        <v>1471</v>
      </c>
      <c r="D47" t="s">
        <v>1469</v>
      </c>
      <c r="F47" t="s">
        <v>1452</v>
      </c>
      <c r="G47" t="s">
        <v>45</v>
      </c>
      <c r="H47">
        <v>90405</v>
      </c>
      <c r="K47" t="s">
        <v>1470</v>
      </c>
      <c r="V47" s="17" t="s">
        <v>1353</v>
      </c>
    </row>
    <row r="48" spans="2:23" x14ac:dyDescent="0.25">
      <c r="B48" t="s">
        <v>1472</v>
      </c>
      <c r="D48" t="s">
        <v>1474</v>
      </c>
      <c r="E48" t="s">
        <v>1475</v>
      </c>
      <c r="F48" t="s">
        <v>1473</v>
      </c>
      <c r="G48" t="s">
        <v>45</v>
      </c>
      <c r="H48">
        <v>90066</v>
      </c>
      <c r="K48" t="s">
        <v>1476</v>
      </c>
      <c r="V48" s="17" t="s">
        <v>1477</v>
      </c>
    </row>
  </sheetData>
  <phoneticPr fontId="6" type="noConversion"/>
  <conditionalFormatting sqref="J1">
    <cfRule type="containsBlanks" dxfId="4" priority="3">
      <formula>LEN(TRIM(J1))=0</formula>
    </cfRule>
    <cfRule type="cellIs" dxfId="3" priority="4" operator="equal">
      <formula>"NO"</formula>
    </cfRule>
    <cfRule type="cellIs" dxfId="2" priority="5" operator="equal">
      <formula>"YES"</formula>
    </cfRule>
  </conditionalFormatting>
  <conditionalFormatting sqref="Q1:T1 W1:AB1">
    <cfRule type="cellIs" dxfId="1" priority="2" operator="equal">
      <formula>"X"</formula>
    </cfRule>
  </conditionalFormatting>
  <conditionalFormatting sqref="W14:AA14">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BetaData</vt:lpstr>
      <vt:lpstr>BetaDataResults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Jared Baszler</cp:lastModifiedBy>
  <dcterms:created xsi:type="dcterms:W3CDTF">2020-11-12T22:43:47Z</dcterms:created>
  <dcterms:modified xsi:type="dcterms:W3CDTF">2021-05-11T02:43:12Z</dcterms:modified>
</cp:coreProperties>
</file>